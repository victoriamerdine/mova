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14.xml"/>
  <Override ContentType="application/vnd.openxmlformats-officedocument.drawingml.chart+xml" PartName="/xl/charts/chart30.xml"/>
  <Override ContentType="application/vnd.openxmlformats-officedocument.drawingml.chart+xml" PartName="/xl/charts/chart18.xml"/>
  <Override ContentType="application/vnd.openxmlformats-officedocument.drawingml.chart+xml" PartName="/xl/charts/chart43.xml"/>
  <Override ContentType="application/vnd.openxmlformats-officedocument.drawingml.chart+xml" PartName="/xl/charts/chart13.xml"/>
  <Override ContentType="application/vnd.openxmlformats-officedocument.drawingml.chart+xml" PartName="/xl/charts/chart44.xml"/>
  <Override ContentType="application/vnd.openxmlformats-officedocument.drawingml.chart+xml" PartName="/xl/charts/chart31.xml"/>
  <Override ContentType="application/vnd.openxmlformats-officedocument.drawingml.chart+xml" PartName="/xl/charts/chart26.xml"/>
  <Override ContentType="application/vnd.openxmlformats-officedocument.drawingml.chart+xml" PartName="/xl/charts/chart39.xml"/>
  <Override ContentType="application/vnd.openxmlformats-officedocument.drawingml.chart+xml" PartName="/xl/charts/chart35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34.xml"/>
  <Override ContentType="application/vnd.openxmlformats-officedocument.drawingml.chart+xml" PartName="/xl/charts/chart8.xml"/>
  <Override ContentType="application/vnd.openxmlformats-officedocument.drawingml.chart+xml" PartName="/xl/charts/chart17.xml"/>
  <Override ContentType="application/vnd.openxmlformats-officedocument.drawingml.chart+xml" PartName="/xl/charts/chart42.xml"/>
  <Override ContentType="application/vnd.openxmlformats-officedocument.drawingml.chart+xml" PartName="/xl/charts/chart25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38.xml"/>
  <Override ContentType="application/vnd.openxmlformats-officedocument.drawingml.chart+xml" PartName="/xl/charts/chart16.xml"/>
  <Override ContentType="application/vnd.openxmlformats-officedocument.drawingml.chart+xml" PartName="/xl/charts/chart41.xml"/>
  <Override ContentType="application/vnd.openxmlformats-officedocument.drawingml.chart+xml" PartName="/xl/charts/chart11.xml"/>
  <Override ContentType="application/vnd.openxmlformats-officedocument.drawingml.chart+xml" PartName="/xl/charts/chart29.xml"/>
  <Override ContentType="application/vnd.openxmlformats-officedocument.drawingml.chart+xml" PartName="/xl/charts/chart37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33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28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5.xml"/>
  <Override ContentType="application/vnd.openxmlformats-officedocument.drawingml.chart+xml" PartName="/xl/charts/chart40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32.xml"/>
  <Override ContentType="application/vnd.openxmlformats-officedocument.drawingml.chart+xml" PartName="/xl/charts/chart5.xml"/>
  <Override ContentType="application/vnd.openxmlformats-officedocument.drawingml.chart+xml" PartName="/xl/charts/chart23.xml"/>
  <Override ContentType="application/vnd.openxmlformats-officedocument.drawingml.chart+xml" PartName="/xl/charts/chart36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BLO SALAS  (2)" sheetId="1" r:id="rId4"/>
    <sheet state="visible" name="Rutina por Patrones 1" sheetId="2" r:id="rId5"/>
    <sheet state="visible" name="PREP FISICA" sheetId="3" r:id="rId6"/>
    <sheet state="visible" name="Hoja1" sheetId="4" r:id="rId7"/>
    <sheet state="visible" name="Hoja2" sheetId="5" r:id="rId8"/>
    <sheet state="visible" name="Hoja3" sheetId="6" r:id="rId9"/>
    <sheet state="visible" name="Rutina por Patrones 2" sheetId="7" r:id="rId10"/>
    <sheet state="visible" name="ERIC B (PATRONES 5D)" sheetId="8" r:id="rId11"/>
    <sheet state="visible" name="Rutina por Patrones 4 (2)" sheetId="9" r:id="rId12"/>
    <sheet state="visible" name="Hoja4" sheetId="10" r:id="rId13"/>
    <sheet state="visible" name="Rutina por Patrones 4" sheetId="11" r:id="rId14"/>
    <sheet state="visible" name="Volumen Meso" sheetId="12" r:id="rId15"/>
    <sheet state="visible" name="Datos" sheetId="13" r:id="rId16"/>
    <sheet state="visible" name="Grupos Musculares" sheetId="14" r:id="rId17"/>
    <sheet state="visible" name="Grupos Musculares (2)" sheetId="15" r:id="rId18"/>
    <sheet state="visible" name="cintia" sheetId="16" r:id="rId19"/>
    <sheet state="visible" name="DIEGOTE" sheetId="17" r:id="rId20"/>
    <sheet state="visible" name="ROCIO R" sheetId="18" r:id="rId21"/>
    <sheet state="visible" name="ROCIO R (2)" sheetId="19" r:id="rId22"/>
    <sheet state="visible" name="ROCIO R (3)" sheetId="20" r:id="rId23"/>
    <sheet state="visible" name="ROCIO R (4)" sheetId="21" r:id="rId24"/>
    <sheet state="visible" name="ROCIO R (5)prep fisica" sheetId="22" r:id="rId25"/>
    <sheet state="visible" name="NANO" sheetId="23" r:id="rId26"/>
    <sheet state="visible" name="Hoja5" sheetId="24" r:id="rId27"/>
    <sheet state="visible" name="sole,clau,olga" sheetId="25" r:id="rId28"/>
    <sheet state="visible" name="sole,clau,olga (2)" sheetId="26" r:id="rId29"/>
    <sheet state="visible" name="sole,clau,olga (3)" sheetId="27" r:id="rId30"/>
    <sheet state="visible" name="sole,clau,olga (4)" sheetId="28" r:id="rId31"/>
    <sheet state="visible" name="PLAN hombre  x3" sheetId="29" r:id="rId32"/>
    <sheet state="visible" name="PLAN hombre  x3 (2)" sheetId="30" r:id="rId33"/>
    <sheet state="visible" name="PLAN MUJER X3 B" sheetId="31" r:id="rId34"/>
    <sheet state="visible" name="sole,clau,olga (5)" sheetId="32" r:id="rId35"/>
    <sheet state="visible" name="PREP FISICA ALBERTO (2)" sheetId="33" r:id="rId36"/>
    <sheet state="visible" name="Hoja6" sheetId="34" r:id="rId37"/>
    <sheet state="visible" name="Agus boscatto" sheetId="35" r:id="rId38"/>
    <sheet state="visible" name="RO R (5)prep fisica (2)" sheetId="36" r:id="rId39"/>
    <sheet state="visible" name="PREP FISICA ALBERTO" sheetId="37" r:id="rId40"/>
    <sheet state="visible" name="GONZA" sheetId="38" r:id="rId41"/>
    <sheet state="visible" name="GONZA (2)" sheetId="39" r:id="rId42"/>
    <sheet state="visible" name="PREP FISICA ALBERTO (3)" sheetId="40" r:id="rId43"/>
    <sheet state="visible" name="PREP FISICA ALBERT 2026" sheetId="41" r:id="rId44"/>
    <sheet state="visible" name="PABLO SALAS " sheetId="42" r:id="rId45"/>
    <sheet state="visible" name="ALBERTO 2026" sheetId="43" r:id="rId46"/>
    <sheet state="visible" name="PABLO SALAS  (3)" sheetId="44" r:id="rId47"/>
    <sheet state="visible" name="ROCIO R (5)" sheetId="45" r:id="rId48"/>
    <sheet state="visible" name="kuki " sheetId="46" r:id="rId49"/>
    <sheet state="visible" name="borrador PREP FISICA " sheetId="47" r:id="rId50"/>
    <sheet state="visible" name="Rutina por Patrones 4 (3)" sheetId="48" r:id="rId51"/>
    <sheet state="visible" name="vicki 2026" sheetId="49" r:id="rId52"/>
    <sheet state="visible" name=" NAN " sheetId="50" r:id="rId53"/>
    <sheet state="visible" name="Rutina por Patrones 4 (4)" sheetId="51" r:id="rId54"/>
    <sheet state="visible" name="Ejercicios" sheetId="52" r:id="rId55"/>
  </sheets>
  <definedNames/>
  <calcPr/>
  <extLst>
    <ext uri="GoogleSheetsCustomDataVersion2">
      <go:sheetsCustomData xmlns:go="http://customooxmlschemas.google.com/" r:id="rId56" roundtripDataChecksum="+egy0l0HqFmpcnsDXMGZoFzxk6onhCbHZYgZzPh9wUw="/>
    </ext>
  </extLst>
</workbook>
</file>

<file path=xl/sharedStrings.xml><?xml version="1.0" encoding="utf-8"?>
<sst xmlns="http://schemas.openxmlformats.org/spreadsheetml/2006/main" count="8862" uniqueCount="1093">
  <si>
    <t>Día 1</t>
  </si>
  <si>
    <t>Día 1 FUERZA TREN SUP</t>
  </si>
  <si>
    <t>Músculo</t>
  </si>
  <si>
    <t>Patrón</t>
  </si>
  <si>
    <t>Ejercicio</t>
  </si>
  <si>
    <t>Series</t>
  </si>
  <si>
    <t>Repeticiones</t>
  </si>
  <si>
    <t>Intensidad</t>
  </si>
  <si>
    <t>Pausas</t>
  </si>
  <si>
    <t>Notas</t>
  </si>
  <si>
    <t>Volumen Semanal</t>
  </si>
  <si>
    <t>Volumen  Semanal</t>
  </si>
  <si>
    <t>Otros</t>
  </si>
  <si>
    <t>MOVILIDAD GENERAL</t>
  </si>
  <si>
    <t>Circunduccion de hombros .90/90 cadera</t>
  </si>
  <si>
    <t>MOVILIDAD</t>
  </si>
  <si>
    <t>Pecho</t>
  </si>
  <si>
    <t>Empuje</t>
  </si>
  <si>
    <t>Flexo ext rodilla+ .90/90 cadera</t>
  </si>
  <si>
    <t>Tracción</t>
  </si>
  <si>
    <t>Dom. Rodilla</t>
  </si>
  <si>
    <t>Dom.Cadera</t>
  </si>
  <si>
    <t>A. Empuje</t>
  </si>
  <si>
    <t>A. Tracción</t>
  </si>
  <si>
    <t>A. Rodillas</t>
  </si>
  <si>
    <t>A. Cadera</t>
  </si>
  <si>
    <t>Espalda</t>
  </si>
  <si>
    <t>Hombros</t>
  </si>
  <si>
    <t>Bíceps</t>
  </si>
  <si>
    <t>Tríceps</t>
  </si>
  <si>
    <t>Cuádriceps</t>
  </si>
  <si>
    <t>Isquios</t>
  </si>
  <si>
    <t>Glúteos</t>
  </si>
  <si>
    <t>Pantorrillas</t>
  </si>
  <si>
    <t xml:space="preserve">abs cortos disco </t>
  </si>
  <si>
    <t>Plancha codo mano+Lateral</t>
  </si>
  <si>
    <t>Volumen</t>
  </si>
  <si>
    <t>plancha con pasaje + escalador</t>
  </si>
  <si>
    <t>plancha  codo mano + sentadillas</t>
  </si>
  <si>
    <t>Flexiones + sentadillas GOBLET</t>
  </si>
  <si>
    <t>press plano con barra</t>
  </si>
  <si>
    <t>8.5</t>
  </si>
  <si>
    <t>2/3 min</t>
  </si>
  <si>
    <t>press inclinado mancuerna</t>
  </si>
  <si>
    <t>BICEP + PRESS</t>
  </si>
  <si>
    <t>Día 2</t>
  </si>
  <si>
    <t>Lanzo BM frontal</t>
  </si>
  <si>
    <t>Dom. Rodillas</t>
  </si>
  <si>
    <t>Sentadillas sumo</t>
  </si>
  <si>
    <t>10 12 14</t>
  </si>
  <si>
    <t>Vuelos laterales en polea</t>
  </si>
  <si>
    <t>Press militar barra+ESTOCADA LAT</t>
  </si>
  <si>
    <t xml:space="preserve">PRESS PLANO </t>
  </si>
  <si>
    <t>8.6</t>
  </si>
  <si>
    <t>Estocadas bulgaras</t>
  </si>
  <si>
    <t>3min</t>
  </si>
  <si>
    <t xml:space="preserve">PRESS INCLINADO </t>
  </si>
  <si>
    <t>Día 3</t>
  </si>
  <si>
    <t>CONTRASTE 1</t>
  </si>
  <si>
    <t>mariposa</t>
  </si>
  <si>
    <t>Press Frances barra</t>
  </si>
  <si>
    <t xml:space="preserve">Flexiones explosivas </t>
  </si>
  <si>
    <t xml:space="preserve">PUSH PRESS CON MANCUERNA </t>
  </si>
  <si>
    <t>Saltos al cajon+ RUEDA ABS</t>
  </si>
  <si>
    <t xml:space="preserve">SUBIDAS AL CAJON </t>
  </si>
  <si>
    <t>6.6</t>
  </si>
  <si>
    <t>Día 4</t>
  </si>
  <si>
    <t>bisagra cadera+Mov de hombros</t>
  </si>
  <si>
    <t xml:space="preserve">Plancha con lateral + Flexiones </t>
  </si>
  <si>
    <t xml:space="preserve">ESTOCADAS CON SALTO </t>
  </si>
  <si>
    <t>abs bisagra+ peso muerto 1p</t>
  </si>
  <si>
    <t>8.8</t>
  </si>
  <si>
    <t>CONTRASTE 2</t>
  </si>
  <si>
    <t>Dom. Caderas</t>
  </si>
  <si>
    <t>peso muerto</t>
  </si>
  <si>
    <t xml:space="preserve">8 8 6 6      </t>
  </si>
  <si>
    <t>Día 5</t>
  </si>
  <si>
    <t>hip thurst</t>
  </si>
  <si>
    <t>Remo con mancuerna simultaneo</t>
  </si>
  <si>
    <t xml:space="preserve">PRENSA 45 </t>
  </si>
  <si>
    <t>Remo maquina 1B</t>
  </si>
  <si>
    <t>ACCESORIOS</t>
  </si>
  <si>
    <t>Remo con barra</t>
  </si>
  <si>
    <t>BICEP BARRA W</t>
  </si>
  <si>
    <t>Prensa 45 apoyo sup</t>
  </si>
  <si>
    <t xml:space="preserve">PRESS FRANCES CON MANC </t>
  </si>
  <si>
    <t>Biceps con barra recta</t>
  </si>
  <si>
    <t>circunccion de hombros ,apertura con banda</t>
  </si>
  <si>
    <t>Lev piernas +rodilla al pecho</t>
  </si>
  <si>
    <t>Estocada fija + vuelos laterales</t>
  </si>
  <si>
    <t xml:space="preserve">Press militar barra </t>
  </si>
  <si>
    <t>2/3min</t>
  </si>
  <si>
    <t>Press inclinado smith (60grados)</t>
  </si>
  <si>
    <t>Polea dorsal supina</t>
  </si>
  <si>
    <t xml:space="preserve">Remo un brazo </t>
  </si>
  <si>
    <t xml:space="preserve">Sentadilla smith </t>
  </si>
  <si>
    <t>Silla cuadriceps</t>
  </si>
  <si>
    <t xml:space="preserve">Día 2 FUERZA Y POTENCIA INF </t>
  </si>
  <si>
    <t>Bicep B w en scott</t>
  </si>
  <si>
    <t>90/90 + PSOAS</t>
  </si>
  <si>
    <t>PLANCHA CON ROTACION</t>
  </si>
  <si>
    <t>BICHO MUERTO +ESTOCADA FIJA</t>
  </si>
  <si>
    <t xml:space="preserve">SENTADILLA </t>
  </si>
  <si>
    <t>8.9</t>
  </si>
  <si>
    <t xml:space="preserve">ESTOCADAS CON DESPLAZAMIENTO </t>
  </si>
  <si>
    <t>16 PASOS</t>
  </si>
  <si>
    <t>PESAS DE 12</t>
  </si>
  <si>
    <t>HIP THRUST</t>
  </si>
  <si>
    <t>10.8</t>
  </si>
  <si>
    <t xml:space="preserve">SENTADILLA CON SALTO </t>
  </si>
  <si>
    <t>MANC DE 5/7</t>
  </si>
  <si>
    <t xml:space="preserve">REBOTES EN STEP </t>
  </si>
  <si>
    <t>PUENTE GLUTEO EXPLOSIVO  1P</t>
  </si>
  <si>
    <t>otros</t>
  </si>
  <si>
    <t>ARRANQUE DE POTENCIA CN MANC</t>
  </si>
  <si>
    <t>SPRINT 10MTS/ASAULT BIKE 30"</t>
  </si>
  <si>
    <t>30" INTENSO /30 LENTO</t>
  </si>
  <si>
    <t>Día 3 ESTRUCTURA</t>
  </si>
  <si>
    <t xml:space="preserve">PLANCHA +REMO </t>
  </si>
  <si>
    <t>press pallof anti rotacion +ISO</t>
  </si>
  <si>
    <t xml:space="preserve">PRENSA APOYO SUPERIOR </t>
  </si>
  <si>
    <t>REMO CON BARRA</t>
  </si>
  <si>
    <t xml:space="preserve">CAMILLA ISQUIOS </t>
  </si>
  <si>
    <t>Día 1 EMPUJES + dom rodilla</t>
  </si>
  <si>
    <t xml:space="preserve">POLEA DORSAL </t>
  </si>
  <si>
    <t>Circunducc. Hombros</t>
  </si>
  <si>
    <t>FLEXIONES DE BRAZO\REMO TRX</t>
  </si>
  <si>
    <t xml:space="preserve">ESTOCADA +ROTACION </t>
  </si>
  <si>
    <t>5.5</t>
  </si>
  <si>
    <t xml:space="preserve">DESPLAZAMIENTO LATERAL </t>
  </si>
  <si>
    <t>Circunduccion hombros con banda</t>
  </si>
  <si>
    <t>Flexiones +Estocada fija</t>
  </si>
  <si>
    <t>Día 4 FUERZA GRAL +PLIO</t>
  </si>
  <si>
    <t>Flexiones + plancha toco hombro</t>
  </si>
  <si>
    <t>mov hombros + cadera</t>
  </si>
  <si>
    <t>Press plano con mancuerna</t>
  </si>
  <si>
    <t>Crunch sobre pelota + PLANCHA LAT</t>
  </si>
  <si>
    <t>REMO MENTON</t>
  </si>
  <si>
    <t>Vuelos laterales + frontales</t>
  </si>
  <si>
    <t xml:space="preserve">PRESS PLANO MANC +APERTURA </t>
  </si>
  <si>
    <t>Press plano con barra</t>
  </si>
  <si>
    <t>2min</t>
  </si>
  <si>
    <t>REMO AG AMPLIO</t>
  </si>
  <si>
    <t>10.12</t>
  </si>
  <si>
    <t>Press inclinado</t>
  </si>
  <si>
    <t>SENTADILLA +PRESS</t>
  </si>
  <si>
    <t>PRESS PLANO</t>
  </si>
  <si>
    <t>Estocadas atrás</t>
  </si>
  <si>
    <t>PUENTE GLUTEO CON MANC</t>
  </si>
  <si>
    <t>PESA 17,5/20KG</t>
  </si>
  <si>
    <t>PRESS INCLINADO MANC</t>
  </si>
  <si>
    <t xml:space="preserve">SPLIT JERK CON MANCUERNA </t>
  </si>
  <si>
    <t>Press militar con mancuerna</t>
  </si>
  <si>
    <t>15.12.10</t>
  </si>
  <si>
    <t>10/12KG</t>
  </si>
  <si>
    <t>PLIOMETRIA</t>
  </si>
  <si>
    <t xml:space="preserve">SUICIDAS +SALTO </t>
  </si>
  <si>
    <t>SILLA CUADRICEPS</t>
  </si>
  <si>
    <t>CAIDA DESDE CAJON (ESTABILIZAR)</t>
  </si>
  <si>
    <t xml:space="preserve">PRESS MILITAR </t>
  </si>
  <si>
    <t>Día 5/FUERZA GRAL Y VELOCIDAD</t>
  </si>
  <si>
    <t xml:space="preserve">Trabajar con menos cargas y con movimientos mas dinamicos </t>
  </si>
  <si>
    <t>PRESS FRANCES CON W</t>
  </si>
  <si>
    <t>BISAGRA CADERA+ 90/90</t>
  </si>
  <si>
    <t xml:space="preserve">Vuelos laterales </t>
  </si>
  <si>
    <t>12 o 15</t>
  </si>
  <si>
    <t>PLANCHA SOBRE PELOTA</t>
  </si>
  <si>
    <t>Press frances con W</t>
  </si>
  <si>
    <t>10 o 12</t>
  </si>
  <si>
    <t xml:space="preserve">DRILL ACELERACION EN PARED </t>
  </si>
  <si>
    <t>Mariposa maquina</t>
  </si>
  <si>
    <t>10.12.15.</t>
  </si>
  <si>
    <t>PRENSA 45</t>
  </si>
  <si>
    <t>PESO MUERTO BARRA</t>
  </si>
  <si>
    <t>MARIPOSA (REST PAUSE)</t>
  </si>
  <si>
    <t>(8-8-8)</t>
  </si>
  <si>
    <t>SALTOS CON CAIDA</t>
  </si>
  <si>
    <t>Vuelos en polea</t>
  </si>
  <si>
    <t>10.10</t>
  </si>
  <si>
    <t>PRESS PLANO BARRA</t>
  </si>
  <si>
    <t>Día 2 TRACCIONES+ Dom cadera</t>
  </si>
  <si>
    <t xml:space="preserve">LANZO BM FRONTAL/FLEXIONES </t>
  </si>
  <si>
    <t xml:space="preserve">BICEP EN POLEA </t>
  </si>
  <si>
    <t>GEMELOS EN PRENSA</t>
  </si>
  <si>
    <t>Mov manguito rotador</t>
  </si>
  <si>
    <t>PUENTE GLUTEO 1P</t>
  </si>
  <si>
    <t>Remo con banda</t>
  </si>
  <si>
    <t xml:space="preserve">Plancha + remo </t>
  </si>
  <si>
    <t>90/90 HOMBROS</t>
  </si>
  <si>
    <t xml:space="preserve">REMO CON BANDA </t>
  </si>
  <si>
    <t>CRUNCH CORTO CON DISCO</t>
  </si>
  <si>
    <t>REMO EN BARRA T</t>
  </si>
  <si>
    <t>Polea dorsal prona</t>
  </si>
  <si>
    <t xml:space="preserve">Camilla de isquios </t>
  </si>
  <si>
    <t>Remo a un brazo mancuerna</t>
  </si>
  <si>
    <t xml:space="preserve">POLEA DORSAL PRONA </t>
  </si>
  <si>
    <t>Peso muerto mancuerna</t>
  </si>
  <si>
    <t>REMO A UN BRAZO</t>
  </si>
  <si>
    <t>CAMILLA ISQUIOS</t>
  </si>
  <si>
    <t>BICEPS BARRA W</t>
  </si>
  <si>
    <t>Vuelos posterior en mariposa</t>
  </si>
  <si>
    <t>REMO AL MENTON CON W</t>
  </si>
  <si>
    <t xml:space="preserve">Bicep alterno en banco 45 </t>
  </si>
  <si>
    <t>Curl 21 con barra W</t>
  </si>
  <si>
    <t>7.7.7</t>
  </si>
  <si>
    <t>Día 3 DOM DE RODILLAS + empuje</t>
  </si>
  <si>
    <t>Flexo extencion de rodillas</t>
  </si>
  <si>
    <t>PESO MUERTO MANC</t>
  </si>
  <si>
    <t>Sentadilla goblet</t>
  </si>
  <si>
    <t>REMO AGARRE AMPLIO MAQUINA</t>
  </si>
  <si>
    <t>Plancha + crunch con disco</t>
  </si>
  <si>
    <t>Sentadilla en smith</t>
  </si>
  <si>
    <t xml:space="preserve">Press declinado </t>
  </si>
  <si>
    <t>PRENSA APOYO SUPERIOR</t>
  </si>
  <si>
    <t>Estocadas con desplazamiento</t>
  </si>
  <si>
    <t>20 pasos</t>
  </si>
  <si>
    <t>Press arnold</t>
  </si>
  <si>
    <t>Prensa 45</t>
  </si>
  <si>
    <t>10.12.15</t>
  </si>
  <si>
    <t xml:space="preserve">flexo-ext de rodillas </t>
  </si>
  <si>
    <t>Tricep trasnuca en polea</t>
  </si>
  <si>
    <t>estocadas atrás</t>
  </si>
  <si>
    <t>plancha + crunch corto</t>
  </si>
  <si>
    <t xml:space="preserve">Día 4 ACCESORIOS </t>
  </si>
  <si>
    <t>SENTADILLA EN SMITH</t>
  </si>
  <si>
    <t>Plancha + plancha lateral</t>
  </si>
  <si>
    <t>PRESS PLANO MANC</t>
  </si>
  <si>
    <t>10.12.15.15</t>
  </si>
  <si>
    <t>ESTOCADAS FIJAS</t>
  </si>
  <si>
    <t>Flexiones + dominadas</t>
  </si>
  <si>
    <t>TRICEP EN POLEA CON BARRA</t>
  </si>
  <si>
    <t>CAMILLA ISQUIOS + GEMELOS</t>
  </si>
  <si>
    <t>Biceps simultaneo con manc</t>
  </si>
  <si>
    <t>BICEP EN BANCO 45</t>
  </si>
  <si>
    <t>Triceps 1 mano en polea</t>
  </si>
  <si>
    <t xml:space="preserve">PRESS ARNOLD </t>
  </si>
  <si>
    <t>Que me importa con mancuerna</t>
  </si>
  <si>
    <t xml:space="preserve">Press frances en copa </t>
  </si>
  <si>
    <t>Jalon a un brazo en polea dorsal</t>
  </si>
  <si>
    <t>Biceps 1 brazo en scott</t>
  </si>
  <si>
    <t>Día 5 DOM CADERA + traccion</t>
  </si>
  <si>
    <t>Movilidad de cadera</t>
  </si>
  <si>
    <t>Camilla isquios</t>
  </si>
  <si>
    <t>Crunch con disco + oblicuos</t>
  </si>
  <si>
    <t>Peso muerto con barra</t>
  </si>
  <si>
    <t>Polea dorsal neutra</t>
  </si>
  <si>
    <t>Hip thrust</t>
  </si>
  <si>
    <t>Remo al menton</t>
  </si>
  <si>
    <t xml:space="preserve">Bulgaras </t>
  </si>
  <si>
    <t>Remo barra T</t>
  </si>
  <si>
    <t>Gemelos parado</t>
  </si>
  <si>
    <t xml:space="preserve">Aductores en maquina </t>
  </si>
  <si>
    <t>Patron</t>
  </si>
  <si>
    <t>DLO</t>
  </si>
  <si>
    <t xml:space="preserve">Volumen Mesociclo </t>
  </si>
  <si>
    <t>2/3 ejercicios de movilidad</t>
  </si>
  <si>
    <t>2/3 ejer de abs y  activacion</t>
  </si>
  <si>
    <t>Circunduccion H  +crunch</t>
  </si>
  <si>
    <t>Sentadilla libre</t>
  </si>
  <si>
    <t>abs oblicuos + Flexiones</t>
  </si>
  <si>
    <t>pres plano</t>
  </si>
  <si>
    <t>Press hummer</t>
  </si>
  <si>
    <t>bulgaras</t>
  </si>
  <si>
    <t>press mil</t>
  </si>
  <si>
    <t>Press plano</t>
  </si>
  <si>
    <t>HIP THURST</t>
  </si>
  <si>
    <t>Aperturas</t>
  </si>
  <si>
    <t xml:space="preserve">Estocadas fijas </t>
  </si>
  <si>
    <t>BISAGRA CADERA</t>
  </si>
  <si>
    <t>Puente gluteo 1pierna +abduccion</t>
  </si>
  <si>
    <t>pat gluteo</t>
  </si>
  <si>
    <t>Press inclinado 1B</t>
  </si>
  <si>
    <t>10 10</t>
  </si>
  <si>
    <t>abs</t>
  </si>
  <si>
    <t>Puente gluteo con manc+oblicuos</t>
  </si>
  <si>
    <t xml:space="preserve">Press frances + fondos </t>
  </si>
  <si>
    <t>Escalador + plancha lateral</t>
  </si>
  <si>
    <t>Hip thurst</t>
  </si>
  <si>
    <t>15/12/10/8</t>
  </si>
  <si>
    <t>Movilidad Hombro/ Psoas</t>
  </si>
  <si>
    <t>Bulgaras con manc</t>
  </si>
  <si>
    <t>Polea dorsal prona+ plancha 3 ap</t>
  </si>
  <si>
    <t>gemelos sentado</t>
  </si>
  <si>
    <t>Bicho muerto con disco+ abs bisagra</t>
  </si>
  <si>
    <t>abs con disco</t>
  </si>
  <si>
    <t>Abducciones en polea</t>
  </si>
  <si>
    <t>Sentadilla goblet + Plancha</t>
  </si>
  <si>
    <t>Bisagra cadera+ mov dorsal</t>
  </si>
  <si>
    <t>Plancha + Plancha lat</t>
  </si>
  <si>
    <t>20seg</t>
  </si>
  <si>
    <t>Sentadilla sumo</t>
  </si>
  <si>
    <t>Arrastre femoral + Remo trx</t>
  </si>
  <si>
    <t>Apertura con banda + swing</t>
  </si>
  <si>
    <t>estoc atras</t>
  </si>
  <si>
    <t xml:space="preserve">Patada de gluteo ext </t>
  </si>
  <si>
    <t>8/10/12/12</t>
  </si>
  <si>
    <t>Peso muerto</t>
  </si>
  <si>
    <t>polea dorsal prona</t>
  </si>
  <si>
    <t>Remo maquina +  aductores maqui</t>
  </si>
  <si>
    <t>remo maquina</t>
  </si>
  <si>
    <t>pat gluteo erguido</t>
  </si>
  <si>
    <t>Prensa 45 ap superior</t>
  </si>
  <si>
    <t>Press plano + press plano alterno</t>
  </si>
  <si>
    <t>Remo barra ag amplio</t>
  </si>
  <si>
    <t>Remo 1B</t>
  </si>
  <si>
    <t>vuelos</t>
  </si>
  <si>
    <t>Sumo en prensa +gemelos</t>
  </si>
  <si>
    <t>Sentadilla smith + saltos unipodales</t>
  </si>
  <si>
    <t>cam isquios</t>
  </si>
  <si>
    <t xml:space="preserve">Flex/ext rodillas </t>
  </si>
  <si>
    <t>Vuelos posterior + Bicep alterno</t>
  </si>
  <si>
    <t>Vuelo lateral + lanzo BM de costado</t>
  </si>
  <si>
    <t xml:space="preserve">Escalador+ estocadas </t>
  </si>
  <si>
    <t>Hip thurts</t>
  </si>
  <si>
    <t xml:space="preserve">abs </t>
  </si>
  <si>
    <t>estoc despla</t>
  </si>
  <si>
    <t xml:space="preserve"> prensa 45</t>
  </si>
  <si>
    <t>tricep polea con soga</t>
  </si>
  <si>
    <t xml:space="preserve">Circunduccion baston </t>
  </si>
  <si>
    <t>aductores</t>
  </si>
  <si>
    <t>Placha toco hombro +flexiones</t>
  </si>
  <si>
    <t>Mariposa un brazo</t>
  </si>
  <si>
    <t>Lev piernas juntas + Oblicuos</t>
  </si>
  <si>
    <t>press inclinado</t>
  </si>
  <si>
    <t>Peso muerto 1pierna</t>
  </si>
  <si>
    <t>12   12</t>
  </si>
  <si>
    <t>Remo simultaneo</t>
  </si>
  <si>
    <t>Triceps en polea</t>
  </si>
  <si>
    <t>Peso muerto 1P</t>
  </si>
  <si>
    <t>2 de abs</t>
  </si>
  <si>
    <t>Sentadilla sumo (landmine)</t>
  </si>
  <si>
    <t>peso m manc</t>
  </si>
  <si>
    <t xml:space="preserve"> Sentadilla sumo</t>
  </si>
  <si>
    <t>hi thurs</t>
  </si>
  <si>
    <t>Alterno banco 45</t>
  </si>
  <si>
    <t>remo 1 brazo</t>
  </si>
  <si>
    <t>Press militar maquina</t>
  </si>
  <si>
    <t>Press arnold  + Vuelos</t>
  </si>
  <si>
    <t>subida al cajon</t>
  </si>
  <si>
    <t>Hip thurst 1P</t>
  </si>
  <si>
    <t>pul over</t>
  </si>
  <si>
    <t>curl 21</t>
  </si>
  <si>
    <t>parado</t>
  </si>
  <si>
    <t xml:space="preserve">Triceps trasnuca </t>
  </si>
  <si>
    <t>Subidas al cajon+ aductores</t>
  </si>
  <si>
    <t xml:space="preserve"> Salto en largo + retroseso</t>
  </si>
  <si>
    <t>Pat..gluteo</t>
  </si>
  <si>
    <t>en polea</t>
  </si>
  <si>
    <t xml:space="preserve">Movilidad dorsal </t>
  </si>
  <si>
    <t>Placha lateral + puente gluteo</t>
  </si>
  <si>
    <t>Bisagra con pelota + Oblicuos</t>
  </si>
  <si>
    <t>silla de cuadriceps</t>
  </si>
  <si>
    <t>Sentadilla  profunda en smith</t>
  </si>
  <si>
    <t>Peso muerto con manc</t>
  </si>
  <si>
    <t>Mariposa +tricep trasnuca</t>
  </si>
  <si>
    <t>press 45 maquina</t>
  </si>
  <si>
    <t>Patada gluteo 90</t>
  </si>
  <si>
    <t>Hip thurst 1P + abduccion maquina</t>
  </si>
  <si>
    <t>Plancha pasaje+ abs bisagra</t>
  </si>
  <si>
    <t>Peso muerto + abduccion</t>
  </si>
  <si>
    <t>Bulgaras + sentadilla con salto</t>
  </si>
  <si>
    <t>Jalon a un brazo</t>
  </si>
  <si>
    <t>hip thurst 1pierna</t>
  </si>
  <si>
    <t>Desplazamiento lateral dinamico</t>
  </si>
  <si>
    <t>12 pasos</t>
  </si>
  <si>
    <t>Press  frances+ remo al menton</t>
  </si>
  <si>
    <t xml:space="preserve">Suicidas </t>
  </si>
  <si>
    <t xml:space="preserve">40seg </t>
  </si>
  <si>
    <t xml:space="preserve">Placha lateral con rotacion + cortos </t>
  </si>
  <si>
    <t>remo banda + swing</t>
  </si>
  <si>
    <t xml:space="preserve">Cargadas de potencia </t>
  </si>
  <si>
    <t>Bicep alterno en banco 45</t>
  </si>
  <si>
    <t>Peso muerto 1 pierna</t>
  </si>
  <si>
    <t>Press frances mancuerna</t>
  </si>
  <si>
    <t xml:space="preserve">Gemelos en prensa </t>
  </si>
  <si>
    <t>skiping en mini tramp + cam direc</t>
  </si>
  <si>
    <t>30seg</t>
  </si>
  <si>
    <t xml:space="preserve">Día 1 </t>
  </si>
  <si>
    <t>Mov : Psoas + 90/90 +hombros</t>
  </si>
  <si>
    <t>Bicho muerto con disco+ plancha 30"</t>
  </si>
  <si>
    <t>Día 1  Regenerativo</t>
  </si>
  <si>
    <t>Sentadilla isometrica+ Remo banda</t>
  </si>
  <si>
    <t>Rolo en piernas</t>
  </si>
  <si>
    <t>Mov : psoas y hombros</t>
  </si>
  <si>
    <t>Press plano + Lanzo BM frontal</t>
  </si>
  <si>
    <t xml:space="preserve"> press inclinado</t>
  </si>
  <si>
    <t>8.10</t>
  </si>
  <si>
    <t xml:space="preserve">Sentadilla isometrica +plancha </t>
  </si>
  <si>
    <t>Remo maquina 1 brazo</t>
  </si>
  <si>
    <t>Estocada isometrica</t>
  </si>
  <si>
    <t xml:space="preserve">30" </t>
  </si>
  <si>
    <t>Mariposa maquina+ bicho m</t>
  </si>
  <si>
    <t xml:space="preserve">Sentadilla excentrica </t>
  </si>
  <si>
    <t>Remo maquina</t>
  </si>
  <si>
    <t>MOV psoas y hombros</t>
  </si>
  <si>
    <t xml:space="preserve">Polea dorsal prona </t>
  </si>
  <si>
    <t xml:space="preserve"> skipingg en mini tramp+ plancha lat</t>
  </si>
  <si>
    <t>40"</t>
  </si>
  <si>
    <t>vuelos laterales</t>
  </si>
  <si>
    <t>Día 2 resistencia inf+ pliometria</t>
  </si>
  <si>
    <t>REMO MAQUINA AMPLIO</t>
  </si>
  <si>
    <t xml:space="preserve"> trote suave en cinta</t>
  </si>
  <si>
    <t>PRESS PLANO MANCUERNA</t>
  </si>
  <si>
    <t>10min</t>
  </si>
  <si>
    <t>BICEP SIMULTANEO</t>
  </si>
  <si>
    <t>PUENTE GLUTEO ISOMETRICO</t>
  </si>
  <si>
    <t>Crunch con disco +press paloff</t>
  </si>
  <si>
    <t>Día 2 fuerza+ pliometria</t>
  </si>
  <si>
    <t>Arrastre femoral + Remo banda</t>
  </si>
  <si>
    <t>POLEA DORSAL NEUTRA</t>
  </si>
  <si>
    <t xml:space="preserve">Peso muerto </t>
  </si>
  <si>
    <t>Crunch corto +plancha lat dinamica</t>
  </si>
  <si>
    <t>VUELOS LATERALES + POSTERIOR</t>
  </si>
  <si>
    <t>PUENTE ISQUIOS +sentadillas</t>
  </si>
  <si>
    <t>Hip thrust +Sentadilla con salto</t>
  </si>
  <si>
    <t>Remo un brazo</t>
  </si>
  <si>
    <t>20pasos</t>
  </si>
  <si>
    <t>Peso muerto 1p +estocada lateral</t>
  </si>
  <si>
    <t>.10,10</t>
  </si>
  <si>
    <t>Sentadilla sumo+ salto con caida</t>
  </si>
  <si>
    <t>6.8</t>
  </si>
  <si>
    <t xml:space="preserve">Gemelos parado+Subidas al cajon </t>
  </si>
  <si>
    <t>Sentadilla con salto desde banco</t>
  </si>
  <si>
    <t>Press  frances</t>
  </si>
  <si>
    <t xml:space="preserve">Día 1  FUERZA </t>
  </si>
  <si>
    <t>BICHO MUERTO +ESTOCADA LAT</t>
  </si>
  <si>
    <t>. swing</t>
  </si>
  <si>
    <t>Día 3 fuerza explosiva</t>
  </si>
  <si>
    <t>90/90 cadera</t>
  </si>
  <si>
    <t>Patada de gluteo en polea</t>
  </si>
  <si>
    <t>Sentadilla smith</t>
  </si>
  <si>
    <t>Saltos al cajon</t>
  </si>
  <si>
    <t>plancha +  bicho muerto</t>
  </si>
  <si>
    <t>Bicep alterno +face pull</t>
  </si>
  <si>
    <t>Despl lateral</t>
  </si>
  <si>
    <t xml:space="preserve">subo cajon + rodilla </t>
  </si>
  <si>
    <t>SENT  LIBRE + SALTOS VERTICAL</t>
  </si>
  <si>
    <t>Aductores en maquina</t>
  </si>
  <si>
    <t>Sentadilla lanzo BM</t>
  </si>
  <si>
    <t>PESO MUERTO 1P +SUBO CAJON 1P</t>
  </si>
  <si>
    <t>Circunduccion con banda</t>
  </si>
  <si>
    <t>DESPL LATERAL CON DISCO</t>
  </si>
  <si>
    <t xml:space="preserve">Estocada fija o subo cajon </t>
  </si>
  <si>
    <t>Sentadilla con salto</t>
  </si>
  <si>
    <t>Remo al menton + push press</t>
  </si>
  <si>
    <t>Lanzo BM de costado</t>
  </si>
  <si>
    <t xml:space="preserve">SUICIDA CON SALTO </t>
  </si>
  <si>
    <t>SENTADILLA LIBRE</t>
  </si>
  <si>
    <t>Biceps con mancuerna</t>
  </si>
  <si>
    <t>Sentadilla + lanzo BM</t>
  </si>
  <si>
    <t>10+20" ISO</t>
  </si>
  <si>
    <t>VUELOS LATERALES + FRONTALES</t>
  </si>
  <si>
    <t>RUEDA ABDOMINAL</t>
  </si>
  <si>
    <t>ARRASTRE FEMORAL</t>
  </si>
  <si>
    <t>ESTOCADAS CON DESPL</t>
  </si>
  <si>
    <t>20 PASOS</t>
  </si>
  <si>
    <t>ESTOCADA SMITH</t>
  </si>
  <si>
    <t>ESTOCADA CON SALTO</t>
  </si>
  <si>
    <t>PRESS LANDMINE + PUENTE GLUTEO</t>
  </si>
  <si>
    <t>TRICEP EN POLEA CON SOGA</t>
  </si>
  <si>
    <t>PRESS INCLINADO ALTERNO</t>
  </si>
  <si>
    <t>LANZO BM FRONTAL + BULGARA EXP</t>
  </si>
  <si>
    <t>PATADA DE GLUTEO</t>
  </si>
  <si>
    <t xml:space="preserve"> ABDUCCION MAQUINA</t>
  </si>
  <si>
    <t>SUBO CAJON+ SENTADILLA C/ SALTO</t>
  </si>
  <si>
    <t xml:space="preserve"> ISQUIOS +  SALTOS CON CAIDA </t>
  </si>
  <si>
    <t>EN POLEA CON SOGA</t>
  </si>
  <si>
    <t>ADUCTORES  MAQUINA</t>
  </si>
  <si>
    <t>Día 1 EMPUJES</t>
  </si>
  <si>
    <t>remo DE AGUA+ swing</t>
  </si>
  <si>
    <t>BISAGRA CADERA + HOMBROS</t>
  </si>
  <si>
    <t>ARRANQUES  DE POTENCIA MANC</t>
  </si>
  <si>
    <t>PRESS PLANO CON BARRA</t>
  </si>
  <si>
    <t>BULGARAS CON MANC+ EXPLOSIV</t>
  </si>
  <si>
    <t>plancha con apertura + escalador</t>
  </si>
  <si>
    <t>10.6</t>
  </si>
  <si>
    <t>TRASNUCA 1 BRAZO</t>
  </si>
  <si>
    <t>PESO MUERTO 1P</t>
  </si>
  <si>
    <t xml:space="preserve">SALTOS LATERALES CON BM </t>
  </si>
  <si>
    <t>Día 1  EMPUJES</t>
  </si>
  <si>
    <t>Sentadilla + press</t>
  </si>
  <si>
    <t>90/90 CAD+ RODILLA + HOMBRO</t>
  </si>
  <si>
    <t xml:space="preserve">plancha +  PALL OFF </t>
  </si>
  <si>
    <t>CARGADAS DE POTENCIA</t>
  </si>
  <si>
    <t xml:space="preserve">SENTADILLA LIBRE </t>
  </si>
  <si>
    <t>SALTOS AL CAJON</t>
  </si>
  <si>
    <t xml:space="preserve">Estocada fija </t>
  </si>
  <si>
    <t>ESTOCADAS CON DEFICIT</t>
  </si>
  <si>
    <t>90/90 +BISAGRA CADERA</t>
  </si>
  <si>
    <t>PRESS MILITAR +PUSH</t>
  </si>
  <si>
    <t>CARGADAS CON BARRA</t>
  </si>
  <si>
    <t>SENTADILLAS + SALTOS AL CAJON</t>
  </si>
  <si>
    <t>abs oblicuos + Puente gluteo</t>
  </si>
  <si>
    <t>CAMINATA CANGREJO + VUELOS</t>
  </si>
  <si>
    <t>Día 2 TRACCION</t>
  </si>
  <si>
    <t>Sentadillas en smith</t>
  </si>
  <si>
    <t>SUBO CAJON + SALTO CAIDA</t>
  </si>
  <si>
    <t>WALL BALL</t>
  </si>
  <si>
    <t>Peso muerto manc</t>
  </si>
  <si>
    <t>10 12 15</t>
  </si>
  <si>
    <t xml:space="preserve">Día 2 TRACCIONES </t>
  </si>
  <si>
    <t>DOMINADAS CON BANDA</t>
  </si>
  <si>
    <t>Abductores+ caminata cangrejo</t>
  </si>
  <si>
    <t>ARRANQUES CON MANCUERNA</t>
  </si>
  <si>
    <t xml:space="preserve">Vuelos posteriores  </t>
  </si>
  <si>
    <t xml:space="preserve">ARRANQUES </t>
  </si>
  <si>
    <t>gemelos parado + saltos reactivos</t>
  </si>
  <si>
    <t>PESO MUERTO + PUENTE GLUTEO ALT</t>
  </si>
  <si>
    <t xml:space="preserve">Remo 1 brazo </t>
  </si>
  <si>
    <t>Plancha + Plancha 2apoyos</t>
  </si>
  <si>
    <t xml:space="preserve">DOMINADAS </t>
  </si>
  <si>
    <t>Sentadilla sumo +swing</t>
  </si>
  <si>
    <t xml:space="preserve"> PESO MUERTO 1P+ZANCADAS </t>
  </si>
  <si>
    <t>Día 3 FUERZA</t>
  </si>
  <si>
    <t xml:space="preserve">PSOAS +CRUCES </t>
  </si>
  <si>
    <t xml:space="preserve">HOLLOW DINAMICO + CRUNCH </t>
  </si>
  <si>
    <t>ESTOCADAS LATERALES</t>
  </si>
  <si>
    <t>SENTADILLA PROFUNDA EN SMITH</t>
  </si>
  <si>
    <t xml:space="preserve">SALTOS HORIZONTALES </t>
  </si>
  <si>
    <t>PATADA GLUTEO EN POLEA</t>
  </si>
  <si>
    <t>Estocadas en smith</t>
  </si>
  <si>
    <t>TRICEP EN POLEA</t>
  </si>
  <si>
    <t>10 ,10</t>
  </si>
  <si>
    <t>PRENSA 45 AP SUPERIOR</t>
  </si>
  <si>
    <t>Patada de burro manc</t>
  </si>
  <si>
    <t>MARIPOSA MAQUINA</t>
  </si>
  <si>
    <t xml:space="preserve">Press inclinado </t>
  </si>
  <si>
    <t xml:space="preserve">En aquellos ejercicios de intensidad 7/6 hacer movimientos dinamicos </t>
  </si>
  <si>
    <t>DESPLAZAMIENTOS LATERALES</t>
  </si>
  <si>
    <t>Crunch sobre pelota + plancha</t>
  </si>
  <si>
    <t>swing americano</t>
  </si>
  <si>
    <t>2DO TIEMPO DE POTENCIA</t>
  </si>
  <si>
    <t>ESTOCADA FIJA CON BARRA</t>
  </si>
  <si>
    <t xml:space="preserve">Vuelos posteriores </t>
  </si>
  <si>
    <t>SENTADILLAS CON SALTO</t>
  </si>
  <si>
    <t xml:space="preserve">REMO AL MENTON </t>
  </si>
  <si>
    <t>PUSH PRESS</t>
  </si>
  <si>
    <t>sentadilla frontal en smith</t>
  </si>
  <si>
    <t>SENTADILLA CON SALTO</t>
  </si>
  <si>
    <t xml:space="preserve">peso muerto 1p </t>
  </si>
  <si>
    <t xml:space="preserve">SALTOS REACTIVOS </t>
  </si>
  <si>
    <t>Saltos alternos en  cajon</t>
  </si>
  <si>
    <t>Silla de cuadriceps</t>
  </si>
  <si>
    <t>10 12  14 16</t>
  </si>
  <si>
    <t xml:space="preserve">LANZO BM  CON ROTACION </t>
  </si>
  <si>
    <t>BICCEPS CON BARRA</t>
  </si>
  <si>
    <t>Movilidad: Flex extension rodilla</t>
  </si>
  <si>
    <t>sin</t>
  </si>
  <si>
    <t>40seg</t>
  </si>
  <si>
    <t>Estocada lateral +press frontal</t>
  </si>
  <si>
    <t>4.4</t>
  </si>
  <si>
    <t>Circunduccion con baston o banda</t>
  </si>
  <si>
    <t xml:space="preserve">Placha toco hombro </t>
  </si>
  <si>
    <t>Plancha + Press paloff con rotacion</t>
  </si>
  <si>
    <t>LANZO BM FRONTAL</t>
  </si>
  <si>
    <t xml:space="preserve">Polea dorsal neutra </t>
  </si>
  <si>
    <t xml:space="preserve">Camilla isquios </t>
  </si>
  <si>
    <t xml:space="preserve"> Estocadas con desplazamiento</t>
  </si>
  <si>
    <t>tricep en polea con barra</t>
  </si>
  <si>
    <t>Bicep alternado</t>
  </si>
  <si>
    <t>Aductores en maquina+pat de gluteo</t>
  </si>
  <si>
    <t>Patada gluteo pierna extendida</t>
  </si>
  <si>
    <t>Estocadas atrás en step</t>
  </si>
  <si>
    <t>.10.10</t>
  </si>
  <si>
    <t>zona media</t>
  </si>
  <si>
    <t>Remo a un brazo</t>
  </si>
  <si>
    <t xml:space="preserve"> 12.12</t>
  </si>
  <si>
    <t>Prensa 45 apoyo inferior</t>
  </si>
  <si>
    <t>Cardiio3min</t>
  </si>
  <si>
    <t>Remo maquina agarre neutro</t>
  </si>
  <si>
    <t>Silla cuadriceps +  gluteo c/ tobillera</t>
  </si>
  <si>
    <t xml:space="preserve">90/90 de cadera </t>
  </si>
  <si>
    <t xml:space="preserve">sin </t>
  </si>
  <si>
    <t>Remo con banda + crunch corto</t>
  </si>
  <si>
    <t>puente gluteo con mancuerna</t>
  </si>
  <si>
    <t>Cardio4min</t>
  </si>
  <si>
    <t>Press militar +Abducciones</t>
  </si>
  <si>
    <t xml:space="preserve">Estocadas con desplazamiento </t>
  </si>
  <si>
    <t>Cardio2 min</t>
  </si>
  <si>
    <t>Plancha + oblicuo con disco</t>
  </si>
  <si>
    <t>Camilla de isquios</t>
  </si>
  <si>
    <t xml:space="preserve">Patada de gluteo en polea </t>
  </si>
  <si>
    <t>12.12</t>
  </si>
  <si>
    <t>Patada gluteo pierna 90</t>
  </si>
  <si>
    <t>Vuelos lat + frontales</t>
  </si>
  <si>
    <t>Sin pausa</t>
  </si>
  <si>
    <t>Crunch corto +  P Pallof</t>
  </si>
  <si>
    <t>Placha lateral + oblicuos</t>
  </si>
  <si>
    <t>Abs bisagra +Sentadillas</t>
  </si>
  <si>
    <t>press plano + fondo</t>
  </si>
  <si>
    <t>.12</t>
  </si>
  <si>
    <t>Cardio3min</t>
  </si>
  <si>
    <t>Aductores maquina</t>
  </si>
  <si>
    <t>Tricep en polea trasnuca</t>
  </si>
  <si>
    <t>Patada gluteo pierna ext</t>
  </si>
  <si>
    <t>Aerobico O MO</t>
  </si>
  <si>
    <t>Jalon 1 brazo polea</t>
  </si>
  <si>
    <t>Subo cajon +Bicep alterno</t>
  </si>
  <si>
    <t>Zona media</t>
  </si>
  <si>
    <t>Prensa horizontal</t>
  </si>
  <si>
    <t>Crunch corto +RODILLA AL PECHO</t>
  </si>
  <si>
    <t>Prensa 45 ap inf +gemelo</t>
  </si>
  <si>
    <t>Sentadilla goblet con disco</t>
  </si>
  <si>
    <t>Remo un brazo horizontal</t>
  </si>
  <si>
    <t>MOVILIDAD HOMBROS</t>
  </si>
  <si>
    <t xml:space="preserve"> 10.12.15</t>
  </si>
  <si>
    <t xml:space="preserve">Pat gluteo </t>
  </si>
  <si>
    <t xml:space="preserve">Silla cuadriceps </t>
  </si>
  <si>
    <t>PRESS INCLINADO MAQUINA</t>
  </si>
  <si>
    <t xml:space="preserve">Puente gluteos </t>
  </si>
  <si>
    <t xml:space="preserve">Gemelos parado +Silla cuadriceps </t>
  </si>
  <si>
    <t>TRICEPS EN POLEA TRASNUCA</t>
  </si>
  <si>
    <t>plancha t hombro + crunch corto</t>
  </si>
  <si>
    <t>MARIPOSA</t>
  </si>
  <si>
    <t>VUELOS LATERALES+FRONTALES</t>
  </si>
  <si>
    <t>APERTURAS 45</t>
  </si>
  <si>
    <t>Hip thurts + Abduccion acostado</t>
  </si>
  <si>
    <t>Camilla de isquios 1pierna</t>
  </si>
  <si>
    <t>Peso muerto sumo</t>
  </si>
  <si>
    <t>Aerobico</t>
  </si>
  <si>
    <t>Press plano con manc</t>
  </si>
  <si>
    <t>Plancha +PALOFF CON ROTACION</t>
  </si>
  <si>
    <t>sentadilla +press hombro</t>
  </si>
  <si>
    <t>PRENSA HORIZONTAL</t>
  </si>
  <si>
    <t>press plano manc</t>
  </si>
  <si>
    <t>Polea dorsal supina+ facepull</t>
  </si>
  <si>
    <t xml:space="preserve">Tricep en polea </t>
  </si>
  <si>
    <t>POLEA DORSAL PRONA</t>
  </si>
  <si>
    <t>Sentadilla isometrica</t>
  </si>
  <si>
    <t>trasnuca a 1 brazo</t>
  </si>
  <si>
    <t>JALON DORSAL 1 BRAZO</t>
  </si>
  <si>
    <t>VUELOS POSTERIORES</t>
  </si>
  <si>
    <t>Plancha pasaje+ remo banda</t>
  </si>
  <si>
    <t>Abs bisagra +estocadas</t>
  </si>
  <si>
    <t xml:space="preserve">Remo barra </t>
  </si>
  <si>
    <t>Remo menton</t>
  </si>
  <si>
    <t xml:space="preserve">REMO  MAQUINA AMPLIO </t>
  </si>
  <si>
    <t>Camilla isquios+ peso muerto 1P</t>
  </si>
  <si>
    <t>Tricep en polea +prensa horizontal</t>
  </si>
  <si>
    <t>REMO 1 BRAZO</t>
  </si>
  <si>
    <t>Vuelos posteriores</t>
  </si>
  <si>
    <t>ESTOCADAS ATRÁS</t>
  </si>
  <si>
    <t>Bici fija</t>
  </si>
  <si>
    <t>Crunch con disco +TOCO TALON</t>
  </si>
  <si>
    <t>Flexiones</t>
  </si>
  <si>
    <t xml:space="preserve">PRENSA AP SUPERIOR </t>
  </si>
  <si>
    <t xml:space="preserve">Press frances </t>
  </si>
  <si>
    <t>ESTOCADA FIJA EN SMITH</t>
  </si>
  <si>
    <t>Press ARNOLD/ VUELOS LATERALES</t>
  </si>
  <si>
    <t xml:space="preserve">BICEP BARRA W </t>
  </si>
  <si>
    <t>JALON BRAZO RECTO POLEA</t>
  </si>
  <si>
    <t xml:space="preserve">GEMELOS EN PRENSA 45 </t>
  </si>
  <si>
    <t>apertura con banda+ flexiones</t>
  </si>
  <si>
    <t>APERTURA CON MANCUERNA</t>
  </si>
  <si>
    <t>PRESS FRANCES BARRA W</t>
  </si>
  <si>
    <t>PRESS INCLINADO MANCUERNA</t>
  </si>
  <si>
    <t>BICEPS ALTERNO EN BANCO 45</t>
  </si>
  <si>
    <t>SUMO EN PRENSA 45</t>
  </si>
  <si>
    <t>Bulgaras en smith</t>
  </si>
  <si>
    <t>Peso muerto barra</t>
  </si>
  <si>
    <t>Mov: PSOAS + 90/90+RODILLAS</t>
  </si>
  <si>
    <t>CRUNCH COMPLETO + PLANCHA</t>
  </si>
  <si>
    <t xml:space="preserve">PUENTE GLUTEO +SENTADILA </t>
  </si>
  <si>
    <t>Patada gluteo en banco</t>
  </si>
  <si>
    <t>Hip thurst 1p</t>
  </si>
  <si>
    <t>plancha codo mano+ crunch</t>
  </si>
  <si>
    <t>SENTADILLA SMITH</t>
  </si>
  <si>
    <t xml:space="preserve">subir carga </t>
  </si>
  <si>
    <t xml:space="preserve">SILLA CUADRICEPS </t>
  </si>
  <si>
    <t>10.12.15.10</t>
  </si>
  <si>
    <t>Remo agarre amplio</t>
  </si>
  <si>
    <t>SENTADILLAS EN SMITH</t>
  </si>
  <si>
    <t>8 O 10</t>
  </si>
  <si>
    <t>flexiones explosivas</t>
  </si>
  <si>
    <t>5.6</t>
  </si>
  <si>
    <t xml:space="preserve">ESTOCADAS FIJAS </t>
  </si>
  <si>
    <t>PRESS MILITAR BARRA</t>
  </si>
  <si>
    <t xml:space="preserve">PRENSA 45 SUPERIOR </t>
  </si>
  <si>
    <t>Cardiio2min</t>
  </si>
  <si>
    <t>REMO AGARRE AMPLIO</t>
  </si>
  <si>
    <t>Plancha + Plancha lateral</t>
  </si>
  <si>
    <t>VUELOS LATERALES EN POLEA</t>
  </si>
  <si>
    <t xml:space="preserve">PATADA DE GLUTEOS  POLEA </t>
  </si>
  <si>
    <t>FACE PULL</t>
  </si>
  <si>
    <t>REMO UN BRAZO</t>
  </si>
  <si>
    <t xml:space="preserve">PRESS INCLINADO barra </t>
  </si>
  <si>
    <t>6 .6</t>
  </si>
  <si>
    <t>Estocada en smith</t>
  </si>
  <si>
    <t>BICEP ALTERNO</t>
  </si>
  <si>
    <t>Prensa 45  ap inferior</t>
  </si>
  <si>
    <t>VUELOS POSTERIORES CON MANC</t>
  </si>
  <si>
    <t>PSOAS, DORSAL , HOMBROS</t>
  </si>
  <si>
    <t>plancha lateral+ oblicuos</t>
  </si>
  <si>
    <t>SENTADILLA + PRESS</t>
  </si>
  <si>
    <t>PUENTE GLUTEO +PESO M 1PIERNA</t>
  </si>
  <si>
    <t xml:space="preserve">Remo maquina </t>
  </si>
  <si>
    <t>10 12  14</t>
  </si>
  <si>
    <t>Copa trasnuca</t>
  </si>
  <si>
    <t>EXTENCION A 1 BRAZO EN POLEA</t>
  </si>
  <si>
    <t>Bisagra de cadera</t>
  </si>
  <si>
    <t>Press ARNOLD</t>
  </si>
  <si>
    <t xml:space="preserve">PESO MUERTO </t>
  </si>
  <si>
    <t xml:space="preserve">CARGA MODERADA </t>
  </si>
  <si>
    <t>Crunch con disco + escalador</t>
  </si>
  <si>
    <t>CAMILLA ISQUIOS UNILATERAL</t>
  </si>
  <si>
    <t>Lev piernas + sentadillas</t>
  </si>
  <si>
    <t>BICEP CONCENTRADO EN SCOT</t>
  </si>
  <si>
    <t xml:space="preserve">ADUCTORES EN POLEA </t>
  </si>
  <si>
    <t>Press frances con mancuerna</t>
  </si>
  <si>
    <t>PRENSA 45+GEMELOS</t>
  </si>
  <si>
    <t>SUBIR CARGAS</t>
  </si>
  <si>
    <t xml:space="preserve"> Estocadas atrás con deficit</t>
  </si>
  <si>
    <t>PRESS INCLINADO maquina</t>
  </si>
  <si>
    <t>Press hombro sentado</t>
  </si>
  <si>
    <t>Bicep alternado+ pat gluteo</t>
  </si>
  <si>
    <t>PRESS FRANCES MANCUERNA</t>
  </si>
  <si>
    <t>Gemelos en prensa/smith</t>
  </si>
  <si>
    <t>CAMILLA ISQUIOS +10" ISO</t>
  </si>
  <si>
    <t xml:space="preserve">POGOS +SENT CON SALTO </t>
  </si>
  <si>
    <t>ADUCTORES SENTADO</t>
  </si>
  <si>
    <t>12.10.8</t>
  </si>
  <si>
    <t xml:space="preserve">SUBIR CARGAS </t>
  </si>
  <si>
    <t xml:space="preserve">SALTOS HORIZONTALES  </t>
  </si>
  <si>
    <t xml:space="preserve">  SALTOS LATERALES </t>
  </si>
  <si>
    <t xml:space="preserve">ABDUCTORES EN POLEA </t>
  </si>
  <si>
    <t xml:space="preserve">TRICEP EN POLEA CON SOGA </t>
  </si>
  <si>
    <t xml:space="preserve">10 O 12 </t>
  </si>
  <si>
    <t xml:space="preserve">MARIPOSA </t>
  </si>
  <si>
    <t>Jalon 1 brazo en dorsalera</t>
  </si>
  <si>
    <t>SPRINT 20 MTS</t>
  </si>
  <si>
    <t>SALTO SOGA</t>
  </si>
  <si>
    <t>40SEG</t>
  </si>
  <si>
    <t>TRICEP TRASNUCA EN POLEA</t>
  </si>
  <si>
    <t>BICEP ALTERNO MANC</t>
  </si>
  <si>
    <t xml:space="preserve">CRUNCH COMPLETO +HOLLOW </t>
  </si>
  <si>
    <t>PLANCHA LAT CON PESO</t>
  </si>
  <si>
    <t>20SEG</t>
  </si>
  <si>
    <t xml:space="preserve">PESO MUERTO 1 PIERNA </t>
  </si>
  <si>
    <t>BULGARAS+bulgara con salto</t>
  </si>
  <si>
    <t>POLEA DORSAL +remo 1BRAZO</t>
  </si>
  <si>
    <t>SANCADAS +ESTOCADA C/SALTO</t>
  </si>
  <si>
    <t>30 SEG</t>
  </si>
  <si>
    <t xml:space="preserve">PESO MUERTO +JALON </t>
  </si>
  <si>
    <t>20 SEG</t>
  </si>
  <si>
    <t xml:space="preserve">PRESS PLANO MANC </t>
  </si>
  <si>
    <t xml:space="preserve">REMO UN BRAZO </t>
  </si>
  <si>
    <t>skipping 8mts</t>
  </si>
  <si>
    <t>burpees</t>
  </si>
  <si>
    <t xml:space="preserve">Saltos laterales </t>
  </si>
  <si>
    <t>flexo extencion de rodillas</t>
  </si>
  <si>
    <t>Día 1 FUERZA Y POTENCIA</t>
  </si>
  <si>
    <t>CADERA + HOMBROS</t>
  </si>
  <si>
    <t>ESTOCADAS con desplazamiento</t>
  </si>
  <si>
    <t>ADUCTORES MAQUINA</t>
  </si>
  <si>
    <t>PRENSA 45 (INF)</t>
  </si>
  <si>
    <t>FLEXIONES PLIOMETRICAS</t>
  </si>
  <si>
    <t xml:space="preserve">PRESS FRANCES </t>
  </si>
  <si>
    <t xml:space="preserve">Elipticon </t>
  </si>
  <si>
    <t>5/8min</t>
  </si>
  <si>
    <t>SENT SALTO 4+ SALTO CAJON 5</t>
  </si>
  <si>
    <t>4 o 6</t>
  </si>
  <si>
    <t>PRESS BA</t>
  </si>
  <si>
    <t>MARIPOSA MAQUINA 1 BRAZO</t>
  </si>
  <si>
    <t>5min</t>
  </si>
  <si>
    <t>Plancha + escalador</t>
  </si>
  <si>
    <t>INCLIN SMITH</t>
  </si>
  <si>
    <t xml:space="preserve">Sentadilla sumo </t>
  </si>
  <si>
    <t>CRUCE</t>
  </si>
  <si>
    <t>PRESS MILITAR +PUSH PRESS (6)</t>
  </si>
  <si>
    <t>PRESS INCLINADO ALT</t>
  </si>
  <si>
    <t xml:space="preserve">Tricep en polea con barra </t>
  </si>
  <si>
    <t>PRENSA 45 + gemelos(10)</t>
  </si>
  <si>
    <t>Patada de gluteo mayor  en polea</t>
  </si>
  <si>
    <t xml:space="preserve">Día 2 FUERZA </t>
  </si>
  <si>
    <t>Cinta con inclinacion 3</t>
  </si>
  <si>
    <t>Circunduccion de hombros</t>
  </si>
  <si>
    <t>Remo trx</t>
  </si>
  <si>
    <t>PESAS DE 7 Y SIN</t>
  </si>
  <si>
    <t>Remo en maquina</t>
  </si>
  <si>
    <t>Intermitente en cinta (1minX1min)</t>
  </si>
  <si>
    <t>10 min</t>
  </si>
  <si>
    <t xml:space="preserve">POGOS </t>
  </si>
  <si>
    <t>BLOQUE PLIOMETRICO</t>
  </si>
  <si>
    <t xml:space="preserve">SALTO HORIZONTAL </t>
  </si>
  <si>
    <t xml:space="preserve">Rodillas al pecho + plancha </t>
  </si>
  <si>
    <t>SENT SMITH</t>
  </si>
  <si>
    <t>Estocadas atrás con step</t>
  </si>
  <si>
    <t>Tricep trasnuca con disco</t>
  </si>
  <si>
    <t xml:space="preserve">SALTOS A 1 PIERNA </t>
  </si>
  <si>
    <t>Press inclinado mancuerna</t>
  </si>
  <si>
    <t>PRENSA</t>
  </si>
  <si>
    <t>Prensa 45 Ap Inferior</t>
  </si>
  <si>
    <t xml:space="preserve">REMO CON BARRA </t>
  </si>
  <si>
    <t>SILLA CUAD</t>
  </si>
  <si>
    <t>LANDMINE PRESS UNILAT</t>
  </si>
  <si>
    <t>SUBIENDO CARGAS</t>
  </si>
  <si>
    <t>Abduccion con banda</t>
  </si>
  <si>
    <t xml:space="preserve">  CAMILLA ISQUIOS</t>
  </si>
  <si>
    <t>10.8.6</t>
  </si>
  <si>
    <t>Sentadilla goblet + plancha</t>
  </si>
  <si>
    <t>SPRINT 15MTS</t>
  </si>
  <si>
    <t>Patada de gluteo con tobillera</t>
  </si>
  <si>
    <t>Peso muerto mancuernas</t>
  </si>
  <si>
    <t>Abduccion en maquina</t>
  </si>
  <si>
    <t xml:space="preserve">PLANCHA CON PASAJE </t>
  </si>
  <si>
    <t>Patada de gluteo Mayor</t>
  </si>
  <si>
    <t>CURL BICEP BARRA W</t>
  </si>
  <si>
    <t>Puente gluteo con banda</t>
  </si>
  <si>
    <t>Cinta con inclinacion</t>
  </si>
  <si>
    <t>BULGARAS</t>
  </si>
  <si>
    <t>Día 3 FZA VELOCIDAD Y PLIOMETRIA</t>
  </si>
  <si>
    <t>JALON 1 B</t>
  </si>
  <si>
    <t xml:space="preserve">SKIPPING LATERAL 3 MTS </t>
  </si>
  <si>
    <t xml:space="preserve">BROAD JUMP </t>
  </si>
  <si>
    <t xml:space="preserve">ADUCTORES EN MAQUINA </t>
  </si>
  <si>
    <t xml:space="preserve">DEPTH JUMP </t>
  </si>
  <si>
    <t xml:space="preserve">SPRINT 20MTS </t>
  </si>
  <si>
    <t xml:space="preserve">SALTOS LATERALES </t>
  </si>
  <si>
    <t xml:space="preserve">VUELOS LAT +FRONTALES </t>
  </si>
  <si>
    <t>SALTOS CON CAIDA DESDE CAJON</t>
  </si>
  <si>
    <t>SALTO ALTERNO EN CAJON</t>
  </si>
  <si>
    <t xml:space="preserve">ACELERACION CON BANDA </t>
  </si>
  <si>
    <t>ESTOCADA CON DEPLAZAMIENTO</t>
  </si>
  <si>
    <t>FLEX/EXT RODILLAS Y CADERA</t>
  </si>
  <si>
    <t>OBLICUOS DISCO + Puente gluteo</t>
  </si>
  <si>
    <t xml:space="preserve">PRESS BANCO PLANO </t>
  </si>
  <si>
    <t>MARIPOSA EN MAQUINA</t>
  </si>
  <si>
    <t>BICEP+PRESS</t>
  </si>
  <si>
    <t xml:space="preserve">TRICEP EN POLEA </t>
  </si>
  <si>
    <t xml:space="preserve">PRESS inclinado </t>
  </si>
  <si>
    <t>estocada isometrica +press</t>
  </si>
  <si>
    <t>8.8.6.6</t>
  </si>
  <si>
    <t xml:space="preserve">ESTOCADA FIJA </t>
  </si>
  <si>
    <t>TWIST RUSO CON DISCO</t>
  </si>
  <si>
    <t xml:space="preserve">SENTADILLA SUMO </t>
  </si>
  <si>
    <t xml:space="preserve">VUELOS LATERALES </t>
  </si>
  <si>
    <t>VUELOS LATERALES Y FRONTALES</t>
  </si>
  <si>
    <t>BICEP ALTERNO CON MANC</t>
  </si>
  <si>
    <t>90/90 + PSOAS+bicho muerto</t>
  </si>
  <si>
    <t>Salto cajon</t>
  </si>
  <si>
    <t>ESTOCADA FIJA</t>
  </si>
  <si>
    <t>SALTOS A 1 PIERNA (lateral)</t>
  </si>
  <si>
    <t>SPRINT 15MTS/asault bike 20seg</t>
  </si>
  <si>
    <t>Peso muerto +jalon con kb</t>
  </si>
  <si>
    <t>POLEA DORSAL +remo un brazo</t>
  </si>
  <si>
    <t>disco de 10kg</t>
  </si>
  <si>
    <t xml:space="preserve">PRESS DE HOMBRO EN SPLIT </t>
  </si>
  <si>
    <t xml:space="preserve">SENTA/ESTOCADAS CON SALTO </t>
  </si>
  <si>
    <t xml:space="preserve">Día 1 EMPUJE + DOM RODILLA </t>
  </si>
  <si>
    <t xml:space="preserve">PSOAS E ISQUIOS </t>
  </si>
  <si>
    <t xml:space="preserve">RANITAS DINAMICAS </t>
  </si>
  <si>
    <t xml:space="preserve">ROTACION DORSAL </t>
  </si>
  <si>
    <t>plancha codo mano + twist ruso</t>
  </si>
  <si>
    <t xml:space="preserve">PUENTE GLUTEO 1 PIERNA </t>
  </si>
  <si>
    <t xml:space="preserve">Estocada con salto </t>
  </si>
  <si>
    <t>Puente gluteo 1 pierna</t>
  </si>
  <si>
    <t xml:space="preserve">Flexiones + subo cajon </t>
  </si>
  <si>
    <t xml:space="preserve">Día 1  </t>
  </si>
  <si>
    <t>8.6.4.4</t>
  </si>
  <si>
    <t>subiendo carga</t>
  </si>
  <si>
    <t xml:space="preserve">PRESS INCLINADO MANC </t>
  </si>
  <si>
    <t xml:space="preserve">ESTOCADA ATRÁS  EN SMITH  </t>
  </si>
  <si>
    <t>17.5-20 kg</t>
  </si>
  <si>
    <t xml:space="preserve">PRESS MILITAR EN SPLIT </t>
  </si>
  <si>
    <t xml:space="preserve">10.8.6.6 </t>
  </si>
  <si>
    <t xml:space="preserve">con banda </t>
  </si>
  <si>
    <t xml:space="preserve">COORDINACION EN STEP </t>
  </si>
  <si>
    <t>POGO 4+ saltos laterales</t>
  </si>
  <si>
    <t>4.2.2</t>
  </si>
  <si>
    <t>PESO MUERTO</t>
  </si>
  <si>
    <t>FZA MAXIMA/SUB MAX</t>
  </si>
  <si>
    <t xml:space="preserve">SKATER JUMP </t>
  </si>
  <si>
    <t xml:space="preserve">ESTOCADA +ROTACION DISCO </t>
  </si>
  <si>
    <t xml:space="preserve">ARRODILLADO +SALTO EN LARGO </t>
  </si>
  <si>
    <t xml:space="preserve">REMO MAQUINA </t>
  </si>
  <si>
    <t xml:space="preserve">MOV cadera rodilla y tobillo </t>
  </si>
  <si>
    <t>2 min</t>
  </si>
  <si>
    <t xml:space="preserve">Dinamica </t>
  </si>
  <si>
    <t>plancha con pasaje + twist ruso</t>
  </si>
  <si>
    <t xml:space="preserve">PLANCHA lateral </t>
  </si>
  <si>
    <t>30"</t>
  </si>
  <si>
    <t>CORE</t>
  </si>
  <si>
    <t xml:space="preserve">estocada  atrás overhead </t>
  </si>
  <si>
    <t>peso sobre cabeza</t>
  </si>
  <si>
    <t xml:space="preserve"> REMO UN BRAZO </t>
  </si>
  <si>
    <t xml:space="preserve">SENTADILLA ISOMETRICA </t>
  </si>
  <si>
    <t xml:space="preserve">8.6 </t>
  </si>
  <si>
    <t xml:space="preserve">PLANCHA CODO MANO </t>
  </si>
  <si>
    <t xml:space="preserve">ESTOCADA CON SALTO </t>
  </si>
  <si>
    <t xml:space="preserve">Día 2 </t>
  </si>
  <si>
    <t xml:space="preserve">liviano y dinamico </t>
  </si>
  <si>
    <t>estocada atrás overhead</t>
  </si>
  <si>
    <t>SALTOS CONTINUO</t>
  </si>
  <si>
    <t>pesa sobre cabeza</t>
  </si>
  <si>
    <t xml:space="preserve">con rodilla al pecho </t>
  </si>
  <si>
    <t>ESTOCADAS BULGARA  +pisadas</t>
  </si>
  <si>
    <t>PESAS DE 15/sin peso</t>
  </si>
  <si>
    <t>FLEXIONES 6 + 4 EXPLOSIVAS</t>
  </si>
  <si>
    <t>6.4</t>
  </si>
  <si>
    <t xml:space="preserve">FLEXIONES explosivas </t>
  </si>
  <si>
    <t xml:space="preserve">HIP THRUST 1 PIERNA </t>
  </si>
  <si>
    <t xml:space="preserve">PRESS LANDMINE 1 BRAZO </t>
  </si>
  <si>
    <t xml:space="preserve">BICEP  BARRA W +fondo </t>
  </si>
  <si>
    <t xml:space="preserve">SOGA </t>
  </si>
  <si>
    <t xml:space="preserve">90/90 - PSOAS-rodillas </t>
  </si>
  <si>
    <t xml:space="preserve">SENTADILLA +PRESS </t>
  </si>
  <si>
    <t xml:space="preserve">OBLICUOS CON DISCO </t>
  </si>
  <si>
    <t xml:space="preserve">ABS EN V  +PUENTE GLUTEO </t>
  </si>
  <si>
    <t>SPLIT JERK</t>
  </si>
  <si>
    <t xml:space="preserve">SALTO AL CAJON </t>
  </si>
  <si>
    <t xml:space="preserve">3.3 </t>
  </si>
  <si>
    <t>4/5 MIN</t>
  </si>
  <si>
    <t xml:space="preserve">RECIBIR EN POSICION DE ESTOCADA </t>
  </si>
  <si>
    <t>PRESS INCLINADO MANC ALTERNO</t>
  </si>
  <si>
    <t xml:space="preserve">8.8 </t>
  </si>
  <si>
    <t>MANC DE 12 O 15</t>
  </si>
  <si>
    <t xml:space="preserve">SENTADILLA SMITH </t>
  </si>
  <si>
    <t xml:space="preserve">ESTOCADA DE POTENCIA </t>
  </si>
  <si>
    <t xml:space="preserve">PROFUNDA </t>
  </si>
  <si>
    <t>PONER STEP Y PISAR FUERTE Y EXTENDER</t>
  </si>
  <si>
    <t xml:space="preserve">CAIDA + 2 SALTOS REACTIVOS </t>
  </si>
  <si>
    <t>ACELERACION+RETROSESO</t>
  </si>
  <si>
    <t>SUBO CAJON</t>
  </si>
  <si>
    <t>PLANCHA+ABS BISAGRA DISCO</t>
  </si>
  <si>
    <t xml:space="preserve">PRESS FRANCES MANC </t>
  </si>
  <si>
    <t>30".12</t>
  </si>
  <si>
    <t xml:space="preserve"> SILLA CUADRICEPS </t>
  </si>
  <si>
    <t xml:space="preserve">REMO un brazo </t>
  </si>
  <si>
    <t xml:space="preserve">CAMILLA ISQUIOS 1 pierna </t>
  </si>
  <si>
    <t>REMO AMPLIO</t>
  </si>
  <si>
    <t>BICEP O TRICEP (A ELECCION)</t>
  </si>
  <si>
    <t xml:space="preserve">SALTO CON CARGA </t>
  </si>
  <si>
    <t xml:space="preserve">ESTOCADA +RODILLA ARRIBA </t>
  </si>
  <si>
    <t>EN STEP/CAJON</t>
  </si>
  <si>
    <t xml:space="preserve">BULGARAS </t>
  </si>
  <si>
    <t xml:space="preserve">PRENSA 45  AP.INFERIOR </t>
  </si>
  <si>
    <t xml:space="preserve">ESCALADORES </t>
  </si>
  <si>
    <t>PUENTE GLUTEO EXPLO+EMPUJE</t>
  </si>
  <si>
    <t xml:space="preserve">FACE PULL </t>
  </si>
  <si>
    <t xml:space="preserve">Día 3 </t>
  </si>
  <si>
    <t xml:space="preserve">HIP THRUST </t>
  </si>
  <si>
    <t xml:space="preserve">BULGARAS EN SMITH </t>
  </si>
  <si>
    <t xml:space="preserve">REMO UN BRAZO MAQUINA </t>
  </si>
  <si>
    <t xml:space="preserve">BICEP +PRESS </t>
  </si>
  <si>
    <t xml:space="preserve">PLANCHA CON PESO </t>
  </si>
  <si>
    <t xml:space="preserve">PESO MUERTO 1P-ADUCTORES </t>
  </si>
  <si>
    <t>DISCO DE 10</t>
  </si>
  <si>
    <t>PATADA GLUTEO COMPLETA</t>
  </si>
  <si>
    <t xml:space="preserve"> ALTURA DE CADERA</t>
  </si>
  <si>
    <t xml:space="preserve">ABS EN V </t>
  </si>
  <si>
    <t>DISCO DE 5/7,5</t>
  </si>
  <si>
    <t xml:space="preserve">SALTOS </t>
  </si>
  <si>
    <t xml:space="preserve">ESTOCADA FIJA 6 +CON SALTO 4 </t>
  </si>
  <si>
    <t xml:space="preserve">las con salto sin peso </t>
  </si>
  <si>
    <t>BROAD JUMP O SALTO HORIZONTAL</t>
  </si>
  <si>
    <t xml:space="preserve">busca caer lejos y salir de nuevo </t>
  </si>
  <si>
    <t>DEPTH JUMP (BUSCA ALTURA))</t>
  </si>
  <si>
    <t>buscar altura amortiguando el salto</t>
  </si>
  <si>
    <t xml:space="preserve">CARGADA DE POTENCIA </t>
  </si>
  <si>
    <t>4min</t>
  </si>
  <si>
    <t>subir carga cada serie y regular reps</t>
  </si>
  <si>
    <t xml:space="preserve">MOVILIDAD </t>
  </si>
  <si>
    <t xml:space="preserve">REMO BARRA + DOMINADAS </t>
  </si>
  <si>
    <t>ARRANQUE POTENCIA MANC</t>
  </si>
  <si>
    <t xml:space="preserve">TWIST RUSO ARRODILLADO CON BARRA </t>
  </si>
  <si>
    <t xml:space="preserve">10/12 METROS </t>
  </si>
  <si>
    <t xml:space="preserve">CORE Y ACTIVACION </t>
  </si>
  <si>
    <t>PLANCHA+ REMO BANDA</t>
  </si>
  <si>
    <t xml:space="preserve">SENTADILLA GOBLET </t>
  </si>
  <si>
    <t>8.6.6.4</t>
  </si>
  <si>
    <t>3MIN</t>
  </si>
  <si>
    <t xml:space="preserve">SUBIENDO CARGA </t>
  </si>
  <si>
    <t>PRESS MILITAR CON BARRA</t>
  </si>
  <si>
    <t xml:space="preserve">ESTOCADA ATRÁS  CON BARRA   </t>
  </si>
  <si>
    <t xml:space="preserve">PLIOMETRIA </t>
  </si>
  <si>
    <t xml:space="preserve">POTENCIA </t>
  </si>
  <si>
    <t>REMO AG NEUTRO</t>
  </si>
  <si>
    <t>FUERZA</t>
  </si>
  <si>
    <t>PUENTE 1 P GLUTEO CON MANC</t>
  </si>
  <si>
    <t>PESA 12/15</t>
  </si>
  <si>
    <t>METCON/CIRCUITO /WORKOUT</t>
  </si>
  <si>
    <t>PSOAS E ISQUIOS</t>
  </si>
  <si>
    <t>RODILLA ACOSTADO</t>
  </si>
  <si>
    <t xml:space="preserve">CRUCES ESPALDA BAJA </t>
  </si>
  <si>
    <t xml:space="preserve">PLANCHA </t>
  </si>
  <si>
    <t xml:space="preserve">ACTIVACION </t>
  </si>
  <si>
    <t xml:space="preserve">PUENTE GLUTEO </t>
  </si>
  <si>
    <t xml:space="preserve">ABS COMPLETO </t>
  </si>
  <si>
    <t>SENTADILLA CON MANC</t>
  </si>
  <si>
    <t>POGOS (6) + HORIZONTAL (3)</t>
  </si>
  <si>
    <t>10.8.6.6</t>
  </si>
  <si>
    <t xml:space="preserve">MAS CARGA AL FINAL </t>
  </si>
  <si>
    <t>PRESS PLANO + PRESS FRANCES</t>
  </si>
  <si>
    <t xml:space="preserve">FLEXO EXTENSION DE CADERA </t>
  </si>
  <si>
    <t xml:space="preserve">ADUCTORES </t>
  </si>
  <si>
    <t xml:space="preserve">DORSAL </t>
  </si>
  <si>
    <t xml:space="preserve">ABS EN V CON DISCO </t>
  </si>
  <si>
    <t>ACTIVACION</t>
  </si>
  <si>
    <t xml:space="preserve">PALLOF DESDE ESTOCADA </t>
  </si>
  <si>
    <t xml:space="preserve">ESTOCADA LATERAL </t>
  </si>
  <si>
    <t>SUBO CAJON +RODILLA ARRIBA</t>
  </si>
  <si>
    <t>SANCADA + SALTO VERTICAL 1P</t>
  </si>
  <si>
    <t>2 MIN</t>
  </si>
  <si>
    <t xml:space="preserve">BULGARAS CON REBOTE </t>
  </si>
  <si>
    <t>3 MIN</t>
  </si>
  <si>
    <t xml:space="preserve">MAS CARGA ULTIMAS DOS SERIES </t>
  </si>
  <si>
    <t xml:space="preserve">ESTOCADA ATRÁS EN STEP </t>
  </si>
  <si>
    <t>PATADA GLUTEO /PRENSA 45</t>
  </si>
  <si>
    <t>90/90 CADERA</t>
  </si>
  <si>
    <t xml:space="preserve">MOVILIDAD DE HOMBROS </t>
  </si>
  <si>
    <t>CADERA</t>
  </si>
  <si>
    <t xml:space="preserve">PLANCHA CARPA </t>
  </si>
  <si>
    <t xml:space="preserve">CRUNCH + EMPUJE </t>
  </si>
  <si>
    <t>PLANCHA LATERAL ROTACION</t>
  </si>
  <si>
    <t xml:space="preserve">REMO EN TRX </t>
  </si>
  <si>
    <t xml:space="preserve">SKIPING 20 " LATERAL CON BANDA </t>
  </si>
  <si>
    <t>20"</t>
  </si>
  <si>
    <t>CAIDA DESDE CAJON + 2 SALTOS</t>
  </si>
  <si>
    <t>RODILLA Y TOBILLO</t>
  </si>
  <si>
    <t>PRESS INCLINADO ATERNO</t>
  </si>
  <si>
    <t xml:space="preserve">VUELOS LATERALES + FRONTALES </t>
  </si>
  <si>
    <t xml:space="preserve">PLANCHA +remo </t>
  </si>
  <si>
    <t xml:space="preserve">DEAD BUG </t>
  </si>
  <si>
    <t xml:space="preserve">SENTADILLAS </t>
  </si>
  <si>
    <t xml:space="preserve">SALTAR SOGA </t>
  </si>
  <si>
    <t>POGOS (10)+ BOX JUMPS 4</t>
  </si>
  <si>
    <t>DEPTH JUMPS 4 +BROAD 4</t>
  </si>
  <si>
    <t>6.5.4.3</t>
  </si>
  <si>
    <t>8 O 9</t>
  </si>
  <si>
    <t>ESTOCADAS CON DESPLAZAMIENTO</t>
  </si>
  <si>
    <t>WALL BALLS O THUSTERS</t>
  </si>
  <si>
    <t>4 O 5 BLOQUES</t>
  </si>
  <si>
    <t xml:space="preserve">800 MTS RUN </t>
  </si>
  <si>
    <t>DESCANSO 1MIN 20"</t>
  </si>
  <si>
    <t xml:space="preserve">SIT UPS CON DISCO </t>
  </si>
  <si>
    <t xml:space="preserve">FLEXIONES </t>
  </si>
  <si>
    <t xml:space="preserve">SANCADAS </t>
  </si>
  <si>
    <t xml:space="preserve">3 O 4 </t>
  </si>
  <si>
    <t>MED BALL THROW</t>
  </si>
  <si>
    <t>LANZAMIENTO LAT</t>
  </si>
  <si>
    <t xml:space="preserve">FLEXIONES PLIOMETRICAS </t>
  </si>
  <si>
    <t xml:space="preserve">TRACCION DE TRINEO </t>
  </si>
  <si>
    <t>12,5MTS</t>
  </si>
  <si>
    <t xml:space="preserve">EMPUJE DE TRINEO </t>
  </si>
  <si>
    <t>plancha 1min</t>
  </si>
  <si>
    <t xml:space="preserve">abs en v con disco </t>
  </si>
  <si>
    <t xml:space="preserve">HOLLOW </t>
  </si>
  <si>
    <t xml:space="preserve">SUPERMAN LUMBAR </t>
  </si>
  <si>
    <t xml:space="preserve">30 SEG </t>
  </si>
  <si>
    <t xml:space="preserve">Sentadilla con manc </t>
  </si>
  <si>
    <t xml:space="preserve">ARRASTRE FEMORAL </t>
  </si>
  <si>
    <t>POGOS -SOGA</t>
  </si>
  <si>
    <t>30SEG</t>
  </si>
  <si>
    <t>BOX JUMP 4 +BROAD JUMP 4</t>
  </si>
  <si>
    <t>SKATER JUMP</t>
  </si>
  <si>
    <t>4..3..2</t>
  </si>
  <si>
    <t>60-70-80%</t>
  </si>
  <si>
    <t>SENTADILLA GOBLET</t>
  </si>
  <si>
    <t>prensa piernas juntas</t>
  </si>
  <si>
    <t xml:space="preserve">pogos </t>
  </si>
  <si>
    <t xml:space="preserve">1 KM-800MTS RUN </t>
  </si>
  <si>
    <t>CIRCUITO NEURO X3</t>
  </si>
  <si>
    <t>1KM DE SKI</t>
  </si>
  <si>
    <t>ENTRO SALGO 30"</t>
  </si>
  <si>
    <t>WALL BALLS</t>
  </si>
  <si>
    <t>SKIPING LATERAL 30"</t>
  </si>
  <si>
    <t xml:space="preserve">800MTS FARMER CARRY </t>
  </si>
  <si>
    <t>800MTS</t>
  </si>
  <si>
    <t>SPRINT 30MTS</t>
  </si>
  <si>
    <t xml:space="preserve">salto al cajon </t>
  </si>
  <si>
    <t xml:space="preserve">sentadilla libre </t>
  </si>
  <si>
    <t xml:space="preserve">8.8 .6.6 </t>
  </si>
  <si>
    <t xml:space="preserve">estocadas atrás desde step </t>
  </si>
  <si>
    <t xml:space="preserve">Sentadilla con salto </t>
  </si>
  <si>
    <t>TWIST RUSO</t>
  </si>
  <si>
    <t xml:space="preserve">press plano alterno + flexiones </t>
  </si>
  <si>
    <t xml:space="preserve">Vuelos laterales +press frances </t>
  </si>
  <si>
    <t xml:space="preserve">ESTOCADA OVERHEAD </t>
  </si>
  <si>
    <t xml:space="preserve">PUSH PRESS </t>
  </si>
  <si>
    <t>3..4</t>
  </si>
  <si>
    <t xml:space="preserve">DOMINADAS LASTRADAS </t>
  </si>
  <si>
    <t xml:space="preserve">remo ampio maquina </t>
  </si>
  <si>
    <t xml:space="preserve">polea dorsal prona </t>
  </si>
  <si>
    <t xml:space="preserve">Bicep con barra w </t>
  </si>
  <si>
    <t xml:space="preserve">Vuelos posteriores en mariposa </t>
  </si>
  <si>
    <t xml:space="preserve">skiping lateral 5mts </t>
  </si>
  <si>
    <t>5mts</t>
  </si>
  <si>
    <t>16 pasos</t>
  </si>
  <si>
    <t xml:space="preserve">Pres plano con barra </t>
  </si>
  <si>
    <t xml:space="preserve">8.8.6.6 </t>
  </si>
  <si>
    <t xml:space="preserve">press inclinado alterno </t>
  </si>
  <si>
    <t xml:space="preserve">twist ruso con barra </t>
  </si>
  <si>
    <t xml:space="preserve">press de hombro desde estocada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</si>
</sst>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0"/>
      <name val="Calibri"/>
    </font>
    <font/>
    <font>
      <color theme="1"/>
      <name val="Calibri"/>
      <scheme val="minor"/>
    </font>
    <font>
      <b/>
      <sz val="11.0"/>
      <color theme="1"/>
      <name val="Calibri"/>
    </font>
    <font>
      <sz val="11.0"/>
      <color rgb="FFFF0000"/>
      <name val="Calibri"/>
    </font>
  </fonts>
  <fills count="37">
    <fill>
      <patternFill patternType="none"/>
    </fill>
    <fill>
      <patternFill patternType="lightGray"/>
    </fill>
    <fill>
      <patternFill patternType="solid">
        <fgColor rgb="FF7F7F7F"/>
        <bgColor rgb="FF7F7F7F"/>
      </patternFill>
    </fill>
    <fill>
      <patternFill patternType="solid">
        <fgColor theme="9"/>
        <bgColor theme="9"/>
      </patternFill>
    </fill>
    <fill>
      <patternFill patternType="solid">
        <fgColor rgb="FFC55A11"/>
        <bgColor rgb="FFC55A11"/>
      </patternFill>
    </fill>
    <fill>
      <patternFill patternType="solid">
        <fgColor theme="5"/>
        <bgColor theme="5"/>
      </patternFill>
    </fill>
    <fill>
      <patternFill patternType="solid">
        <fgColor rgb="FFFF0000"/>
        <bgColor rgb="FFFF0000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F7CAAC"/>
        <bgColor rgb="FFF7CAAC"/>
      </patternFill>
    </fill>
    <fill>
      <patternFill patternType="solid">
        <fgColor rgb="FFF4B083"/>
        <bgColor rgb="FFF4B083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0099FF"/>
        <bgColor rgb="FF0099FF"/>
      </patternFill>
    </fill>
    <fill>
      <patternFill patternType="solid">
        <fgColor theme="4"/>
        <bgColor theme="4"/>
      </patternFill>
    </fill>
    <fill>
      <patternFill patternType="solid">
        <fgColor rgb="FFBDD6EE"/>
        <bgColor rgb="FFBDD6EE"/>
      </patternFill>
    </fill>
    <fill>
      <patternFill patternType="solid">
        <fgColor rgb="FFB4C6E7"/>
        <bgColor rgb="FFB4C6E7"/>
      </patternFill>
    </fill>
    <fill>
      <patternFill patternType="solid">
        <fgColor rgb="FFF22712"/>
        <bgColor rgb="FFF22712"/>
      </patternFill>
    </fill>
    <fill>
      <patternFill patternType="solid">
        <fgColor rgb="FFF2F2F2"/>
        <bgColor rgb="FFF2F2F2"/>
      </patternFill>
    </fill>
    <fill>
      <patternFill patternType="solid">
        <fgColor rgb="FFD9E2F3"/>
        <bgColor rgb="FFD9E2F3"/>
      </patternFill>
    </fill>
    <fill>
      <patternFill patternType="solid">
        <fgColor rgb="FF0070C0"/>
        <bgColor rgb="FF0070C0"/>
      </patternFill>
    </fill>
    <fill>
      <patternFill patternType="solid">
        <fgColor rgb="FF92D050"/>
        <bgColor rgb="FF92D050"/>
      </patternFill>
    </fill>
    <fill>
      <patternFill patternType="solid">
        <fgColor rgb="FF8EAADB"/>
        <bgColor rgb="FF8EAADB"/>
      </patternFill>
    </fill>
    <fill>
      <patternFill patternType="solid">
        <fgColor rgb="FFBFBFBF"/>
        <bgColor rgb="FFBFBFBF"/>
      </patternFill>
    </fill>
    <fill>
      <patternFill patternType="solid">
        <fgColor rgb="FF9CC2E5"/>
        <bgColor rgb="FF9CC2E5"/>
      </patternFill>
    </fill>
    <fill>
      <patternFill patternType="solid">
        <fgColor rgb="FFC5E0B3"/>
        <bgColor rgb="FFC5E0B3"/>
      </patternFill>
    </fill>
    <fill>
      <patternFill patternType="solid">
        <fgColor rgb="FF7030A0"/>
        <bgColor rgb="FF7030A0"/>
      </patternFill>
    </fill>
    <fill>
      <patternFill patternType="solid">
        <fgColor rgb="FF000000"/>
        <bgColor rgb="FF000000"/>
      </patternFill>
    </fill>
    <fill>
      <patternFill patternType="solid">
        <fgColor rgb="FFF75237"/>
        <bgColor rgb="FFF75237"/>
      </patternFill>
    </fill>
    <fill>
      <patternFill patternType="solid">
        <fgColor theme="7"/>
        <bgColor theme="7"/>
      </patternFill>
    </fill>
    <fill>
      <patternFill patternType="solid">
        <fgColor rgb="FF2E75B5"/>
        <bgColor rgb="FF2E75B5"/>
      </patternFill>
    </fill>
    <fill>
      <patternFill patternType="solid">
        <fgColor rgb="FFC8C8C8"/>
        <bgColor rgb="FFC8C8C8"/>
      </patternFill>
    </fill>
    <fill>
      <patternFill patternType="solid">
        <fgColor theme="8"/>
        <bgColor theme="8"/>
      </patternFill>
    </fill>
    <fill>
      <patternFill patternType="solid">
        <fgColor rgb="FFFFD965"/>
        <bgColor rgb="FFFFD965"/>
      </patternFill>
    </fill>
    <fill>
      <patternFill patternType="solid">
        <fgColor rgb="FFA8D08D"/>
        <bgColor rgb="FFA8D08D"/>
      </patternFill>
    </fill>
    <fill>
      <patternFill patternType="solid">
        <fgColor rgb="FFBF9000"/>
        <bgColor rgb="FFBF9000"/>
      </patternFill>
    </fill>
    <fill>
      <patternFill patternType="solid">
        <fgColor rgb="FFD8D8D8"/>
        <bgColor rgb="FFD8D8D8"/>
      </patternFill>
    </fill>
  </fills>
  <borders count="27">
    <border/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7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4" fillId="3" fontId="2" numFmtId="0" xfId="0" applyAlignment="1" applyBorder="1" applyFill="1" applyFont="1">
      <alignment horizontal="center" vertical="center"/>
    </xf>
    <xf borderId="4" fillId="4" fontId="2" numFmtId="0" xfId="0" applyAlignment="1" applyBorder="1" applyFill="1" applyFont="1">
      <alignment horizontal="center" vertical="center"/>
    </xf>
    <xf borderId="5" fillId="3" fontId="2" numFmtId="0" xfId="0" applyAlignment="1" applyBorder="1" applyFill="1" applyFont="1">
      <alignment horizontal="center" vertical="center"/>
    </xf>
    <xf borderId="6" fillId="0" fontId="3" numFmtId="0" xfId="0" applyBorder="1" applyFont="1"/>
    <xf borderId="7" fillId="0" fontId="3" numFmtId="0" xfId="0" applyBorder="1" applyFont="1"/>
    <xf borderId="5" fillId="4" fontId="2" numFmtId="0" xfId="0" applyAlignment="1" applyBorder="1" applyFill="1" applyFont="1">
      <alignment horizontal="center" vertical="center"/>
    </xf>
    <xf borderId="8" fillId="2" fontId="2" numFmtId="0" xfId="0" applyAlignment="1" applyBorder="1" applyFill="1" applyFont="1">
      <alignment horizontal="center"/>
    </xf>
    <xf borderId="9" fillId="0" fontId="3" numFmtId="0" xfId="0" applyBorder="1" applyFont="1"/>
    <xf borderId="10" fillId="0" fontId="3" numFmtId="0" xfId="0" applyBorder="1" applyFont="1"/>
    <xf borderId="8" fillId="5" fontId="2" numFmtId="0" xfId="0" applyAlignment="1" applyBorder="1" applyFill="1" applyFont="1">
      <alignment horizontal="center"/>
    </xf>
    <xf borderId="4" fillId="6" fontId="1" numFmtId="0" xfId="0" applyBorder="1" applyFill="1" applyFont="1"/>
    <xf borderId="4" fillId="0" fontId="1" numFmtId="0" xfId="0" applyBorder="1" applyFont="1"/>
    <xf borderId="11" fillId="6" fontId="1" numFmtId="0" xfId="0" applyAlignment="1" applyBorder="1" applyFill="1" applyFont="1">
      <alignment horizontal="center"/>
    </xf>
    <xf borderId="12" fillId="0" fontId="3" numFmtId="0" xfId="0" applyBorder="1" applyFont="1"/>
    <xf borderId="11" fillId="7" fontId="1" numFmtId="0" xfId="0" applyAlignment="1" applyBorder="1" applyFill="1" applyFont="1">
      <alignment horizontal="center"/>
    </xf>
    <xf borderId="13" fillId="0" fontId="3" numFmtId="0" xfId="0" applyBorder="1" applyFont="1"/>
    <xf borderId="4" fillId="7" fontId="1" numFmtId="0" xfId="0" applyBorder="1" applyFill="1" applyFont="1"/>
    <xf borderId="4" fillId="7" fontId="1" numFmtId="49" xfId="0" applyAlignment="1" applyBorder="1" applyFill="1" applyFont="1" applyNumberFormat="1">
      <alignment horizontal="right"/>
    </xf>
    <xf borderId="14" fillId="6" fontId="1" numFmtId="0" xfId="0" applyAlignment="1" applyBorder="1" applyFill="1" applyFont="1">
      <alignment horizontal="center"/>
    </xf>
    <xf borderId="6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15" fillId="0" fontId="1" numFmtId="0" xfId="0" applyAlignment="1" applyBorder="1" applyFont="1">
      <alignment horizontal="center"/>
    </xf>
    <xf borderId="4" fillId="8" fontId="1" numFmtId="0" xfId="0" applyBorder="1" applyFill="1" applyFont="1"/>
    <xf borderId="4" fillId="9" fontId="1" numFmtId="0" xfId="0" applyAlignment="1" applyBorder="1" applyFill="1" applyFont="1">
      <alignment horizontal="center"/>
    </xf>
    <xf borderId="15" fillId="0" fontId="3" numFmtId="0" xfId="0" applyBorder="1" applyFont="1"/>
    <xf borderId="11" fillId="8" fontId="1" numFmtId="0" xfId="0" applyAlignment="1" applyBorder="1" applyFill="1" applyFont="1">
      <alignment horizontal="center"/>
    </xf>
    <xf borderId="4" fillId="0" fontId="1" numFmtId="49" xfId="0" applyAlignment="1" applyBorder="1" applyFont="1" applyNumberFormat="1">
      <alignment horizontal="right"/>
    </xf>
    <xf borderId="4" fillId="8" fontId="1" numFmtId="49" xfId="0" applyAlignment="1" applyBorder="1" applyFill="1" applyFont="1" applyNumberFormat="1">
      <alignment horizontal="right"/>
    </xf>
    <xf borderId="14" fillId="8" fontId="1" numFmtId="0" xfId="0" applyAlignment="1" applyBorder="1" applyFill="1" applyFont="1">
      <alignment horizontal="center"/>
    </xf>
    <xf borderId="4" fillId="10" fontId="1" numFmtId="0" xfId="0" applyAlignment="1" applyBorder="1" applyFill="1" applyFont="1">
      <alignment horizontal="center"/>
    </xf>
    <xf borderId="4" fillId="0" fontId="1" numFmtId="0" xfId="0" applyAlignment="1" applyBorder="1" applyFont="1">
      <alignment horizontal="center"/>
    </xf>
    <xf borderId="4" fillId="11" fontId="1" numFmtId="0" xfId="0" applyAlignment="1" applyBorder="1" applyFill="1" applyFont="1">
      <alignment horizontal="center"/>
    </xf>
    <xf borderId="16" fillId="0" fontId="1" numFmtId="0" xfId="0" applyAlignment="1" applyBorder="1" applyFont="1">
      <alignment horizontal="center"/>
    </xf>
    <xf borderId="17" fillId="11" fontId="1" numFmtId="0" xfId="0" applyAlignment="1" applyBorder="1" applyFill="1" applyFont="1">
      <alignment horizontal="center"/>
    </xf>
    <xf borderId="11" fillId="12" fontId="1" numFmtId="0" xfId="0" applyAlignment="1" applyBorder="1" applyFill="1" applyFont="1">
      <alignment horizontal="center"/>
    </xf>
    <xf borderId="4" fillId="12" fontId="1" numFmtId="0" xfId="0" applyBorder="1" applyFill="1" applyFont="1"/>
    <xf borderId="4" fillId="12" fontId="1" numFmtId="49" xfId="0" applyAlignment="1" applyBorder="1" applyFill="1" applyFont="1" applyNumberFormat="1">
      <alignment horizontal="right"/>
    </xf>
    <xf borderId="14" fillId="12" fontId="1" numFmtId="0" xfId="0" applyAlignment="1" applyBorder="1" applyFill="1" applyFont="1">
      <alignment horizontal="center"/>
    </xf>
    <xf borderId="4" fillId="0" fontId="1" numFmtId="49" xfId="0" applyBorder="1" applyFont="1" applyNumberFormat="1"/>
    <xf borderId="4" fillId="8" fontId="1" numFmtId="49" xfId="0" applyBorder="1" applyFill="1" applyFont="1" applyNumberFormat="1"/>
    <xf borderId="11" fillId="13" fontId="1" numFmtId="0" xfId="0" applyAlignment="1" applyBorder="1" applyFill="1" applyFont="1">
      <alignment horizontal="center"/>
    </xf>
    <xf borderId="4" fillId="13" fontId="1" numFmtId="0" xfId="0" applyBorder="1" applyFill="1" applyFont="1"/>
    <xf borderId="4" fillId="13" fontId="1" numFmtId="49" xfId="0" applyBorder="1" applyFill="1" applyFont="1" applyNumberFormat="1"/>
    <xf borderId="14" fillId="13" fontId="1" numFmtId="0" xfId="0" applyAlignment="1" applyBorder="1" applyFill="1" applyFont="1">
      <alignment horizontal="center"/>
    </xf>
    <xf borderId="4" fillId="14" fontId="1" numFmtId="0" xfId="0" applyBorder="1" applyFill="1" applyFont="1"/>
    <xf borderId="11" fillId="14" fontId="1" numFmtId="0" xfId="0" applyAlignment="1" applyBorder="1" applyFill="1" applyFont="1">
      <alignment horizontal="center"/>
    </xf>
    <xf borderId="14" fillId="14" fontId="1" numFmtId="0" xfId="0" applyAlignment="1" applyBorder="1" applyFill="1" applyFont="1">
      <alignment horizontal="center"/>
    </xf>
    <xf borderId="4" fillId="12" fontId="1" numFmtId="49" xfId="0" applyBorder="1" applyFill="1" applyFont="1" applyNumberFormat="1"/>
    <xf borderId="4" fillId="15" fontId="1" numFmtId="0" xfId="0" applyBorder="1" applyFill="1" applyFont="1"/>
    <xf borderId="11" fillId="15" fontId="1" numFmtId="0" xfId="0" applyAlignment="1" applyBorder="1" applyFill="1" applyFont="1">
      <alignment horizontal="center"/>
    </xf>
    <xf borderId="14" fillId="15" fontId="1" numFmtId="0" xfId="0" applyAlignment="1" applyBorder="1" applyFill="1" applyFont="1">
      <alignment horizontal="center"/>
    </xf>
    <xf borderId="5" fillId="15" fontId="1" numFmtId="0" xfId="0" applyAlignment="1" applyBorder="1" applyFill="1" applyFont="1">
      <alignment horizontal="center"/>
    </xf>
    <xf borderId="18" fillId="15" fontId="1" numFmtId="0" xfId="0" applyAlignment="1" applyBorder="1" applyFill="1" applyFont="1">
      <alignment horizontal="center"/>
    </xf>
    <xf borderId="5" fillId="0" fontId="1" numFmtId="0" xfId="0" applyAlignment="1" applyBorder="1" applyFont="1">
      <alignment horizontal="center"/>
    </xf>
    <xf borderId="19" fillId="15" fontId="1" numFmtId="0" xfId="0" applyBorder="1" applyFill="1" applyFont="1"/>
    <xf borderId="5" fillId="8" fontId="1" numFmtId="0" xfId="0" applyAlignment="1" applyBorder="1" applyFill="1" applyFont="1">
      <alignment horizontal="center"/>
    </xf>
    <xf borderId="5" fillId="6" fontId="1" numFmtId="0" xfId="0" applyAlignment="1" applyBorder="1" applyFill="1" applyFont="1">
      <alignment horizontal="center"/>
    </xf>
    <xf borderId="5" fillId="14" fontId="1" numFmtId="49" xfId="0" applyAlignment="1" applyBorder="1" applyFill="1" applyFont="1" applyNumberFormat="1">
      <alignment horizontal="center"/>
    </xf>
    <xf borderId="18" fillId="14" fontId="1" numFmtId="0" xfId="0" applyAlignment="1" applyBorder="1" applyFill="1" applyFont="1">
      <alignment horizontal="center"/>
    </xf>
    <xf borderId="19" fillId="14" fontId="1" numFmtId="0" xfId="0" applyBorder="1" applyFill="1" applyFont="1"/>
    <xf borderId="20" fillId="10" fontId="1" numFmtId="0" xfId="0" applyAlignment="1" applyBorder="1" applyFill="1" applyFont="1">
      <alignment horizontal="center"/>
    </xf>
    <xf borderId="5" fillId="14" fontId="1" numFmtId="0" xfId="0" applyAlignment="1" applyBorder="1" applyFill="1" applyFont="1">
      <alignment horizontal="center"/>
    </xf>
    <xf borderId="4" fillId="14" fontId="1" numFmtId="49" xfId="0" applyAlignment="1" applyBorder="1" applyFill="1" applyFont="1" applyNumberFormat="1">
      <alignment horizontal="right"/>
    </xf>
    <xf borderId="4" fillId="16" fontId="1" numFmtId="0" xfId="0" applyBorder="1" applyFill="1" applyFont="1"/>
    <xf borderId="11" fillId="16" fontId="1" numFmtId="0" xfId="0" applyAlignment="1" applyBorder="1" applyFill="1" applyFont="1">
      <alignment horizontal="center"/>
    </xf>
    <xf borderId="4" fillId="16" fontId="1" numFmtId="49" xfId="0" applyAlignment="1" applyBorder="1" applyFill="1" applyFont="1" applyNumberFormat="1">
      <alignment horizontal="right"/>
    </xf>
    <xf borderId="14" fillId="16" fontId="1" numFmtId="0" xfId="0" applyAlignment="1" applyBorder="1" applyFill="1" applyFont="1">
      <alignment horizontal="center"/>
    </xf>
    <xf borderId="4" fillId="17" fontId="1" numFmtId="0" xfId="0" applyBorder="1" applyFill="1" applyFont="1"/>
    <xf borderId="11" fillId="17" fontId="1" numFmtId="0" xfId="0" applyAlignment="1" applyBorder="1" applyFill="1" applyFont="1">
      <alignment horizontal="center"/>
    </xf>
    <xf borderId="4" fillId="17" fontId="1" numFmtId="49" xfId="0" applyAlignment="1" applyBorder="1" applyFill="1" applyFont="1" applyNumberFormat="1">
      <alignment horizontal="right"/>
    </xf>
    <xf borderId="14" fillId="17" fontId="1" numFmtId="0" xfId="0" applyAlignment="1" applyBorder="1" applyFill="1" applyFont="1">
      <alignment horizontal="center"/>
    </xf>
    <xf borderId="4" fillId="18" fontId="1" numFmtId="0" xfId="0" applyBorder="1" applyFill="1" applyFont="1"/>
    <xf borderId="11" fillId="18" fontId="1" numFmtId="0" xfId="0" applyAlignment="1" applyBorder="1" applyFill="1" applyFont="1">
      <alignment horizontal="center"/>
    </xf>
    <xf borderId="4" fillId="18" fontId="1" numFmtId="49" xfId="0" applyAlignment="1" applyBorder="1" applyFill="1" applyFont="1" applyNumberFormat="1">
      <alignment horizontal="right"/>
    </xf>
    <xf borderId="14" fillId="18" fontId="1" numFmtId="0" xfId="0" applyAlignment="1" applyBorder="1" applyFill="1" applyFont="1">
      <alignment horizontal="center"/>
    </xf>
    <xf borderId="4" fillId="17" fontId="1" numFmtId="49" xfId="0" applyBorder="1" applyFill="1" applyFont="1" applyNumberFormat="1"/>
    <xf borderId="4" fillId="14" fontId="1" numFmtId="49" xfId="0" applyBorder="1" applyFill="1" applyFont="1" applyNumberFormat="1"/>
    <xf borderId="0" fillId="0" fontId="4" numFmtId="0" xfId="0" applyFont="1"/>
    <xf borderId="4" fillId="19" fontId="1" numFmtId="0" xfId="0" applyBorder="1" applyFill="1" applyFont="1"/>
    <xf borderId="4" fillId="18" fontId="1" numFmtId="49" xfId="0" applyBorder="1" applyFill="1" applyFont="1" applyNumberFormat="1"/>
    <xf borderId="11" fillId="19" fontId="1" numFmtId="0" xfId="0" applyAlignment="1" applyBorder="1" applyFill="1" applyFont="1">
      <alignment horizontal="center"/>
    </xf>
    <xf borderId="14" fillId="19" fontId="1" numFmtId="0" xfId="0" applyAlignment="1" applyBorder="1" applyFill="1" applyFont="1">
      <alignment horizontal="center"/>
    </xf>
    <xf borderId="5" fillId="17" fontId="1" numFmtId="0" xfId="0" applyAlignment="1" applyBorder="1" applyFill="1" applyFont="1">
      <alignment horizontal="center"/>
    </xf>
    <xf borderId="18" fillId="17" fontId="1" numFmtId="0" xfId="0" applyAlignment="1" applyBorder="1" applyFill="1" applyFont="1">
      <alignment horizontal="center"/>
    </xf>
    <xf borderId="19" fillId="17" fontId="1" numFmtId="0" xfId="0" applyBorder="1" applyFill="1" applyFont="1"/>
    <xf borderId="21" fillId="14" fontId="1" numFmtId="0" xfId="0" applyBorder="1" applyFill="1" applyFont="1"/>
    <xf borderId="20" fillId="14" fontId="1" numFmtId="0" xfId="0" applyAlignment="1" applyBorder="1" applyFill="1" applyFont="1">
      <alignment horizontal="center"/>
    </xf>
    <xf borderId="4" fillId="14" fontId="1" numFmtId="0" xfId="0" applyAlignment="1" applyBorder="1" applyFill="1" applyFont="1">
      <alignment horizontal="center"/>
    </xf>
    <xf borderId="20" fillId="14" fontId="1" numFmtId="0" xfId="0" applyBorder="1" applyFill="1" applyFont="1"/>
    <xf borderId="20" fillId="2" fontId="2" numFmtId="0" xfId="0" applyAlignment="1" applyBorder="1" applyFill="1" applyFont="1">
      <alignment horizontal="center"/>
    </xf>
    <xf borderId="22" fillId="14" fontId="1" numFmtId="0" xfId="0" applyBorder="1" applyFill="1" applyFont="1"/>
    <xf borderId="5" fillId="12" fontId="1" numFmtId="0" xfId="0" applyAlignment="1" applyBorder="1" applyFill="1" applyFont="1">
      <alignment horizontal="center"/>
    </xf>
    <xf borderId="18" fillId="12" fontId="1" numFmtId="0" xfId="0" applyAlignment="1" applyBorder="1" applyFill="1" applyFont="1">
      <alignment horizontal="center"/>
    </xf>
    <xf borderId="19" fillId="12" fontId="1" numFmtId="0" xfId="0" applyBorder="1" applyFill="1" applyFont="1"/>
    <xf borderId="4" fillId="20" fontId="1" numFmtId="0" xfId="0" applyBorder="1" applyFill="1" applyFont="1"/>
    <xf borderId="11" fillId="20" fontId="1" numFmtId="0" xfId="0" applyAlignment="1" applyBorder="1" applyFill="1" applyFont="1">
      <alignment horizontal="center"/>
    </xf>
    <xf borderId="14" fillId="20" fontId="1" numFmtId="0" xfId="0" applyAlignment="1" applyBorder="1" applyFill="1" applyFont="1">
      <alignment horizontal="center"/>
    </xf>
    <xf borderId="5" fillId="20" fontId="1" numFmtId="0" xfId="0" applyAlignment="1" applyBorder="1" applyFill="1" applyFont="1">
      <alignment horizontal="center"/>
    </xf>
    <xf borderId="7" fillId="0" fontId="1" numFmtId="0" xfId="0" applyBorder="1" applyFont="1"/>
    <xf borderId="20" fillId="8" fontId="1" numFmtId="0" xfId="0" applyBorder="1" applyFill="1" applyFont="1"/>
    <xf borderId="8" fillId="14" fontId="5" numFmtId="0" xfId="0" applyAlignment="1" applyBorder="1" applyFill="1" applyFont="1">
      <alignment horizontal="center"/>
    </xf>
    <xf borderId="11" fillId="21" fontId="1" numFmtId="0" xfId="0" applyAlignment="1" applyBorder="1" applyFill="1" applyFont="1">
      <alignment horizontal="center"/>
    </xf>
    <xf borderId="4" fillId="21" fontId="1" numFmtId="0" xfId="0" applyBorder="1" applyFill="1" applyFont="1"/>
    <xf borderId="11" fillId="22" fontId="1" numFmtId="0" xfId="0" applyAlignment="1" applyBorder="1" applyFill="1" applyFont="1">
      <alignment horizontal="center"/>
    </xf>
    <xf borderId="4" fillId="22" fontId="1" numFmtId="0" xfId="0" applyBorder="1" applyFill="1" applyFont="1"/>
    <xf borderId="11" fillId="23" fontId="1" numFmtId="0" xfId="0" applyAlignment="1" applyBorder="1" applyFill="1" applyFont="1">
      <alignment horizontal="center"/>
    </xf>
    <xf borderId="4" fillId="23" fontId="1" numFmtId="0" xfId="0" applyBorder="1" applyFill="1" applyFont="1"/>
    <xf borderId="4" fillId="8" fontId="1" numFmtId="16" xfId="0" applyBorder="1" applyFill="1" applyFont="1" applyNumberFormat="1"/>
    <xf borderId="14" fillId="7" fontId="1" numFmtId="0" xfId="0" applyAlignment="1" applyBorder="1" applyFill="1" applyFont="1">
      <alignment horizontal="center"/>
    </xf>
    <xf borderId="11" fillId="24" fontId="1" numFmtId="0" xfId="0" applyAlignment="1" applyBorder="1" applyFill="1" applyFont="1">
      <alignment horizontal="center"/>
    </xf>
    <xf borderId="4" fillId="24" fontId="1" numFmtId="0" xfId="0" applyBorder="1" applyFill="1" applyFont="1"/>
    <xf borderId="23" fillId="8" fontId="1" numFmtId="0" xfId="0" applyAlignment="1" applyBorder="1" applyFill="1" applyFont="1">
      <alignment horizontal="center"/>
    </xf>
    <xf borderId="23" fillId="8" fontId="1" numFmtId="0" xfId="0" applyBorder="1" applyFill="1" applyFont="1"/>
    <xf borderId="5" fillId="16" fontId="1" numFmtId="0" xfId="0" applyAlignment="1" applyBorder="1" applyFill="1" applyFont="1">
      <alignment horizontal="center"/>
    </xf>
    <xf borderId="23" fillId="16" fontId="1" numFmtId="0" xfId="0" applyAlignment="1" applyBorder="1" applyFill="1" applyFont="1">
      <alignment horizontal="center"/>
    </xf>
    <xf borderId="23" fillId="16" fontId="1" numFmtId="0" xfId="0" applyBorder="1" applyFill="1" applyFont="1"/>
    <xf borderId="20" fillId="16" fontId="1" numFmtId="0" xfId="0" applyBorder="1" applyFill="1" applyFont="1"/>
    <xf borderId="4" fillId="25" fontId="1" numFmtId="0" xfId="0" applyBorder="1" applyFill="1" applyFont="1"/>
    <xf borderId="20" fillId="22" fontId="1" numFmtId="0" xfId="0" applyBorder="1" applyFill="1" applyFont="1"/>
    <xf borderId="5" fillId="7" fontId="1" numFmtId="0" xfId="0" applyAlignment="1" applyBorder="1" applyFill="1" applyFont="1">
      <alignment horizontal="center"/>
    </xf>
    <xf borderId="20" fillId="7" fontId="1" numFmtId="0" xfId="0" applyBorder="1" applyFill="1" applyFont="1"/>
    <xf borderId="23" fillId="7" fontId="1" numFmtId="0" xfId="0" applyAlignment="1" applyBorder="1" applyFill="1" applyFont="1">
      <alignment horizontal="center"/>
    </xf>
    <xf borderId="23" fillId="7" fontId="1" numFmtId="0" xfId="0" applyBorder="1" applyFill="1" applyFont="1"/>
    <xf borderId="20" fillId="7" fontId="1" numFmtId="0" xfId="0" applyAlignment="1" applyBorder="1" applyFill="1" applyFont="1">
      <alignment horizontal="center"/>
    </xf>
    <xf borderId="4" fillId="6" fontId="1" numFmtId="16" xfId="0" applyBorder="1" applyFill="1" applyFont="1" applyNumberFormat="1"/>
    <xf borderId="4" fillId="15" fontId="1" numFmtId="16" xfId="0" applyBorder="1" applyFill="1" applyFont="1" applyNumberFormat="1"/>
    <xf borderId="20" fillId="15" fontId="1" numFmtId="0" xfId="0" applyBorder="1" applyFill="1" applyFont="1"/>
    <xf borderId="23" fillId="15" fontId="1" numFmtId="0" xfId="0" applyAlignment="1" applyBorder="1" applyFill="1" applyFont="1">
      <alignment horizontal="center"/>
    </xf>
    <xf borderId="23" fillId="15" fontId="1" numFmtId="0" xfId="0" applyBorder="1" applyFill="1" applyFont="1"/>
    <xf borderId="20" fillId="15" fontId="1" numFmtId="0" xfId="0" applyAlignment="1" applyBorder="1" applyFill="1" applyFont="1">
      <alignment horizontal="center"/>
    </xf>
    <xf borderId="22" fillId="15" fontId="1" numFmtId="49" xfId="0" applyAlignment="1" applyBorder="1" applyFill="1" applyFont="1" applyNumberFormat="1">
      <alignment horizontal="center"/>
    </xf>
    <xf borderId="18" fillId="15" fontId="1" numFmtId="49" xfId="0" applyAlignment="1" applyBorder="1" applyFill="1" applyFont="1" applyNumberFormat="1">
      <alignment horizontal="center"/>
    </xf>
    <xf borderId="19" fillId="15" fontId="1" numFmtId="49" xfId="0" applyAlignment="1" applyBorder="1" applyFill="1" applyFont="1" applyNumberFormat="1">
      <alignment horizontal="center"/>
    </xf>
    <xf borderId="5" fillId="15" fontId="1" numFmtId="49" xfId="0" applyAlignment="1" applyBorder="1" applyFill="1" applyFont="1" applyNumberFormat="1">
      <alignment horizontal="center"/>
    </xf>
    <xf borderId="14" fillId="22" fontId="1" numFmtId="0" xfId="0" applyAlignment="1" applyBorder="1" applyFill="1" applyFont="1">
      <alignment horizontal="center"/>
    </xf>
    <xf borderId="5" fillId="23" fontId="1" numFmtId="0" xfId="0" applyAlignment="1" applyBorder="1" applyFill="1" applyFont="1">
      <alignment horizontal="center"/>
    </xf>
    <xf borderId="20" fillId="23" fontId="1" numFmtId="0" xfId="0" applyBorder="1" applyFill="1" applyFont="1"/>
    <xf borderId="23" fillId="23" fontId="1" numFmtId="0" xfId="0" applyBorder="1" applyFill="1" applyFont="1"/>
    <xf borderId="23" fillId="23" fontId="1" numFmtId="0" xfId="0" applyAlignment="1" applyBorder="1" applyFill="1" applyFont="1">
      <alignment horizontal="center"/>
    </xf>
    <xf borderId="4" fillId="26" fontId="1" numFmtId="0" xfId="0" applyBorder="1" applyFill="1" applyFont="1"/>
    <xf borderId="11" fillId="26" fontId="1" numFmtId="0" xfId="0" applyAlignment="1" applyBorder="1" applyFill="1" applyFont="1">
      <alignment horizontal="center"/>
    </xf>
    <xf borderId="14" fillId="26" fontId="1" numFmtId="0" xfId="0" applyAlignment="1" applyBorder="1" applyFill="1" applyFont="1">
      <alignment horizontal="center"/>
    </xf>
    <xf borderId="4" fillId="27" fontId="2" numFmtId="0" xfId="0" applyAlignment="1" applyBorder="1" applyFill="1" applyFont="1">
      <alignment horizontal="center" vertical="center"/>
    </xf>
    <xf borderId="5" fillId="27" fontId="2" numFmtId="0" xfId="0" applyAlignment="1" applyBorder="1" applyFill="1" applyFont="1">
      <alignment horizontal="center" vertical="center"/>
    </xf>
    <xf borderId="4" fillId="2" fontId="1" numFmtId="0" xfId="0" applyBorder="1" applyFill="1" applyFont="1"/>
    <xf borderId="11" fillId="2" fontId="1" numFmtId="0" xfId="0" applyAlignment="1" applyBorder="1" applyFill="1" applyFont="1">
      <alignment horizontal="center"/>
    </xf>
    <xf borderId="14" fillId="2" fontId="1" numFmtId="0" xfId="0" applyAlignment="1" applyBorder="1" applyFill="1" applyFont="1">
      <alignment horizontal="center"/>
    </xf>
    <xf borderId="14" fillId="21" fontId="1" numFmtId="0" xfId="0" applyAlignment="1" applyBorder="1" applyFill="1" applyFont="1">
      <alignment horizontal="center"/>
    </xf>
    <xf borderId="18" fillId="8" fontId="1" numFmtId="0" xfId="0" applyAlignment="1" applyBorder="1" applyFill="1" applyFont="1">
      <alignment horizontal="center"/>
    </xf>
    <xf borderId="19" fillId="8" fontId="1" numFmtId="0" xfId="0" applyBorder="1" applyFill="1" applyFont="1"/>
    <xf borderId="5" fillId="21" fontId="1" numFmtId="0" xfId="0" applyAlignment="1" applyBorder="1" applyFill="1" applyFont="1">
      <alignment horizontal="center"/>
    </xf>
    <xf borderId="18" fillId="21" fontId="1" numFmtId="0" xfId="0" applyAlignment="1" applyBorder="1" applyFill="1" applyFont="1">
      <alignment horizontal="center"/>
    </xf>
    <xf borderId="19" fillId="21" fontId="1" numFmtId="0" xfId="0" applyBorder="1" applyFill="1" applyFont="1"/>
    <xf borderId="4" fillId="3" fontId="1" numFmtId="0" xfId="0" applyBorder="1" applyFill="1" applyFont="1"/>
    <xf borderId="11" fillId="3" fontId="1" numFmtId="0" xfId="0" applyAlignment="1" applyBorder="1" applyFill="1" applyFont="1">
      <alignment horizontal="center"/>
    </xf>
    <xf borderId="14" fillId="3" fontId="1" numFmtId="0" xfId="0" applyAlignment="1" applyBorder="1" applyFill="1" applyFont="1">
      <alignment horizontal="center"/>
    </xf>
    <xf borderId="21" fillId="23" fontId="1" numFmtId="0" xfId="0" applyBorder="1" applyFill="1" applyFont="1"/>
    <xf borderId="24" fillId="23" fontId="1" numFmtId="0" xfId="0" applyAlignment="1" applyBorder="1" applyFill="1" applyFont="1">
      <alignment horizontal="center"/>
    </xf>
    <xf borderId="25" fillId="0" fontId="3" numFmtId="0" xfId="0" applyBorder="1" applyFont="1"/>
    <xf borderId="26" fillId="0" fontId="3" numFmtId="0" xfId="0" applyBorder="1" applyFont="1"/>
    <xf borderId="5" fillId="26" fontId="1" numFmtId="0" xfId="0" applyAlignment="1" applyBorder="1" applyFill="1" applyFont="1">
      <alignment horizontal="center"/>
    </xf>
    <xf borderId="20" fillId="26" fontId="1" numFmtId="0" xfId="0" applyBorder="1" applyFill="1" applyFont="1"/>
    <xf borderId="20" fillId="26" fontId="1" numFmtId="0" xfId="0" applyAlignment="1" applyBorder="1" applyFill="1" applyFont="1">
      <alignment horizontal="center"/>
    </xf>
    <xf borderId="5" fillId="3" fontId="1" numFmtId="0" xfId="0" applyAlignment="1" applyBorder="1" applyFill="1" applyFont="1">
      <alignment horizontal="center"/>
    </xf>
    <xf borderId="18" fillId="3" fontId="1" numFmtId="0" xfId="0" applyAlignment="1" applyBorder="1" applyFill="1" applyFont="1">
      <alignment horizontal="center"/>
    </xf>
    <xf borderId="19" fillId="3" fontId="1" numFmtId="0" xfId="0" applyBorder="1" applyFill="1" applyFont="1"/>
    <xf borderId="14" fillId="23" fontId="1" numFmtId="0" xfId="0" applyAlignment="1" applyBorder="1" applyFill="1" applyFont="1">
      <alignment horizontal="center"/>
    </xf>
    <xf borderId="4" fillId="7" fontId="1" numFmtId="0" xfId="0" applyAlignment="1" applyBorder="1" applyFill="1" applyFont="1">
      <alignment horizontal="center"/>
    </xf>
    <xf borderId="17" fillId="7" fontId="1" numFmtId="0" xfId="0" applyAlignment="1" applyBorder="1" applyFill="1" applyFont="1">
      <alignment horizontal="center"/>
    </xf>
    <xf borderId="4" fillId="28" fontId="1" numFmtId="0" xfId="0" applyBorder="1" applyFill="1" applyFont="1"/>
    <xf borderId="11" fillId="28" fontId="1" numFmtId="0" xfId="0" applyAlignment="1" applyBorder="1" applyFill="1" applyFont="1">
      <alignment horizontal="center"/>
    </xf>
    <xf borderId="14" fillId="28" fontId="1" numFmtId="0" xfId="0" applyAlignment="1" applyBorder="1" applyFill="1" applyFont="1">
      <alignment horizontal="center"/>
    </xf>
    <xf borderId="4" fillId="29" fontId="1" numFmtId="0" xfId="0" applyAlignment="1" applyBorder="1" applyFill="1" applyFont="1">
      <alignment horizontal="center"/>
    </xf>
    <xf borderId="5" fillId="28" fontId="1" numFmtId="0" xfId="0" applyAlignment="1" applyBorder="1" applyFill="1" applyFont="1">
      <alignment horizontal="center"/>
    </xf>
    <xf borderId="18" fillId="28" fontId="1" numFmtId="0" xfId="0" applyAlignment="1" applyBorder="1" applyFill="1" applyFont="1">
      <alignment horizontal="center"/>
    </xf>
    <xf borderId="19" fillId="28" fontId="1" numFmtId="0" xfId="0" applyBorder="1" applyFill="1" applyFont="1"/>
    <xf borderId="4" fillId="10" fontId="1" numFmtId="0" xfId="0" applyBorder="1" applyFill="1" applyFont="1"/>
    <xf borderId="11" fillId="10" fontId="1" numFmtId="0" xfId="0" applyAlignment="1" applyBorder="1" applyFill="1" applyFont="1">
      <alignment horizontal="center"/>
    </xf>
    <xf borderId="14" fillId="10" fontId="1" numFmtId="0" xfId="0" applyAlignment="1" applyBorder="1" applyFill="1" applyFont="1">
      <alignment horizontal="center"/>
    </xf>
    <xf borderId="4" fillId="30" fontId="1" numFmtId="0" xfId="0" applyBorder="1" applyFill="1" applyFont="1"/>
    <xf borderId="11" fillId="30" fontId="1" numFmtId="0" xfId="0" applyAlignment="1" applyBorder="1" applyFill="1" applyFont="1">
      <alignment horizontal="center"/>
    </xf>
    <xf borderId="14" fillId="30" fontId="1" numFmtId="0" xfId="0" applyAlignment="1" applyBorder="1" applyFill="1" applyFont="1">
      <alignment horizontal="center"/>
    </xf>
    <xf borderId="4" fillId="23" fontId="1" numFmtId="16" xfId="0" applyBorder="1" applyFill="1" applyFont="1" applyNumberFormat="1"/>
    <xf borderId="5" fillId="10" fontId="1" numFmtId="0" xfId="0" applyAlignment="1" applyBorder="1" applyFill="1" applyFont="1">
      <alignment horizontal="center"/>
    </xf>
    <xf borderId="18" fillId="10" fontId="1" numFmtId="0" xfId="0" applyAlignment="1" applyBorder="1" applyFill="1" applyFont="1">
      <alignment horizontal="center"/>
    </xf>
    <xf borderId="19" fillId="10" fontId="1" numFmtId="0" xfId="0" applyBorder="1" applyFill="1" applyFont="1"/>
    <xf borderId="21" fillId="28" fontId="1" numFmtId="0" xfId="0" applyBorder="1" applyFill="1" applyFont="1"/>
    <xf borderId="24" fillId="28" fontId="1" numFmtId="0" xfId="0" applyAlignment="1" applyBorder="1" applyFill="1" applyFont="1">
      <alignment horizontal="center"/>
    </xf>
    <xf borderId="4" fillId="28" fontId="1" numFmtId="0" xfId="0" applyAlignment="1" applyBorder="1" applyFill="1" applyFont="1">
      <alignment horizontal="center"/>
    </xf>
    <xf borderId="21" fillId="8" fontId="1" numFmtId="0" xfId="0" applyBorder="1" applyFill="1" applyFont="1"/>
    <xf borderId="24" fillId="8" fontId="1" numFmtId="0" xfId="0" applyAlignment="1" applyBorder="1" applyFill="1" applyFont="1">
      <alignment horizontal="center"/>
    </xf>
    <xf borderId="5" fillId="8" fontId="1" numFmtId="49" xfId="0" applyAlignment="1" applyBorder="1" applyFill="1" applyFont="1" applyNumberFormat="1">
      <alignment horizontal="center"/>
    </xf>
    <xf borderId="4" fillId="31" fontId="1" numFmtId="0" xfId="0" applyBorder="1" applyFill="1" applyFont="1"/>
    <xf borderId="11" fillId="31" fontId="1" numFmtId="0" xfId="0" applyAlignment="1" applyBorder="1" applyFill="1" applyFont="1">
      <alignment horizontal="center"/>
    </xf>
    <xf borderId="14" fillId="31" fontId="1" numFmtId="0" xfId="0" applyAlignment="1" applyBorder="1" applyFill="1" applyFont="1">
      <alignment horizontal="center"/>
    </xf>
    <xf borderId="5" fillId="31" fontId="1" numFmtId="0" xfId="0" applyAlignment="1" applyBorder="1" applyFill="1" applyFont="1">
      <alignment horizontal="center"/>
    </xf>
    <xf borderId="4" fillId="32" fontId="1" numFmtId="0" xfId="0" applyBorder="1" applyFill="1" applyFont="1"/>
    <xf borderId="11" fillId="32" fontId="1" numFmtId="0" xfId="0" applyAlignment="1" applyBorder="1" applyFill="1" applyFont="1">
      <alignment horizontal="center"/>
    </xf>
    <xf borderId="14" fillId="32" fontId="1" numFmtId="0" xfId="0" applyAlignment="1" applyBorder="1" applyFill="1" applyFont="1">
      <alignment horizontal="center"/>
    </xf>
    <xf borderId="4" fillId="33" fontId="1" numFmtId="0" xfId="0" applyBorder="1" applyFill="1" applyFont="1"/>
    <xf borderId="11" fillId="33" fontId="1" numFmtId="0" xfId="0" applyAlignment="1" applyBorder="1" applyFill="1" applyFont="1">
      <alignment horizontal="center"/>
    </xf>
    <xf borderId="14" fillId="33" fontId="1" numFmtId="0" xfId="0" applyAlignment="1" applyBorder="1" applyFill="1" applyFont="1">
      <alignment horizontal="center"/>
    </xf>
    <xf borderId="4" fillId="34" fontId="1" numFmtId="0" xfId="0" applyBorder="1" applyFill="1" applyFont="1"/>
    <xf borderId="11" fillId="34" fontId="1" numFmtId="0" xfId="0" applyAlignment="1" applyBorder="1" applyFill="1" applyFont="1">
      <alignment horizontal="center"/>
    </xf>
    <xf borderId="14" fillId="34" fontId="1" numFmtId="0" xfId="0" applyAlignment="1" applyBorder="1" applyFill="1" applyFont="1">
      <alignment horizontal="center"/>
    </xf>
    <xf borderId="5" fillId="34" fontId="1" numFmtId="0" xfId="0" applyAlignment="1" applyBorder="1" applyFill="1" applyFont="1">
      <alignment horizontal="center"/>
    </xf>
    <xf borderId="4" fillId="35" fontId="1" numFmtId="0" xfId="0" applyBorder="1" applyFill="1" applyFont="1"/>
    <xf borderId="11" fillId="35" fontId="1" numFmtId="0" xfId="0" applyAlignment="1" applyBorder="1" applyFill="1" applyFont="1">
      <alignment horizontal="center"/>
    </xf>
    <xf borderId="14" fillId="35" fontId="1" numFmtId="0" xfId="0" applyAlignment="1" applyBorder="1" applyFill="1" applyFont="1">
      <alignment horizontal="center"/>
    </xf>
    <xf borderId="5" fillId="35" fontId="1" numFmtId="0" xfId="0" applyAlignment="1" applyBorder="1" applyFill="1" applyFont="1">
      <alignment horizontal="center"/>
    </xf>
    <xf borderId="4" fillId="32" fontId="1" numFmtId="16" xfId="0" applyBorder="1" applyFill="1" applyFont="1" applyNumberFormat="1"/>
    <xf borderId="4" fillId="12" fontId="1" numFmtId="16" xfId="0" applyBorder="1" applyFill="1" applyFont="1" applyNumberFormat="1"/>
    <xf borderId="18" fillId="6" fontId="1" numFmtId="0" xfId="0" applyAlignment="1" applyBorder="1" applyFill="1" applyFont="1">
      <alignment horizontal="center"/>
    </xf>
    <xf borderId="19" fillId="6" fontId="1" numFmtId="0" xfId="0" applyBorder="1" applyFill="1" applyFont="1"/>
    <xf borderId="4" fillId="19" fontId="2" numFmtId="0" xfId="0" applyAlignment="1" applyBorder="1" applyFill="1" applyFont="1">
      <alignment horizontal="center" vertical="center"/>
    </xf>
    <xf borderId="5" fillId="19" fontId="5" numFmtId="0" xfId="0" applyAlignment="1" applyBorder="1" applyFill="1" applyFont="1">
      <alignment horizontal="center" vertical="center"/>
    </xf>
    <xf borderId="4" fillId="19" fontId="5" numFmtId="0" xfId="0" applyAlignment="1" applyBorder="1" applyFill="1" applyFont="1">
      <alignment horizontal="center" vertical="center"/>
    </xf>
    <xf borderId="20" fillId="5" fontId="2" numFmtId="0" xfId="0" applyAlignment="1" applyBorder="1" applyFill="1" applyFont="1">
      <alignment horizontal="center"/>
    </xf>
    <xf borderId="18" fillId="19" fontId="2" numFmtId="0" xfId="0" applyAlignment="1" applyBorder="1" applyFill="1" applyFont="1">
      <alignment horizontal="center" vertical="center"/>
    </xf>
    <xf borderId="19" fillId="19" fontId="1" numFmtId="0" xfId="0" applyBorder="1" applyFill="1" applyFont="1"/>
    <xf borderId="18" fillId="19" fontId="1" numFmtId="0" xfId="0" applyBorder="1" applyFill="1" applyFont="1"/>
    <xf borderId="11" fillId="19" fontId="5" numFmtId="0" xfId="0" applyAlignment="1" applyBorder="1" applyFill="1" applyFont="1">
      <alignment horizontal="center"/>
    </xf>
    <xf borderId="4" fillId="19" fontId="5" numFmtId="0" xfId="0" applyBorder="1" applyFill="1" applyFont="1"/>
    <xf borderId="5" fillId="19" fontId="1" numFmtId="0" xfId="0" applyAlignment="1" applyBorder="1" applyFill="1" applyFont="1">
      <alignment horizontal="center"/>
    </xf>
    <xf borderId="18" fillId="19" fontId="1" numFmtId="0" xfId="0" applyAlignment="1" applyBorder="1" applyFill="1" applyFont="1">
      <alignment horizontal="center"/>
    </xf>
    <xf borderId="4" fillId="36" fontId="1" numFmtId="0" xfId="0" applyBorder="1" applyFill="1" applyFont="1"/>
    <xf borderId="11" fillId="36" fontId="1" numFmtId="0" xfId="0" applyAlignment="1" applyBorder="1" applyFill="1" applyFont="1">
      <alignment horizontal="center"/>
    </xf>
    <xf borderId="14" fillId="36" fontId="1" numFmtId="0" xfId="0" applyAlignment="1" applyBorder="1" applyFill="1" applyFont="1">
      <alignment horizontal="center"/>
    </xf>
    <xf borderId="11" fillId="15" fontId="5" numFmtId="0" xfId="0" applyAlignment="1" applyBorder="1" applyFill="1" applyFont="1">
      <alignment horizontal="center"/>
    </xf>
    <xf borderId="4" fillId="29" fontId="1" numFmtId="0" xfId="0" applyBorder="1" applyFill="1" applyFont="1"/>
    <xf borderId="11" fillId="29" fontId="5" numFmtId="0" xfId="0" applyAlignment="1" applyBorder="1" applyFill="1" applyFont="1">
      <alignment horizontal="center"/>
    </xf>
    <xf borderId="14" fillId="29" fontId="1" numFmtId="0" xfId="0" applyAlignment="1" applyBorder="1" applyFill="1" applyFont="1">
      <alignment horizontal="center"/>
    </xf>
    <xf borderId="11" fillId="29" fontId="1" numFmtId="0" xfId="0" applyAlignment="1" applyBorder="1" applyFill="1" applyFont="1">
      <alignment horizontal="center"/>
    </xf>
    <xf borderId="5" fillId="36" fontId="1" numFmtId="0" xfId="0" applyAlignment="1" applyBorder="1" applyFill="1" applyFont="1">
      <alignment horizontal="center"/>
    </xf>
    <xf borderId="11" fillId="21" fontId="5" numFmtId="0" xfId="0" applyAlignment="1" applyBorder="1" applyFill="1" applyFont="1">
      <alignment horizontal="center"/>
    </xf>
    <xf borderId="5" fillId="22" fontId="5" numFmtId="0" xfId="0" applyAlignment="1" applyBorder="1" applyFill="1" applyFont="1">
      <alignment horizontal="center"/>
    </xf>
    <xf borderId="18" fillId="22" fontId="1" numFmtId="0" xfId="0" applyAlignment="1" applyBorder="1" applyFill="1" applyFont="1">
      <alignment horizontal="center"/>
    </xf>
    <xf borderId="19" fillId="22" fontId="1" numFmtId="0" xfId="0" applyBorder="1" applyFill="1" applyFont="1"/>
    <xf borderId="5" fillId="22" fontId="1" numFmtId="0" xfId="0" applyAlignment="1" applyBorder="1" applyFill="1" applyFont="1">
      <alignment horizontal="center"/>
    </xf>
    <xf borderId="5" fillId="6" fontId="5" numFmtId="0" xfId="0" applyAlignment="1" applyBorder="1" applyFill="1" applyFont="1">
      <alignment horizontal="center"/>
    </xf>
    <xf borderId="4" fillId="23" fontId="1" numFmtId="49" xfId="0" applyAlignment="1" applyBorder="1" applyFill="1" applyFont="1" applyNumberFormat="1">
      <alignment horizontal="right"/>
    </xf>
    <xf borderId="5" fillId="19" fontId="5" numFmtId="0" xfId="0" applyAlignment="1" applyBorder="1" applyFill="1" applyFont="1">
      <alignment horizontal="center"/>
    </xf>
    <xf borderId="4" fillId="29" fontId="1" numFmtId="49" xfId="0" applyAlignment="1" applyBorder="1" applyFill="1" applyFont="1" applyNumberFormat="1">
      <alignment horizontal="right"/>
    </xf>
    <xf borderId="4" fillId="29" fontId="1" numFmtId="49" xfId="0" applyBorder="1" applyFill="1" applyFont="1" applyNumberFormat="1"/>
    <xf borderId="14" fillId="24" fontId="1" numFmtId="0" xfId="0" applyAlignment="1" applyBorder="1" applyFill="1" applyFont="1">
      <alignment horizontal="center"/>
    </xf>
    <xf borderId="5" fillId="24" fontId="1" numFmtId="0" xfId="0" applyAlignment="1" applyBorder="1" applyFill="1" applyFont="1">
      <alignment horizontal="center"/>
    </xf>
    <xf borderId="18" fillId="24" fontId="1" numFmtId="0" xfId="0" applyAlignment="1" applyBorder="1" applyFill="1" applyFont="1">
      <alignment horizontal="center"/>
    </xf>
    <xf borderId="19" fillId="24" fontId="1" numFmtId="0" xfId="0" applyBorder="1" applyFill="1" applyFont="1"/>
    <xf borderId="4" fillId="3" fontId="1" numFmtId="49" xfId="0" applyBorder="1" applyFill="1" applyFont="1" applyNumberFormat="1"/>
    <xf borderId="23" fillId="3" fontId="1" numFmtId="0" xfId="0" applyAlignment="1" applyBorder="1" applyFill="1" applyFont="1">
      <alignment horizontal="center"/>
    </xf>
    <xf borderId="23" fillId="3" fontId="1" numFmtId="0" xfId="0" applyBorder="1" applyFill="1" applyFont="1"/>
    <xf borderId="20" fillId="9" fontId="1" numFmtId="0" xfId="0" applyAlignment="1" applyBorder="1" applyFill="1" applyFont="1">
      <alignment horizontal="center"/>
    </xf>
    <xf borderId="23" fillId="6" fontId="1" numFmtId="0" xfId="0" applyAlignment="1" applyBorder="1" applyFill="1" applyFont="1">
      <alignment horizontal="center"/>
    </xf>
    <xf borderId="23" fillId="6" fontId="1" numFmtId="0" xfId="0" applyBorder="1" applyFill="1" applyFont="1"/>
    <xf borderId="4" fillId="6" fontId="1" numFmtId="49" xfId="0" applyBorder="1" applyFill="1" applyFont="1" applyNumberFormat="1"/>
    <xf borderId="23" fillId="29" fontId="1" numFmtId="0" xfId="0" applyAlignment="1" applyBorder="1" applyFill="1" applyFont="1">
      <alignment horizontal="center"/>
    </xf>
    <xf borderId="23" fillId="29" fontId="1" numFmtId="0" xfId="0" applyBorder="1" applyFill="1" applyFont="1"/>
    <xf borderId="18" fillId="29" fontId="1" numFmtId="0" xfId="0" applyAlignment="1" applyBorder="1" applyFill="1" applyFont="1">
      <alignment horizontal="center"/>
    </xf>
    <xf borderId="19" fillId="29" fontId="1" numFmtId="0" xfId="0" applyBorder="1" applyFill="1" applyFont="1"/>
    <xf borderId="4" fillId="22" fontId="1" numFmtId="49" xfId="0" applyBorder="1" applyFill="1" applyFont="1" applyNumberFormat="1"/>
    <xf borderId="5" fillId="6" fontId="1" numFmtId="49" xfId="0" applyAlignment="1" applyBorder="1" applyFill="1" applyFont="1" applyNumberFormat="1">
      <alignment horizontal="center"/>
    </xf>
    <xf borderId="23" fillId="32" fontId="1" numFmtId="0" xfId="0" applyAlignment="1" applyBorder="1" applyFill="1" applyFont="1">
      <alignment horizontal="center"/>
    </xf>
    <xf borderId="23" fillId="32" fontId="1" numFmtId="0" xfId="0" applyBorder="1" applyFill="1" applyFont="1"/>
    <xf borderId="18" fillId="32" fontId="1" numFmtId="0" xfId="0" applyAlignment="1" applyBorder="1" applyFill="1" applyFont="1">
      <alignment horizontal="center"/>
    </xf>
    <xf borderId="19" fillId="32" fontId="1" numFmtId="0" xfId="0" applyBorder="1" applyFill="1" applyFont="1"/>
    <xf borderId="4" fillId="36" fontId="1" numFmtId="49" xfId="0" applyAlignment="1" applyBorder="1" applyFill="1" applyFont="1" applyNumberFormat="1">
      <alignment horizontal="right"/>
    </xf>
    <xf borderId="23" fillId="14" fontId="1" numFmtId="0" xfId="0" applyAlignment="1" applyBorder="1" applyFill="1" applyFont="1">
      <alignment horizontal="center"/>
    </xf>
    <xf borderId="23" fillId="14" fontId="1" numFmtId="0" xfId="0" applyBorder="1" applyFill="1" applyFont="1"/>
    <xf borderId="4" fillId="16" fontId="1" numFmtId="49" xfId="0" applyBorder="1" applyFill="1" applyFont="1" applyNumberFormat="1"/>
    <xf borderId="0" fillId="0" fontId="4" numFmtId="49" xfId="0" applyFont="1" applyNumberFormat="1"/>
    <xf borderId="5" fillId="29" fontId="1" numFmtId="0" xfId="0" applyAlignment="1" applyBorder="1" applyFill="1" applyFont="1">
      <alignment horizontal="center"/>
    </xf>
    <xf borderId="4" fillId="24" fontId="6" numFmtId="0" xfId="0" applyBorder="1" applyFill="1" applyFont="1"/>
    <xf borderId="14" fillId="24" fontId="6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11" Type="http://schemas.openxmlformats.org/officeDocument/2006/relationships/worksheet" Target="worksheets/sheet8.xml"/><Relationship Id="rId55" Type="http://schemas.openxmlformats.org/officeDocument/2006/relationships/worksheet" Target="worksheets/sheet52.xml"/><Relationship Id="rId10" Type="http://schemas.openxmlformats.org/officeDocument/2006/relationships/worksheet" Target="worksheets/sheet7.xml"/><Relationship Id="rId54" Type="http://schemas.openxmlformats.org/officeDocument/2006/relationships/worksheet" Target="worksheets/sheet51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56" Type="http://customschemas.google.com/relationships/workbookmetadata" Target="metadata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Volum Semanal Grupos Musculares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4472C4"/>
            </a:solidFill>
            <a:ln cmpd="sng">
              <a:noFill/>
            </a:ln>
          </c:spPr>
          <c:cat>
            <c:strRef>
              <c:f>'PABLO SALAS  (2)'!$Z$8:$Z$18</c:f>
            </c:strRef>
          </c:cat>
          <c:val>
            <c:numRef>
              <c:f>'PABLO SALAS  (2)'!$AA$8:$AA$18</c:f>
              <c:numCache/>
            </c:numRef>
          </c:val>
        </c:ser>
        <c:axId val="1207497858"/>
        <c:axId val="2096502136"/>
      </c:barChart>
      <c:catAx>
        <c:axId val="12074978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96502136"/>
      </c:catAx>
      <c:valAx>
        <c:axId val="20965021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07497858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rgbClr val="4472C4"/>
            </a:solidFill>
            <a:ln cmpd="sng">
              <a:noFill/>
            </a:ln>
          </c:spPr>
          <c:cat>
            <c:strRef>
              <c:f>'Rutina por Patrones 1'!$W$6:$W$13</c:f>
            </c:strRef>
          </c:cat>
          <c:val>
            <c:numRef>
              <c:f>'Rutina por Patrones 1'!$X$6:$X$13</c:f>
              <c:numCache/>
            </c:numRef>
          </c:val>
        </c:ser>
        <c:axId val="780128394"/>
        <c:axId val="1657222112"/>
      </c:barChart>
      <c:catAx>
        <c:axId val="7801283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57222112"/>
      </c:catAx>
      <c:valAx>
        <c:axId val="16572221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80128394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rgbClr val="4472C4"/>
            </a:solidFill>
            <a:ln cmpd="sng">
              <a:noFill/>
            </a:ln>
          </c:spPr>
          <c:cat>
            <c:strRef>
              <c:f>'PREP FISICA'!$W$6:$W$13</c:f>
            </c:strRef>
          </c:cat>
          <c:val>
            <c:numRef>
              <c:f>'PREP FISICA'!$X$6:$X$13</c:f>
              <c:numCache/>
            </c:numRef>
          </c:val>
        </c:ser>
        <c:axId val="204316131"/>
        <c:axId val="1372938007"/>
      </c:barChart>
      <c:catAx>
        <c:axId val="2043161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72938007"/>
      </c:catAx>
      <c:valAx>
        <c:axId val="13729380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4316131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rgbClr val="4472C4"/>
            </a:solidFill>
            <a:ln cmpd="sng">
              <a:noFill/>
            </a:ln>
          </c:spPr>
          <c:cat>
            <c:strRef>
              <c:f>'Rutina por Patrones 2'!$W$6:$W$13</c:f>
            </c:strRef>
          </c:cat>
          <c:val>
            <c:numRef>
              <c:f>'Rutina por Patrones 2'!$X$6:$X$13</c:f>
              <c:numCache/>
            </c:numRef>
          </c:val>
        </c:ser>
        <c:axId val="693008735"/>
        <c:axId val="1041060811"/>
      </c:barChart>
      <c:catAx>
        <c:axId val="6930087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41060811"/>
      </c:catAx>
      <c:valAx>
        <c:axId val="10410608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93008735"/>
      </c:valAx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rgbClr val="4472C4"/>
            </a:solidFill>
            <a:ln cmpd="sng">
              <a:noFill/>
            </a:ln>
          </c:spPr>
          <c:cat>
            <c:strRef>
              <c:f>'ERIC B (PATRONES 5D)'!$W$6:$W$13</c:f>
            </c:strRef>
          </c:cat>
          <c:val>
            <c:numRef>
              <c:f>'ERIC B (PATRONES 5D)'!$X$6:$X$13</c:f>
              <c:numCache/>
            </c:numRef>
          </c:val>
        </c:ser>
        <c:axId val="1502735789"/>
        <c:axId val="216407719"/>
      </c:barChart>
      <c:catAx>
        <c:axId val="15027357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16407719"/>
      </c:catAx>
      <c:valAx>
        <c:axId val="2164077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02735789"/>
      </c:valAx>
    </c:plotArea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rgbClr val="4472C4"/>
            </a:solidFill>
            <a:ln cmpd="sng">
              <a:noFill/>
            </a:ln>
          </c:spPr>
          <c:cat>
            <c:strRef>
              <c:f>'Rutina por Patrones 4 (2)'!$W$6:$W$13</c:f>
            </c:strRef>
          </c:cat>
          <c:val>
            <c:numRef>
              <c:f>'Rutina por Patrones 4 (2)'!$X$6:$X$13</c:f>
              <c:numCache/>
            </c:numRef>
          </c:val>
        </c:ser>
        <c:axId val="1138111617"/>
        <c:axId val="38842348"/>
      </c:barChart>
      <c:catAx>
        <c:axId val="11381116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8842348"/>
      </c:catAx>
      <c:valAx>
        <c:axId val="388423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38111617"/>
      </c:valAx>
    </c:plotArea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rgbClr val="4472C4"/>
            </a:solidFill>
            <a:ln cmpd="sng">
              <a:noFill/>
            </a:ln>
          </c:spPr>
          <c:cat>
            <c:strRef>
              <c:f>'Rutina por Patrones 4'!$W$6:$W$13</c:f>
            </c:strRef>
          </c:cat>
          <c:val>
            <c:numRef>
              <c:f>'Rutina por Patrones 4'!$X$6:$X$13</c:f>
              <c:numCache/>
            </c:numRef>
          </c:val>
        </c:ser>
        <c:axId val="1302096551"/>
        <c:axId val="820756634"/>
      </c:barChart>
      <c:catAx>
        <c:axId val="13020965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20756634"/>
      </c:catAx>
      <c:valAx>
        <c:axId val="8207566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02096551"/>
      </c:valAx>
    </c:plotArea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Semana 1</c:v>
          </c:tx>
          <c:spPr>
            <a:solidFill>
              <a:srgbClr val="4472C4"/>
            </a:solidFill>
            <a:ln cmpd="sng">
              <a:noFill/>
            </a:ln>
          </c:spPr>
          <c:cat>
            <c:strRef>
              <c:f>'Rutina por Patrones 4'!$W$6:$W$13</c:f>
            </c:strRef>
          </c:cat>
          <c:val>
            <c:numRef>
              <c:f>'Rutina por Patrones 4'!$X$6:$X$13</c:f>
              <c:numCache/>
            </c:numRef>
          </c:val>
        </c:ser>
        <c:ser>
          <c:idx val="1"/>
          <c:order val="1"/>
          <c:tx>
            <c:v>Semana 2</c:v>
          </c:tx>
          <c:spPr>
            <a:solidFill>
              <a:srgbClr val="ED7D31"/>
            </a:solidFill>
            <a:ln cmpd="sng">
              <a:noFill/>
            </a:ln>
          </c:spPr>
          <c:cat>
            <c:strRef>
              <c:f>'Rutina por Patrones 4'!$W$6:$W$13</c:f>
            </c:strRef>
          </c:cat>
          <c:val>
            <c:numRef>
              <c:f>'Rutina por Patrones 1'!$X$6:$X$13</c:f>
              <c:numCache/>
            </c:numRef>
          </c:val>
        </c:ser>
        <c:ser>
          <c:idx val="2"/>
          <c:order val="2"/>
          <c:tx>
            <c:v>Semana 3</c:v>
          </c:tx>
          <c:spPr>
            <a:solidFill>
              <a:srgbClr val="A5A5A5"/>
            </a:solidFill>
            <a:ln cmpd="sng">
              <a:noFill/>
            </a:ln>
          </c:spPr>
          <c:cat>
            <c:strRef>
              <c:f>'Rutina por Patrones 4'!$W$6:$W$13</c:f>
            </c:strRef>
          </c:cat>
          <c:val>
            <c:numRef>
              <c:f>'ERIC B (PATRONES 5D)'!$X$6:$X$13</c:f>
              <c:numCache/>
            </c:numRef>
          </c:val>
        </c:ser>
        <c:ser>
          <c:idx val="3"/>
          <c:order val="3"/>
          <c:tx>
            <c:v>Semana 4</c:v>
          </c:tx>
          <c:spPr>
            <a:solidFill>
              <a:srgbClr val="FFC000"/>
            </a:solidFill>
            <a:ln cmpd="sng">
              <a:noFill/>
            </a:ln>
          </c:spPr>
          <c:cat>
            <c:strRef>
              <c:f>'Rutina por Patrones 4'!$W$6:$W$13</c:f>
            </c:strRef>
          </c:cat>
          <c:val>
            <c:numRef>
              <c:f>'Rutina por Patrones 4'!$X$6:$X$13</c:f>
              <c:numCache/>
            </c:numRef>
          </c:val>
        </c:ser>
        <c:axId val="399163311"/>
        <c:axId val="1532996747"/>
      </c:barChart>
      <c:catAx>
        <c:axId val="3991633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32996747"/>
      </c:catAx>
      <c:valAx>
        <c:axId val="15329967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99163311"/>
      </c:valAx>
    </c:plotArea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Volum Semanal Grupos Musculares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4472C4"/>
            </a:solidFill>
            <a:ln cmpd="sng">
              <a:noFill/>
            </a:ln>
          </c:spPr>
          <c:cat>
            <c:strRef>
              <c:f>'Grupos Musculares'!$Z$8:$Z$17</c:f>
            </c:strRef>
          </c:cat>
          <c:val>
            <c:numRef>
              <c:f>'Grupos Musculares'!$AA$8:$AA$17</c:f>
              <c:numCache/>
            </c:numRef>
          </c:val>
        </c:ser>
        <c:axId val="1755150987"/>
        <c:axId val="119091705"/>
      </c:barChart>
      <c:catAx>
        <c:axId val="17551509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9091705"/>
      </c:catAx>
      <c:valAx>
        <c:axId val="1190917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55150987"/>
      </c:valAx>
    </c:plotArea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Volum Semanal Grupos Musculares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4472C4"/>
            </a:solidFill>
            <a:ln cmpd="sng">
              <a:noFill/>
            </a:ln>
          </c:spPr>
          <c:cat>
            <c:strRef>
              <c:f>'Grupos Musculares (2)'!$Z$8:$Z$17</c:f>
            </c:strRef>
          </c:cat>
          <c:val>
            <c:numRef>
              <c:f>'Grupos Musculares (2)'!$AA$8:$AA$17</c:f>
              <c:numCache/>
            </c:numRef>
          </c:val>
        </c:ser>
        <c:axId val="1433734937"/>
        <c:axId val="1390037572"/>
      </c:barChart>
      <c:catAx>
        <c:axId val="14337349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90037572"/>
      </c:catAx>
      <c:valAx>
        <c:axId val="13900375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33734937"/>
      </c:valAx>
    </c:plotArea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Volum Semanal Grupos Musculares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4472C4"/>
            </a:solidFill>
            <a:ln cmpd="sng">
              <a:noFill/>
            </a:ln>
          </c:spPr>
          <c:cat>
            <c:strRef>
              <c:f>cintia!$Z$8:$Z$17</c:f>
            </c:strRef>
          </c:cat>
          <c:val>
            <c:numRef>
              <c:f>cintia!$AA$8:$AA$17</c:f>
              <c:numCache/>
            </c:numRef>
          </c:val>
        </c:ser>
        <c:axId val="296562780"/>
        <c:axId val="2137065215"/>
      </c:barChart>
      <c:catAx>
        <c:axId val="2965627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137065215"/>
      </c:catAx>
      <c:valAx>
        <c:axId val="21370652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96562780"/>
      </c:valAx>
    </c:plotArea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Volum Semanal Grupos Musculares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4472C4"/>
            </a:solidFill>
            <a:ln cmpd="sng">
              <a:noFill/>
            </a:ln>
          </c:spPr>
          <c:cat>
            <c:strRef>
              <c:f>DIEGOTE!$Z$8:$Z$17</c:f>
            </c:strRef>
          </c:cat>
          <c:val>
            <c:numRef>
              <c:f>DIEGOTE!$AA$8:$AA$17</c:f>
              <c:numCache/>
            </c:numRef>
          </c:val>
        </c:ser>
        <c:axId val="15488200"/>
        <c:axId val="363074555"/>
      </c:barChart>
      <c:catAx>
        <c:axId val="154882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63074555"/>
      </c:catAx>
      <c:valAx>
        <c:axId val="3630745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488200"/>
      </c:valAx>
    </c:plotArea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Volum Semanal Grupos Musculares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4472C4"/>
            </a:solidFill>
            <a:ln cmpd="sng">
              <a:noFill/>
            </a:ln>
          </c:spPr>
          <c:cat>
            <c:strRef>
              <c:f>'ROCIO R'!$Z$8:$Z$17</c:f>
            </c:strRef>
          </c:cat>
          <c:val>
            <c:numRef>
              <c:f>'ROCIO R'!$AA$8:$AA$17</c:f>
              <c:numCache/>
            </c:numRef>
          </c:val>
        </c:ser>
        <c:axId val="1174076251"/>
        <c:axId val="90622475"/>
      </c:barChart>
      <c:catAx>
        <c:axId val="11740762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0622475"/>
      </c:catAx>
      <c:valAx>
        <c:axId val="906224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74076251"/>
      </c:valAx>
    </c:plotArea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Volum Semanal Grupos Musculares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4472C4"/>
            </a:solidFill>
            <a:ln cmpd="sng">
              <a:noFill/>
            </a:ln>
          </c:spPr>
          <c:cat>
            <c:strRef>
              <c:f>'ROCIO R (2)'!$Z$8:$Z$17</c:f>
            </c:strRef>
          </c:cat>
          <c:val>
            <c:numRef>
              <c:f>'ROCIO R (2)'!$AA$8:$AA$17</c:f>
              <c:numCache/>
            </c:numRef>
          </c:val>
        </c:ser>
        <c:axId val="777753005"/>
        <c:axId val="2068739317"/>
      </c:barChart>
      <c:catAx>
        <c:axId val="7777530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68739317"/>
      </c:catAx>
      <c:valAx>
        <c:axId val="20687393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77753005"/>
      </c:valAx>
    </c:plotArea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Volum Semanal Grupos Musculares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4472C4"/>
            </a:solidFill>
            <a:ln cmpd="sng">
              <a:noFill/>
            </a:ln>
          </c:spPr>
          <c:cat>
            <c:strRef>
              <c:f>'ROCIO R (3)'!$Z$8:$Z$17</c:f>
            </c:strRef>
          </c:cat>
          <c:val>
            <c:numRef>
              <c:f>'ROCIO R (3)'!$AA$8:$AA$17</c:f>
              <c:numCache/>
            </c:numRef>
          </c:val>
        </c:ser>
        <c:axId val="266611000"/>
        <c:axId val="474237456"/>
      </c:barChart>
      <c:catAx>
        <c:axId val="2666110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74237456"/>
      </c:catAx>
      <c:valAx>
        <c:axId val="4742374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66611000"/>
      </c:valAx>
    </c:plotArea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Volum Semanal Grupos Musculares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4472C4"/>
            </a:solidFill>
            <a:ln cmpd="sng">
              <a:noFill/>
            </a:ln>
          </c:spPr>
          <c:cat>
            <c:strRef>
              <c:f>'ROCIO R (4)'!$Z$8:$Z$17</c:f>
            </c:strRef>
          </c:cat>
          <c:val>
            <c:numRef>
              <c:f>'ROCIO R (4)'!$AA$8:$AA$17</c:f>
              <c:numCache/>
            </c:numRef>
          </c:val>
        </c:ser>
        <c:axId val="149392901"/>
        <c:axId val="1922633584"/>
      </c:barChart>
      <c:catAx>
        <c:axId val="1493929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22633584"/>
      </c:catAx>
      <c:valAx>
        <c:axId val="19226335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9392901"/>
      </c:valAx>
    </c:plotArea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Volum Semanal Grupos Musculares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4472C4"/>
            </a:solidFill>
            <a:ln cmpd="sng">
              <a:noFill/>
            </a:ln>
          </c:spPr>
          <c:cat>
            <c:strRef>
              <c:f>'ROCIO R (5)prep fisica'!$Z$8:$Z$17</c:f>
            </c:strRef>
          </c:cat>
          <c:val>
            <c:numRef>
              <c:f>'ROCIO R (5)prep fisica'!$AA$8:$AA$17</c:f>
              <c:numCache/>
            </c:numRef>
          </c:val>
        </c:ser>
        <c:axId val="357340329"/>
        <c:axId val="497440587"/>
      </c:barChart>
      <c:catAx>
        <c:axId val="3573403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97440587"/>
      </c:catAx>
      <c:valAx>
        <c:axId val="4974405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57340329"/>
      </c:valAx>
    </c:plotArea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Volum Semanal Grupos Musculares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4472C4"/>
            </a:solidFill>
            <a:ln cmpd="sng">
              <a:noFill/>
            </a:ln>
          </c:spPr>
          <c:cat>
            <c:strRef>
              <c:f>NANO!$Z$8:$Z$17</c:f>
            </c:strRef>
          </c:cat>
          <c:val>
            <c:numRef>
              <c:f>NANO!$AA$8:$AA$17</c:f>
              <c:numCache/>
            </c:numRef>
          </c:val>
        </c:ser>
        <c:axId val="319302799"/>
        <c:axId val="387453570"/>
      </c:barChart>
      <c:catAx>
        <c:axId val="3193027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87453570"/>
      </c:catAx>
      <c:valAx>
        <c:axId val="3874535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19302799"/>
      </c:valAx>
    </c:plotArea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Volum Semanal Grupos Musculares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4472C4"/>
            </a:solidFill>
            <a:ln cmpd="sng">
              <a:noFill/>
            </a:ln>
          </c:spPr>
          <c:cat>
            <c:strRef>
              <c:f>'sole,clau,olga'!$Z$8:$Z$17</c:f>
            </c:strRef>
          </c:cat>
          <c:val>
            <c:numRef>
              <c:f>'sole,clau,olga'!$AA$8:$AA$17</c:f>
              <c:numCache/>
            </c:numRef>
          </c:val>
        </c:ser>
        <c:axId val="2055521571"/>
        <c:axId val="58837018"/>
      </c:barChart>
      <c:catAx>
        <c:axId val="20555215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8837018"/>
      </c:catAx>
      <c:valAx>
        <c:axId val="588370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55521571"/>
      </c:valAx>
    </c:plotArea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Volum Semanal Grupos Musculares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4472C4"/>
            </a:solidFill>
            <a:ln cmpd="sng">
              <a:noFill/>
            </a:ln>
          </c:spPr>
          <c:cat>
            <c:strRef>
              <c:f>'sole,clau,olga (2)'!$Z$8:$Z$17</c:f>
            </c:strRef>
          </c:cat>
          <c:val>
            <c:numRef>
              <c:f>'sole,clau,olga (2)'!$AA$8:$AA$17</c:f>
              <c:numCache/>
            </c:numRef>
          </c:val>
        </c:ser>
        <c:axId val="2017608017"/>
        <c:axId val="1793921633"/>
      </c:barChart>
      <c:catAx>
        <c:axId val="20176080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93921633"/>
      </c:catAx>
      <c:valAx>
        <c:axId val="17939216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17608017"/>
      </c:valAx>
    </c:plotArea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Volum Semanal Grupos Musculares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4472C4"/>
            </a:solidFill>
            <a:ln cmpd="sng">
              <a:noFill/>
            </a:ln>
          </c:spPr>
          <c:cat>
            <c:strRef>
              <c:f>'sole,clau,olga (3)'!$Z$8:$Z$18</c:f>
            </c:strRef>
          </c:cat>
          <c:val>
            <c:numRef>
              <c:f>'sole,clau,olga (3)'!$AA$8:$AA$18</c:f>
              <c:numCache/>
            </c:numRef>
          </c:val>
        </c:ser>
        <c:axId val="1588106748"/>
        <c:axId val="1758773539"/>
      </c:barChart>
      <c:catAx>
        <c:axId val="15881067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58773539"/>
      </c:catAx>
      <c:valAx>
        <c:axId val="17587735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88106748"/>
      </c:valAx>
    </c:plotArea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Volum Semanal Grupos Musculares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4472C4"/>
            </a:solidFill>
            <a:ln cmpd="sng">
              <a:noFill/>
            </a:ln>
          </c:spPr>
          <c:cat>
            <c:strRef>
              <c:f>'sole,clau,olga (4)'!$Z$8:$Z$18</c:f>
            </c:strRef>
          </c:cat>
          <c:val>
            <c:numRef>
              <c:f>'sole,clau,olga (4)'!$AA$8:$AA$18</c:f>
              <c:numCache/>
            </c:numRef>
          </c:val>
        </c:ser>
        <c:axId val="164925220"/>
        <c:axId val="643877878"/>
      </c:barChart>
      <c:catAx>
        <c:axId val="1649252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43877878"/>
      </c:catAx>
      <c:valAx>
        <c:axId val="6438778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4925220"/>
      </c:valAx>
    </c:plotArea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Volum Semanal Grupos Musculares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4472C4"/>
            </a:solidFill>
            <a:ln cmpd="sng">
              <a:noFill/>
            </a:ln>
          </c:spPr>
          <c:cat>
            <c:strRef>
              <c:f>'PLAN hombre  x3'!$Z$8:$Z$19</c:f>
            </c:strRef>
          </c:cat>
          <c:val>
            <c:numRef>
              <c:f>'PLAN hombre  x3'!$AA$8:$AA$19</c:f>
              <c:numCache/>
            </c:numRef>
          </c:val>
        </c:ser>
        <c:axId val="468858995"/>
        <c:axId val="1923622755"/>
      </c:barChart>
      <c:catAx>
        <c:axId val="4688589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23622755"/>
      </c:catAx>
      <c:valAx>
        <c:axId val="19236227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68858995"/>
      </c:valAx>
    </c:plotArea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Volum Semanal Grupos Musculares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4472C4"/>
            </a:solidFill>
            <a:ln cmpd="sng">
              <a:noFill/>
            </a:ln>
          </c:spPr>
          <c:cat>
            <c:strRef>
              <c:f>'PLAN hombre  x3 (2)'!$Z$8:$Z$18</c:f>
            </c:strRef>
          </c:cat>
          <c:val>
            <c:numRef>
              <c:f>'PLAN hombre  x3 (2)'!$AA$8:$AA$18</c:f>
              <c:numCache/>
            </c:numRef>
          </c:val>
        </c:ser>
        <c:axId val="2015650003"/>
        <c:axId val="1844978608"/>
      </c:barChart>
      <c:catAx>
        <c:axId val="20156500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44978608"/>
      </c:catAx>
      <c:valAx>
        <c:axId val="18449786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15650003"/>
      </c:valAx>
    </c:plotArea>
    <c:plotVisOnly val="1"/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Volum Semanal Grupos Musculares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4472C4"/>
            </a:solidFill>
            <a:ln cmpd="sng">
              <a:noFill/>
            </a:ln>
          </c:spPr>
          <c:cat>
            <c:strRef>
              <c:f>'PLAN MUJER X3 B'!$Z$8:$Z$17</c:f>
            </c:strRef>
          </c:cat>
          <c:val>
            <c:numRef>
              <c:f>'PLAN MUJER X3 B'!$AA$8:$AA$17</c:f>
              <c:numCache/>
            </c:numRef>
          </c:val>
        </c:ser>
        <c:axId val="1706988324"/>
        <c:axId val="343799900"/>
      </c:barChart>
      <c:catAx>
        <c:axId val="17069883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43799900"/>
      </c:catAx>
      <c:valAx>
        <c:axId val="3437999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06988324"/>
      </c:valAx>
    </c:plotArea>
    <c:plotVisOnly val="1"/>
  </c:chart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Volum Semanal Grupos Musculares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4472C4"/>
            </a:solidFill>
            <a:ln cmpd="sng">
              <a:noFill/>
            </a:ln>
          </c:spPr>
          <c:cat>
            <c:strRef>
              <c:f>'sole,clau,olga (5)'!$Z$8:$Z$18</c:f>
            </c:strRef>
          </c:cat>
          <c:val>
            <c:numRef>
              <c:f>'sole,clau,olga (5)'!$AA$8:$AA$18</c:f>
              <c:numCache/>
            </c:numRef>
          </c:val>
        </c:ser>
        <c:axId val="1760386846"/>
        <c:axId val="1774539565"/>
      </c:barChart>
      <c:catAx>
        <c:axId val="17603868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74539565"/>
      </c:catAx>
      <c:valAx>
        <c:axId val="17745395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60386846"/>
      </c:valAx>
    </c:plotArea>
    <c:plotVisOnly val="1"/>
  </c:chart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Volum Semanal Grupos Musculares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4472C4"/>
            </a:solidFill>
            <a:ln cmpd="sng">
              <a:noFill/>
            </a:ln>
          </c:spPr>
          <c:cat>
            <c:strRef>
              <c:f>'PREP FISICA ALBERTO (2)'!$Z$8:$Z$18</c:f>
            </c:strRef>
          </c:cat>
          <c:val>
            <c:numRef>
              <c:f>'PREP FISICA ALBERTO (2)'!$AA$8:$AA$18</c:f>
              <c:numCache/>
            </c:numRef>
          </c:val>
        </c:ser>
        <c:axId val="1697109837"/>
        <c:axId val="513287407"/>
      </c:barChart>
      <c:catAx>
        <c:axId val="16971098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13287407"/>
      </c:catAx>
      <c:valAx>
        <c:axId val="5132874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97109837"/>
      </c:valAx>
    </c:plotArea>
    <c:plotVisOnly val="1"/>
  </c:chart>
</c:chartSpace>
</file>

<file path=xl/charts/chart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Volum Semanal Grupos Musculares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4472C4"/>
            </a:solidFill>
            <a:ln cmpd="sng">
              <a:noFill/>
            </a:ln>
          </c:spPr>
          <c:cat>
            <c:strRef>
              <c:f>'Agus boscatto'!$Z$8:$Z$17</c:f>
            </c:strRef>
          </c:cat>
          <c:val>
            <c:numRef>
              <c:f>'Agus boscatto'!$AA$8:$AA$17</c:f>
              <c:numCache/>
            </c:numRef>
          </c:val>
        </c:ser>
        <c:axId val="1124336488"/>
        <c:axId val="1300359314"/>
      </c:barChart>
      <c:catAx>
        <c:axId val="11243364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00359314"/>
      </c:catAx>
      <c:valAx>
        <c:axId val="13003593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24336488"/>
      </c:valAx>
    </c:plotArea>
    <c:plotVisOnly val="1"/>
  </c:chart>
</c:chartSpace>
</file>

<file path=xl/charts/chart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Volum Semanal Grupos Musculares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4472C4"/>
            </a:solidFill>
            <a:ln cmpd="sng">
              <a:noFill/>
            </a:ln>
          </c:spPr>
          <c:cat>
            <c:strRef>
              <c:f>'RO R (5)prep fisica (2)'!$Z$8:$Z$18</c:f>
            </c:strRef>
          </c:cat>
          <c:val>
            <c:numRef>
              <c:f>'RO R (5)prep fisica (2)'!$AA$8:$AA$18</c:f>
              <c:numCache/>
            </c:numRef>
          </c:val>
        </c:ser>
        <c:axId val="1781612746"/>
        <c:axId val="1435845085"/>
      </c:barChart>
      <c:catAx>
        <c:axId val="17816127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35845085"/>
      </c:catAx>
      <c:valAx>
        <c:axId val="14358450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81612746"/>
      </c:valAx>
    </c:plotArea>
    <c:plotVisOnly val="1"/>
  </c:chart>
</c:chartSpace>
</file>

<file path=xl/charts/chart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Volum Semanal Grupos Musculares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4472C4"/>
            </a:solidFill>
            <a:ln cmpd="sng">
              <a:noFill/>
            </a:ln>
          </c:spPr>
          <c:cat>
            <c:strRef>
              <c:f>'PREP FISICA ALBERTO'!$Z$8:$Z$18</c:f>
            </c:strRef>
          </c:cat>
          <c:val>
            <c:numRef>
              <c:f>'PREP FISICA ALBERTO'!$AA$8:$AA$18</c:f>
              <c:numCache/>
            </c:numRef>
          </c:val>
        </c:ser>
        <c:axId val="294008854"/>
        <c:axId val="1817452725"/>
      </c:barChart>
      <c:catAx>
        <c:axId val="2940088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17452725"/>
      </c:catAx>
      <c:valAx>
        <c:axId val="18174527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94008854"/>
      </c:valAx>
    </c:plotArea>
    <c:plotVisOnly val="1"/>
  </c:chart>
</c:chartSpace>
</file>

<file path=xl/charts/chart3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Volum Semanal Grupos Musculares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4472C4"/>
            </a:solidFill>
            <a:ln cmpd="sng">
              <a:noFill/>
            </a:ln>
          </c:spPr>
          <c:cat>
            <c:strRef>
              <c:f>GONZA!$Z$8:$Z$17</c:f>
            </c:strRef>
          </c:cat>
          <c:val>
            <c:numRef>
              <c:f>GONZA!$AA$8:$AA$17</c:f>
              <c:numCache/>
            </c:numRef>
          </c:val>
        </c:ser>
        <c:axId val="1239678732"/>
        <c:axId val="2067252349"/>
      </c:barChart>
      <c:catAx>
        <c:axId val="12396787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67252349"/>
      </c:catAx>
      <c:valAx>
        <c:axId val="20672523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39678732"/>
      </c:valAx>
    </c:plotArea>
    <c:plotVisOnly val="1"/>
  </c:chart>
</c:chartSpace>
</file>

<file path=xl/charts/chart3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Volum Semanal Grupos Musculares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4472C4"/>
            </a:solidFill>
            <a:ln cmpd="sng">
              <a:noFill/>
            </a:ln>
          </c:spPr>
          <c:cat>
            <c:strRef>
              <c:f>'GONZA (2)'!$Z$8:$Z$17</c:f>
            </c:strRef>
          </c:cat>
          <c:val>
            <c:numRef>
              <c:f>'GONZA (2)'!$AA$8:$AA$17</c:f>
              <c:numCache/>
            </c:numRef>
          </c:val>
        </c:ser>
        <c:axId val="1625406214"/>
        <c:axId val="612327605"/>
      </c:barChart>
      <c:catAx>
        <c:axId val="16254062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12327605"/>
      </c:catAx>
      <c:valAx>
        <c:axId val="6123276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25406214"/>
      </c:valAx>
    </c:plotArea>
    <c:plotVisOnly val="1"/>
  </c:chart>
</c:chartSpace>
</file>

<file path=xl/charts/chart3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Volum Semanal Grupos Musculares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4472C4"/>
            </a:solidFill>
            <a:ln cmpd="sng">
              <a:noFill/>
            </a:ln>
          </c:spPr>
          <c:cat>
            <c:strRef>
              <c:f>'PREP FISICA ALBERTO (3)'!$Z$8:$Z$18</c:f>
            </c:strRef>
          </c:cat>
          <c:val>
            <c:numRef>
              <c:f>'PREP FISICA ALBERTO (3)'!$AA$8:$AA$18</c:f>
              <c:numCache/>
            </c:numRef>
          </c:val>
        </c:ser>
        <c:axId val="806370446"/>
        <c:axId val="1310533980"/>
      </c:barChart>
      <c:catAx>
        <c:axId val="8063704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10533980"/>
      </c:catAx>
      <c:valAx>
        <c:axId val="13105339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06370446"/>
      </c:valAx>
    </c:plotArea>
    <c:plotVisOnly val="1"/>
  </c:chart>
</c:chartSpace>
</file>

<file path=xl/charts/chart3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Volum Semanal Grupos Musculares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4472C4"/>
            </a:solidFill>
            <a:ln cmpd="sng">
              <a:noFill/>
            </a:ln>
          </c:spPr>
          <c:cat>
            <c:strRef>
              <c:f>'PREP FISICA ALBERT 2026'!$Z$8:$Z$18</c:f>
            </c:strRef>
          </c:cat>
          <c:val>
            <c:numRef>
              <c:f>'PREP FISICA ALBERT 2026'!$AA$8:$AA$18</c:f>
              <c:numCache/>
            </c:numRef>
          </c:val>
        </c:ser>
        <c:axId val="758261600"/>
        <c:axId val="1161143075"/>
      </c:barChart>
      <c:catAx>
        <c:axId val="7582616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61143075"/>
      </c:catAx>
      <c:valAx>
        <c:axId val="11611430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58261600"/>
      </c:valAx>
    </c:plotArea>
    <c:plotVisOnly val="1"/>
  </c:chart>
</c:chartSpace>
</file>

<file path=xl/charts/chart3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Volum Semanal Grupos Musculares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4472C4"/>
            </a:solidFill>
            <a:ln cmpd="sng">
              <a:noFill/>
            </a:ln>
          </c:spPr>
          <c:cat>
            <c:strRef>
              <c:f>'PABLO SALAS '!$Z$8:$Z$18</c:f>
            </c:strRef>
          </c:cat>
          <c:val>
            <c:numRef>
              <c:f>'PABLO SALAS '!$AA$8:$AA$18</c:f>
              <c:numCache/>
            </c:numRef>
          </c:val>
        </c:ser>
        <c:axId val="1491632773"/>
        <c:axId val="374440084"/>
      </c:barChart>
      <c:catAx>
        <c:axId val="14916327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74440084"/>
      </c:catAx>
      <c:valAx>
        <c:axId val="3744400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91632773"/>
      </c:valAx>
    </c:plotArea>
    <c:plotVisOnly val="1"/>
  </c:chart>
</c:chartSpace>
</file>

<file path=xl/charts/chart3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Volum Semanal Grupos Musculares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4472C4"/>
            </a:solidFill>
            <a:ln cmpd="sng">
              <a:noFill/>
            </a:ln>
          </c:spPr>
          <c:cat>
            <c:strRef>
              <c:f>'ALBERTO 2026'!$Z$8:$Z$19</c:f>
            </c:strRef>
          </c:cat>
          <c:val>
            <c:numRef>
              <c:f>'ALBERTO 2026'!$AA$8:$AA$19</c:f>
              <c:numCache/>
            </c:numRef>
          </c:val>
        </c:ser>
        <c:axId val="30079439"/>
        <c:axId val="1769502673"/>
      </c:barChart>
      <c:catAx>
        <c:axId val="300794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69502673"/>
      </c:catAx>
      <c:valAx>
        <c:axId val="17695026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0079439"/>
      </c:valAx>
    </c:plotArea>
    <c:plotVisOnly val="1"/>
  </c:chart>
</c:chartSpace>
</file>

<file path=xl/charts/chart3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Volum Semanal Grupos Musculares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4472C4"/>
            </a:solidFill>
            <a:ln cmpd="sng">
              <a:noFill/>
            </a:ln>
          </c:spPr>
          <c:cat>
            <c:strRef>
              <c:f>'PABLO SALAS  (3)'!$Z$10:$Z$21</c:f>
            </c:strRef>
          </c:cat>
          <c:val>
            <c:numRef>
              <c:f>'PABLO SALAS  (3)'!$AA$10:$AA$21</c:f>
              <c:numCache/>
            </c:numRef>
          </c:val>
        </c:ser>
        <c:axId val="1605669710"/>
        <c:axId val="1699388958"/>
      </c:barChart>
      <c:catAx>
        <c:axId val="16056697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99388958"/>
      </c:catAx>
      <c:valAx>
        <c:axId val="16993889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05669710"/>
      </c:valAx>
    </c:plotArea>
    <c:plotVisOnly val="1"/>
  </c:chart>
</c:chartSpace>
</file>

<file path=xl/charts/chart3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Volum Semanal Grupos Musculares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4472C4"/>
            </a:solidFill>
            <a:ln cmpd="sng">
              <a:noFill/>
            </a:ln>
          </c:spPr>
          <c:cat>
            <c:strRef>
              <c:f>'ROCIO R (5)'!$Z$8:$Z$17</c:f>
            </c:strRef>
          </c:cat>
          <c:val>
            <c:numRef>
              <c:f>'ROCIO R (5)'!$AA$8:$AA$17</c:f>
              <c:numCache/>
            </c:numRef>
          </c:val>
        </c:ser>
        <c:axId val="147376989"/>
        <c:axId val="1897654980"/>
      </c:barChart>
      <c:catAx>
        <c:axId val="1473769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97654980"/>
      </c:catAx>
      <c:valAx>
        <c:axId val="18976549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7376989"/>
      </c:valAx>
    </c:plotArea>
    <c:plotVisOnly val="1"/>
  </c:chart>
</c:chartSpace>
</file>

<file path=xl/charts/chart3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Volum Semanal Grupos Musculares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4472C4"/>
            </a:solidFill>
            <a:ln cmpd="sng">
              <a:noFill/>
            </a:ln>
          </c:spPr>
          <c:cat>
            <c:strRef>
              <c:f>'kuki '!$Z$10:$Z$22</c:f>
            </c:strRef>
          </c:cat>
          <c:val>
            <c:numRef>
              <c:f>'kuki '!$AA$10:$AA$22</c:f>
              <c:numCache/>
            </c:numRef>
          </c:val>
        </c:ser>
        <c:axId val="958475692"/>
        <c:axId val="681540214"/>
      </c:barChart>
      <c:catAx>
        <c:axId val="9584756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81540214"/>
      </c:catAx>
      <c:valAx>
        <c:axId val="6815402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58475692"/>
      </c:valAx>
    </c:plotArea>
    <c:plotVisOnly val="1"/>
  </c:chart>
</c:chartSpace>
</file>

<file path=xl/charts/chart4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Volum Semanal Grupos Musculares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4472C4"/>
            </a:solidFill>
            <a:ln cmpd="sng">
              <a:noFill/>
            </a:ln>
          </c:spPr>
          <c:cat>
            <c:strRef>
              <c:f>'borrador PREP FISICA '!$Z$8:$Z$26</c:f>
            </c:strRef>
          </c:cat>
          <c:val>
            <c:numRef>
              <c:f>'borrador PREP FISICA '!$AA$8:$AA$26</c:f>
              <c:numCache/>
            </c:numRef>
          </c:val>
        </c:ser>
        <c:axId val="1099170963"/>
        <c:axId val="1264488657"/>
      </c:barChart>
      <c:catAx>
        <c:axId val="10991709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64488657"/>
      </c:catAx>
      <c:valAx>
        <c:axId val="12644886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99170963"/>
      </c:valAx>
    </c:plotArea>
    <c:plotVisOnly val="1"/>
  </c:chart>
</c:chartSpace>
</file>

<file path=xl/charts/chart4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rgbClr val="4472C4"/>
            </a:solidFill>
            <a:ln cmpd="sng">
              <a:noFill/>
            </a:ln>
          </c:spPr>
          <c:cat>
            <c:strRef>
              <c:f>'Rutina por Patrones 4 (3)'!$W$6:$W$13</c:f>
            </c:strRef>
          </c:cat>
          <c:val>
            <c:numRef>
              <c:f>'Rutina por Patrones 4 (3)'!$X$6:$X$13</c:f>
              <c:numCache/>
            </c:numRef>
          </c:val>
        </c:ser>
        <c:axId val="324517750"/>
        <c:axId val="1720274529"/>
      </c:barChart>
      <c:catAx>
        <c:axId val="3245177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20274529"/>
      </c:catAx>
      <c:valAx>
        <c:axId val="17202745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24517750"/>
      </c:valAx>
    </c:plotArea>
    <c:plotVisOnly val="1"/>
  </c:chart>
</c:chartSpace>
</file>

<file path=xl/charts/chart4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rgbClr val="4472C4"/>
            </a:solidFill>
            <a:ln cmpd="sng">
              <a:noFill/>
            </a:ln>
          </c:spPr>
          <c:cat>
            <c:strRef>
              <c:f>'vicki 2026'!$W$6:$W$13</c:f>
            </c:strRef>
          </c:cat>
          <c:val>
            <c:numRef>
              <c:f>'vicki 2026'!$X$6:$X$13</c:f>
              <c:numCache/>
            </c:numRef>
          </c:val>
        </c:ser>
        <c:axId val="1841862387"/>
        <c:axId val="345479222"/>
      </c:barChart>
      <c:catAx>
        <c:axId val="18418623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45479222"/>
      </c:catAx>
      <c:valAx>
        <c:axId val="3454792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41862387"/>
      </c:valAx>
    </c:plotArea>
    <c:plotVisOnly val="1"/>
  </c:chart>
</c:chartSpace>
</file>

<file path=xl/charts/chart4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rgbClr val="4472C4"/>
            </a:solidFill>
            <a:ln cmpd="sng">
              <a:noFill/>
            </a:ln>
          </c:spPr>
          <c:cat>
            <c:strRef>
              <c:f>' NAN '!$W$6:$W$13</c:f>
            </c:strRef>
          </c:cat>
          <c:val>
            <c:numRef>
              <c:f>' NAN '!$X$6:$X$13</c:f>
              <c:numCache/>
            </c:numRef>
          </c:val>
        </c:ser>
        <c:axId val="1196049652"/>
        <c:axId val="1073916453"/>
      </c:barChart>
      <c:catAx>
        <c:axId val="11960496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73916453"/>
      </c:catAx>
      <c:valAx>
        <c:axId val="10739164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96049652"/>
      </c:valAx>
    </c:plotArea>
    <c:plotVisOnly val="1"/>
  </c:chart>
</c:chartSpace>
</file>

<file path=xl/charts/chart4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rgbClr val="4472C4"/>
            </a:solidFill>
            <a:ln cmpd="sng">
              <a:noFill/>
            </a:ln>
          </c:spPr>
          <c:cat>
            <c:strRef>
              <c:f>'Rutina por Patrones 4 (4)'!$W$6:$W$13</c:f>
            </c:strRef>
          </c:cat>
          <c:val>
            <c:numRef>
              <c:f>'Rutina por Patrones 4 (4)'!$X$6:$X$13</c:f>
              <c:numCache/>
            </c:numRef>
          </c:val>
        </c:ser>
        <c:axId val="1358260448"/>
        <c:axId val="1937234961"/>
      </c:barChart>
      <c:catAx>
        <c:axId val="13582604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37234961"/>
      </c:catAx>
      <c:valAx>
        <c:axId val="19372349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58260448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chart" Target="../charts/chart32.xml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chart" Target="../charts/chart33.xml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chart" Target="../charts/chart34.xml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5.xml"/></Relationships>
</file>

<file path=xl/drawings/_rels/drawing4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6.xml"/></Relationships>
</file>

<file path=xl/drawings/_rels/drawing4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7.xml"/></Relationships>
</file>

<file path=xl/drawings/_rels/drawing4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8.xml"/></Relationships>
</file>

<file path=xl/drawings/_rels/drawing46.xml.rels><?xml version="1.0" encoding="UTF-8" standalone="yes"?><Relationships xmlns="http://schemas.openxmlformats.org/package/2006/relationships"><Relationship Id="rId1" Type="http://schemas.openxmlformats.org/officeDocument/2006/relationships/chart" Target="../charts/chart39.xml"/></Relationships>
</file>

<file path=xl/drawings/_rels/drawing47.xml.rels><?xml version="1.0" encoding="UTF-8" standalone="yes"?><Relationships xmlns="http://schemas.openxmlformats.org/package/2006/relationships"><Relationship Id="rId1" Type="http://schemas.openxmlformats.org/officeDocument/2006/relationships/chart" Target="../charts/chart40.xml"/></Relationships>
</file>

<file path=xl/drawings/_rels/drawing48.xml.rels><?xml version="1.0" encoding="UTF-8" standalone="yes"?><Relationships xmlns="http://schemas.openxmlformats.org/package/2006/relationships"><Relationship Id="rId1" Type="http://schemas.openxmlformats.org/officeDocument/2006/relationships/chart" Target="../charts/chart41.xml"/></Relationships>
</file>

<file path=xl/drawings/_rels/drawing49.xml.rels><?xml version="1.0" encoding="UTF-8" standalone="yes"?><Relationships xmlns="http://schemas.openxmlformats.org/package/2006/relationships"><Relationship Id="rId1" Type="http://schemas.openxmlformats.org/officeDocument/2006/relationships/chart" Target="../charts/chart42.xml"/></Relationships>
</file>

<file path=xl/drawings/_rels/drawing50.xml.rels><?xml version="1.0" encoding="UTF-8" standalone="yes"?><Relationships xmlns="http://schemas.openxmlformats.org/package/2006/relationships"><Relationship Id="rId1" Type="http://schemas.openxmlformats.org/officeDocument/2006/relationships/chart" Target="../charts/chart43.xml"/></Relationships>
</file>

<file path=xl/drawings/_rels/drawing51.xml.rels><?xml version="1.0" encoding="UTF-8" standalone="yes"?><Relationships xmlns="http://schemas.openxmlformats.org/package/2006/relationships"><Relationship Id="rId1" Type="http://schemas.openxmlformats.org/officeDocument/2006/relationships/chart" Target="../charts/chart4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781050</xdr:colOff>
      <xdr:row>19</xdr:row>
      <xdr:rowOff>9525</xdr:rowOff>
    </xdr:from>
    <xdr:ext cx="4143375" cy="2667000"/>
    <xdr:graphicFrame>
      <xdr:nvGraphicFramePr>
        <xdr:cNvPr id="94848945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21</xdr:col>
      <xdr:colOff>733425</xdr:colOff>
      <xdr:row>16</xdr:row>
      <xdr:rowOff>38100</xdr:rowOff>
    </xdr:from>
    <xdr:ext cx="4524375" cy="3143250"/>
    <xdr:graphicFrame>
      <xdr:nvGraphicFramePr>
        <xdr:cNvPr id="54654509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21</xdr:col>
      <xdr:colOff>733425</xdr:colOff>
      <xdr:row>16</xdr:row>
      <xdr:rowOff>38100</xdr:rowOff>
    </xdr:from>
    <xdr:ext cx="4524375" cy="3143250"/>
    <xdr:graphicFrame>
      <xdr:nvGraphicFramePr>
        <xdr:cNvPr id="34172363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21</xdr:col>
      <xdr:colOff>733425</xdr:colOff>
      <xdr:row>16</xdr:row>
      <xdr:rowOff>38100</xdr:rowOff>
    </xdr:from>
    <xdr:ext cx="4524375" cy="3143250"/>
    <xdr:graphicFrame>
      <xdr:nvGraphicFramePr>
        <xdr:cNvPr id="949498263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21</xdr:col>
      <xdr:colOff>733425</xdr:colOff>
      <xdr:row>17</xdr:row>
      <xdr:rowOff>38100</xdr:rowOff>
    </xdr:from>
    <xdr:ext cx="4524375" cy="3143250"/>
    <xdr:graphicFrame>
      <xdr:nvGraphicFramePr>
        <xdr:cNvPr id="1987625637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21</xdr:col>
      <xdr:colOff>733425</xdr:colOff>
      <xdr:row>17</xdr:row>
      <xdr:rowOff>38100</xdr:rowOff>
    </xdr:from>
    <xdr:ext cx="4524375" cy="3143250"/>
    <xdr:graphicFrame>
      <xdr:nvGraphicFramePr>
        <xdr:cNvPr id="1368642462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21</xdr:col>
      <xdr:colOff>733425</xdr:colOff>
      <xdr:row>16</xdr:row>
      <xdr:rowOff>38100</xdr:rowOff>
    </xdr:from>
    <xdr:ext cx="4524375" cy="3143250"/>
    <xdr:graphicFrame>
      <xdr:nvGraphicFramePr>
        <xdr:cNvPr id="1048376553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295275</xdr:colOff>
      <xdr:row>4</xdr:row>
      <xdr:rowOff>28575</xdr:rowOff>
    </xdr:from>
    <xdr:ext cx="6600825" cy="3733800"/>
    <xdr:graphicFrame>
      <xdr:nvGraphicFramePr>
        <xdr:cNvPr id="2054547648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781050</xdr:colOff>
      <xdr:row>18</xdr:row>
      <xdr:rowOff>9525</xdr:rowOff>
    </xdr:from>
    <xdr:ext cx="4143375" cy="2667000"/>
    <xdr:graphicFrame>
      <xdr:nvGraphicFramePr>
        <xdr:cNvPr id="1409636063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781050</xdr:colOff>
      <xdr:row>18</xdr:row>
      <xdr:rowOff>9525</xdr:rowOff>
    </xdr:from>
    <xdr:ext cx="4143375" cy="2667000"/>
    <xdr:graphicFrame>
      <xdr:nvGraphicFramePr>
        <xdr:cNvPr id="1655109450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781050</xdr:colOff>
      <xdr:row>18</xdr:row>
      <xdr:rowOff>9525</xdr:rowOff>
    </xdr:from>
    <xdr:ext cx="4143375" cy="2667000"/>
    <xdr:graphicFrame>
      <xdr:nvGraphicFramePr>
        <xdr:cNvPr id="830711690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781050</xdr:colOff>
      <xdr:row>18</xdr:row>
      <xdr:rowOff>9525</xdr:rowOff>
    </xdr:from>
    <xdr:ext cx="4143375" cy="2667000"/>
    <xdr:graphicFrame>
      <xdr:nvGraphicFramePr>
        <xdr:cNvPr id="1542607625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781050</xdr:colOff>
      <xdr:row>18</xdr:row>
      <xdr:rowOff>9525</xdr:rowOff>
    </xdr:from>
    <xdr:ext cx="4143375" cy="2667000"/>
    <xdr:graphicFrame>
      <xdr:nvGraphicFramePr>
        <xdr:cNvPr id="133527928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781050</xdr:colOff>
      <xdr:row>18</xdr:row>
      <xdr:rowOff>9525</xdr:rowOff>
    </xdr:from>
    <xdr:ext cx="4143375" cy="2667000"/>
    <xdr:graphicFrame>
      <xdr:nvGraphicFramePr>
        <xdr:cNvPr id="1922021909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781050</xdr:colOff>
      <xdr:row>18</xdr:row>
      <xdr:rowOff>9525</xdr:rowOff>
    </xdr:from>
    <xdr:ext cx="4143375" cy="2667000"/>
    <xdr:graphicFrame>
      <xdr:nvGraphicFramePr>
        <xdr:cNvPr id="1054204737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781050</xdr:colOff>
      <xdr:row>18</xdr:row>
      <xdr:rowOff>9525</xdr:rowOff>
    </xdr:from>
    <xdr:ext cx="4143375" cy="2667000"/>
    <xdr:graphicFrame>
      <xdr:nvGraphicFramePr>
        <xdr:cNvPr id="1723349620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781050</xdr:colOff>
      <xdr:row>18</xdr:row>
      <xdr:rowOff>9525</xdr:rowOff>
    </xdr:from>
    <xdr:ext cx="4143375" cy="2667000"/>
    <xdr:graphicFrame>
      <xdr:nvGraphicFramePr>
        <xdr:cNvPr id="1352505157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781050</xdr:colOff>
      <xdr:row>18</xdr:row>
      <xdr:rowOff>9525</xdr:rowOff>
    </xdr:from>
    <xdr:ext cx="4143375" cy="2667000"/>
    <xdr:graphicFrame>
      <xdr:nvGraphicFramePr>
        <xdr:cNvPr id="1481464713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781050</xdr:colOff>
      <xdr:row>18</xdr:row>
      <xdr:rowOff>9525</xdr:rowOff>
    </xdr:from>
    <xdr:ext cx="4143375" cy="2667000"/>
    <xdr:graphicFrame>
      <xdr:nvGraphicFramePr>
        <xdr:cNvPr id="1543396714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781050</xdr:colOff>
      <xdr:row>18</xdr:row>
      <xdr:rowOff>9525</xdr:rowOff>
    </xdr:from>
    <xdr:ext cx="4143375" cy="2667000"/>
    <xdr:graphicFrame>
      <xdr:nvGraphicFramePr>
        <xdr:cNvPr id="206513478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781050</xdr:colOff>
      <xdr:row>19</xdr:row>
      <xdr:rowOff>9525</xdr:rowOff>
    </xdr:from>
    <xdr:ext cx="4143375" cy="2667000"/>
    <xdr:graphicFrame>
      <xdr:nvGraphicFramePr>
        <xdr:cNvPr id="1227663373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781050</xdr:colOff>
      <xdr:row>19</xdr:row>
      <xdr:rowOff>9525</xdr:rowOff>
    </xdr:from>
    <xdr:ext cx="4143375" cy="2667000"/>
    <xdr:graphicFrame>
      <xdr:nvGraphicFramePr>
        <xdr:cNvPr id="617430762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781050</xdr:colOff>
      <xdr:row>20</xdr:row>
      <xdr:rowOff>9525</xdr:rowOff>
    </xdr:from>
    <xdr:ext cx="4143375" cy="2667000"/>
    <xdr:graphicFrame>
      <xdr:nvGraphicFramePr>
        <xdr:cNvPr id="1012512388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781050</xdr:colOff>
      <xdr:row>19</xdr:row>
      <xdr:rowOff>9525</xdr:rowOff>
    </xdr:from>
    <xdr:ext cx="4143375" cy="2667000"/>
    <xdr:graphicFrame>
      <xdr:nvGraphicFramePr>
        <xdr:cNvPr id="273219409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781050</xdr:colOff>
      <xdr:row>18</xdr:row>
      <xdr:rowOff>9525</xdr:rowOff>
    </xdr:from>
    <xdr:ext cx="4143375" cy="2667000"/>
    <xdr:graphicFrame>
      <xdr:nvGraphicFramePr>
        <xdr:cNvPr id="55561857" name="Chart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781050</xdr:colOff>
      <xdr:row>19</xdr:row>
      <xdr:rowOff>9525</xdr:rowOff>
    </xdr:from>
    <xdr:ext cx="4143375" cy="2667000"/>
    <xdr:graphicFrame>
      <xdr:nvGraphicFramePr>
        <xdr:cNvPr id="2025973911" name="Chart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781050</xdr:colOff>
      <xdr:row>19</xdr:row>
      <xdr:rowOff>9525</xdr:rowOff>
    </xdr:from>
    <xdr:ext cx="4143375" cy="2667000"/>
    <xdr:graphicFrame>
      <xdr:nvGraphicFramePr>
        <xdr:cNvPr id="1680398759" name="Chart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781050</xdr:colOff>
      <xdr:row>18</xdr:row>
      <xdr:rowOff>9525</xdr:rowOff>
    </xdr:from>
    <xdr:ext cx="4143375" cy="2667000"/>
    <xdr:graphicFrame>
      <xdr:nvGraphicFramePr>
        <xdr:cNvPr id="1250142874" name="Chart 2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781050</xdr:colOff>
      <xdr:row>19</xdr:row>
      <xdr:rowOff>9525</xdr:rowOff>
    </xdr:from>
    <xdr:ext cx="4143375" cy="2667000"/>
    <xdr:graphicFrame>
      <xdr:nvGraphicFramePr>
        <xdr:cNvPr id="1436356937" name="Chart 2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781050</xdr:colOff>
      <xdr:row>19</xdr:row>
      <xdr:rowOff>9525</xdr:rowOff>
    </xdr:from>
    <xdr:ext cx="4143375" cy="2667000"/>
    <xdr:graphicFrame>
      <xdr:nvGraphicFramePr>
        <xdr:cNvPr id="1994679014" name="Chart 3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781050</xdr:colOff>
      <xdr:row>18</xdr:row>
      <xdr:rowOff>9525</xdr:rowOff>
    </xdr:from>
    <xdr:ext cx="4143375" cy="2667000"/>
    <xdr:graphicFrame>
      <xdr:nvGraphicFramePr>
        <xdr:cNvPr id="190317517" name="Chart 3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781050</xdr:colOff>
      <xdr:row>18</xdr:row>
      <xdr:rowOff>9525</xdr:rowOff>
    </xdr:from>
    <xdr:ext cx="4143375" cy="2667000"/>
    <xdr:graphicFrame>
      <xdr:nvGraphicFramePr>
        <xdr:cNvPr id="689142024" name="Chart 3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781050</xdr:colOff>
      <xdr:row>19</xdr:row>
      <xdr:rowOff>9525</xdr:rowOff>
    </xdr:from>
    <xdr:ext cx="4143375" cy="2667000"/>
    <xdr:graphicFrame>
      <xdr:nvGraphicFramePr>
        <xdr:cNvPr id="219995039" name="Chart 3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781050</xdr:colOff>
      <xdr:row>19</xdr:row>
      <xdr:rowOff>9525</xdr:rowOff>
    </xdr:from>
    <xdr:ext cx="4143375" cy="2667000"/>
    <xdr:graphicFrame>
      <xdr:nvGraphicFramePr>
        <xdr:cNvPr id="2122648555" name="Chart 3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781050</xdr:colOff>
      <xdr:row>19</xdr:row>
      <xdr:rowOff>9525</xdr:rowOff>
    </xdr:from>
    <xdr:ext cx="4143375" cy="2667000"/>
    <xdr:graphicFrame>
      <xdr:nvGraphicFramePr>
        <xdr:cNvPr id="1122464528" name="Chart 3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781050</xdr:colOff>
      <xdr:row>20</xdr:row>
      <xdr:rowOff>9525</xdr:rowOff>
    </xdr:from>
    <xdr:ext cx="4143375" cy="2667000"/>
    <xdr:graphicFrame>
      <xdr:nvGraphicFramePr>
        <xdr:cNvPr id="1460375086" name="Chart 3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781050</xdr:colOff>
      <xdr:row>22</xdr:row>
      <xdr:rowOff>9525</xdr:rowOff>
    </xdr:from>
    <xdr:ext cx="4143375" cy="2667000"/>
    <xdr:graphicFrame>
      <xdr:nvGraphicFramePr>
        <xdr:cNvPr id="558260188" name="Chart 3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781050</xdr:colOff>
      <xdr:row>18</xdr:row>
      <xdr:rowOff>9525</xdr:rowOff>
    </xdr:from>
    <xdr:ext cx="4143375" cy="2667000"/>
    <xdr:graphicFrame>
      <xdr:nvGraphicFramePr>
        <xdr:cNvPr id="300993091" name="Chart 3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781050</xdr:colOff>
      <xdr:row>23</xdr:row>
      <xdr:rowOff>9525</xdr:rowOff>
    </xdr:from>
    <xdr:ext cx="4143375" cy="2667000"/>
    <xdr:graphicFrame>
      <xdr:nvGraphicFramePr>
        <xdr:cNvPr id="1619180921" name="Chart 3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781050</xdr:colOff>
      <xdr:row>27</xdr:row>
      <xdr:rowOff>9525</xdr:rowOff>
    </xdr:from>
    <xdr:ext cx="4143375" cy="2667000"/>
    <xdr:graphicFrame>
      <xdr:nvGraphicFramePr>
        <xdr:cNvPr id="2130257750" name="Chart 4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21</xdr:col>
      <xdr:colOff>733425</xdr:colOff>
      <xdr:row>20</xdr:row>
      <xdr:rowOff>38100</xdr:rowOff>
    </xdr:from>
    <xdr:ext cx="4524375" cy="3143250"/>
    <xdr:graphicFrame>
      <xdr:nvGraphicFramePr>
        <xdr:cNvPr id="1097671618" name="Chart 4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21</xdr:col>
      <xdr:colOff>733425</xdr:colOff>
      <xdr:row>20</xdr:row>
      <xdr:rowOff>38100</xdr:rowOff>
    </xdr:from>
    <xdr:ext cx="4524375" cy="3143250"/>
    <xdr:graphicFrame>
      <xdr:nvGraphicFramePr>
        <xdr:cNvPr id="1473227441" name="Chart 4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21</xdr:col>
      <xdr:colOff>733425</xdr:colOff>
      <xdr:row>20</xdr:row>
      <xdr:rowOff>38100</xdr:rowOff>
    </xdr:from>
    <xdr:ext cx="4524375" cy="3143250"/>
    <xdr:graphicFrame>
      <xdr:nvGraphicFramePr>
        <xdr:cNvPr id="947114264" name="Chart 4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21</xdr:col>
      <xdr:colOff>733425</xdr:colOff>
      <xdr:row>20</xdr:row>
      <xdr:rowOff>38100</xdr:rowOff>
    </xdr:from>
    <xdr:ext cx="4524375" cy="3143250"/>
    <xdr:graphicFrame>
      <xdr:nvGraphicFramePr>
        <xdr:cNvPr id="1166462382" name="Chart 4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10.71"/>
    <col customWidth="1" min="24" max="24" width="7.86"/>
    <col customWidth="1" min="25" max="25" width="15.43"/>
    <col customWidth="1" min="26" max="28" width="10.71"/>
  </cols>
  <sheetData>
    <row r="1" ht="14.25" customHeight="1"/>
    <row r="2" ht="14.25" customHeight="1"/>
    <row r="3" ht="14.25" customHeight="1"/>
    <row r="4" ht="14.25" customHeight="1"/>
    <row r="5" ht="14.25" customHeight="1">
      <c r="J5" s="1"/>
    </row>
    <row r="6" ht="14.25" customHeight="1">
      <c r="A6" s="2" t="s">
        <v>1</v>
      </c>
      <c r="B6" s="3"/>
      <c r="C6" s="4"/>
      <c r="J6" s="1"/>
    </row>
    <row r="7" ht="14.25" customHeight="1">
      <c r="A7" s="5" t="s">
        <v>2</v>
      </c>
      <c r="B7" s="7" t="s">
        <v>4</v>
      </c>
      <c r="C7" s="8"/>
      <c r="D7" s="9"/>
      <c r="E7" s="5" t="s">
        <v>5</v>
      </c>
      <c r="F7" s="5" t="s">
        <v>6</v>
      </c>
      <c r="G7" s="5" t="s">
        <v>7</v>
      </c>
      <c r="H7" s="5" t="s">
        <v>8</v>
      </c>
      <c r="I7" s="7" t="s">
        <v>9</v>
      </c>
      <c r="J7" s="9"/>
      <c r="M7" s="11" t="s">
        <v>0</v>
      </c>
      <c r="N7" s="12"/>
      <c r="O7" s="12"/>
      <c r="P7" s="12"/>
      <c r="Q7" s="12"/>
      <c r="R7" s="12"/>
      <c r="S7" s="12"/>
      <c r="T7" s="12"/>
      <c r="U7" s="12"/>
      <c r="V7" s="12"/>
      <c r="W7" s="13"/>
      <c r="Y7" s="1"/>
      <c r="Z7" s="14" t="s">
        <v>10</v>
      </c>
      <c r="AA7" s="12"/>
      <c r="AB7" s="13"/>
    </row>
    <row r="8" ht="14.25" customHeight="1">
      <c r="A8" s="15" t="s">
        <v>12</v>
      </c>
      <c r="B8" s="17" t="s">
        <v>13</v>
      </c>
      <c r="C8" s="18"/>
      <c r="D8" s="20"/>
      <c r="E8" s="15">
        <v>2.0</v>
      </c>
      <c r="F8" s="15">
        <v>10.0</v>
      </c>
      <c r="G8" s="15"/>
      <c r="H8" s="15"/>
      <c r="I8" s="23" t="s">
        <v>15</v>
      </c>
      <c r="J8" s="9"/>
      <c r="M8" s="25"/>
      <c r="N8" s="28" t="s">
        <v>16</v>
      </c>
      <c r="O8" s="28" t="s">
        <v>26</v>
      </c>
      <c r="P8" s="28" t="s">
        <v>27</v>
      </c>
      <c r="Q8" s="28" t="s">
        <v>28</v>
      </c>
      <c r="R8" s="28" t="s">
        <v>29</v>
      </c>
      <c r="S8" s="28" t="s">
        <v>30</v>
      </c>
      <c r="T8" s="28" t="s">
        <v>31</v>
      </c>
      <c r="U8" s="28" t="s">
        <v>32</v>
      </c>
      <c r="V8" s="28" t="s">
        <v>33</v>
      </c>
      <c r="W8" s="28" t="s">
        <v>12</v>
      </c>
      <c r="Z8" s="28" t="s">
        <v>16</v>
      </c>
      <c r="AA8" s="1">
        <f>SUM(N9,N14,N20,N25,N30)</f>
        <v>8</v>
      </c>
    </row>
    <row r="9" ht="14.25" customHeight="1">
      <c r="A9" s="15" t="s">
        <v>12</v>
      </c>
      <c r="B9" s="17" t="s">
        <v>37</v>
      </c>
      <c r="C9" s="18"/>
      <c r="D9" s="20"/>
      <c r="E9" s="15">
        <v>3.0</v>
      </c>
      <c r="F9" s="15">
        <v>12.0</v>
      </c>
      <c r="G9" s="15"/>
      <c r="H9" s="15"/>
      <c r="I9" s="23"/>
      <c r="J9" s="9"/>
      <c r="M9" s="34" t="s">
        <v>36</v>
      </c>
      <c r="N9" s="37">
        <f>SUMIF(A8:A18,"Pecho",E8:E18)</f>
        <v>4</v>
      </c>
      <c r="O9" s="37">
        <f>SUMIF(A8:A18,"Espalda",E8:E18)</f>
        <v>0</v>
      </c>
      <c r="P9" s="37">
        <f>SUMIF($A8:$A18,"Hombros",$E8:$E18)</f>
        <v>8</v>
      </c>
      <c r="Q9" s="37">
        <f>SUMIF($A8:$A18,"Bíceps",$E8:$E18)</f>
        <v>3</v>
      </c>
      <c r="R9" s="37">
        <f>SUMIF($A8:$A18,"Tríceps",$E8:$E18)</f>
        <v>4</v>
      </c>
      <c r="S9" s="38">
        <f>SUMIF(A8:A18,"Cuádriceps",E8:E18)</f>
        <v>9</v>
      </c>
      <c r="T9" s="37">
        <f>SUMIF($A8:$A18,"Isquios",$E8:$E18)</f>
        <v>0</v>
      </c>
      <c r="U9" s="37">
        <f>SUMIF($A8:$A18,"Glúteos",$E8:$E18)</f>
        <v>0</v>
      </c>
      <c r="V9" s="37">
        <f>SUMIF($A8:$A18,"Pantorrillas",$E8:$E18)</f>
        <v>0</v>
      </c>
      <c r="W9" s="37">
        <f>SUMIF($A8:$A18,"Otros",$E8:$E18)</f>
        <v>8</v>
      </c>
      <c r="Z9" s="28" t="s">
        <v>26</v>
      </c>
      <c r="AA9" s="1">
        <f>SUM(O9,O14,O20,O25,O30)</f>
        <v>12</v>
      </c>
    </row>
    <row r="10" ht="14.25" customHeight="1">
      <c r="A10" s="15" t="s">
        <v>12</v>
      </c>
      <c r="B10" s="17" t="s">
        <v>44</v>
      </c>
      <c r="C10" s="18"/>
      <c r="D10" s="20"/>
      <c r="E10" s="15">
        <v>3.0</v>
      </c>
      <c r="F10" s="15">
        <v>10.0</v>
      </c>
      <c r="G10" s="15"/>
      <c r="H10" s="15"/>
      <c r="I10" s="23"/>
      <c r="J10" s="9"/>
      <c r="M10" s="34" t="s">
        <v>7</v>
      </c>
      <c r="N10" s="35">
        <f>AVERAGEIF($A8:$A18,"Pecho",$G8:$G18)</f>
        <v>8</v>
      </c>
      <c r="O10" s="35" t="str">
        <f>AVERAGEIF($A8:$A18,"Espalda",$G8:$G18)</f>
        <v>#DIV/0!</v>
      </c>
      <c r="P10" s="35">
        <f>AVERAGEIF($A8:$A18,"Hombros",$G8:$G18)</f>
        <v>8</v>
      </c>
      <c r="Q10" s="35" t="str">
        <f>AVERAGEIF($A8:$A18,"Bíceps",$G8:$G18)</f>
        <v>#DIV/0!</v>
      </c>
      <c r="R10" s="35" t="str">
        <f>AVERAGEIF($A8:$A18,"Tríceps",$G8:$G18)</f>
        <v>#DIV/0!</v>
      </c>
      <c r="S10" s="35">
        <f>AVERAGEIF($A8:$A18,"Cuádriceps",$G8:$G18)</f>
        <v>7.666666667</v>
      </c>
      <c r="T10" s="35" t="str">
        <f>AVERAGEIF($A8:$A18,"Isquios",$G8:$G18)</f>
        <v>#DIV/0!</v>
      </c>
      <c r="U10" s="35" t="str">
        <f>AVERAGEIF($A8:$A18,"Glúteos",$G8:$G18)</f>
        <v>#DIV/0!</v>
      </c>
      <c r="V10" s="35" t="str">
        <f>AVERAGEIF($A8:$A18,"Pantorrillas",$G8:$G18)</f>
        <v>#DIV/0!</v>
      </c>
      <c r="W10" s="35" t="str">
        <f>AVERAGEIF($A8:$A18,"Otros",$G8:$G18)</f>
        <v>#DIV/0!</v>
      </c>
      <c r="Z10" s="28" t="s">
        <v>27</v>
      </c>
      <c r="AA10" s="1">
        <f>SUM(P9,P14,P20,P25,P30)</f>
        <v>8</v>
      </c>
    </row>
    <row r="11" ht="14.25" customHeight="1">
      <c r="A11" s="49" t="s">
        <v>16</v>
      </c>
      <c r="B11" s="50" t="s">
        <v>52</v>
      </c>
      <c r="C11" s="18"/>
      <c r="D11" s="20"/>
      <c r="E11" s="49">
        <v>4.0</v>
      </c>
      <c r="F11" s="49" t="s">
        <v>53</v>
      </c>
      <c r="G11" s="49">
        <v>8.0</v>
      </c>
      <c r="H11" s="49" t="s">
        <v>55</v>
      </c>
      <c r="I11" s="51"/>
      <c r="J11" s="9"/>
      <c r="M11" s="25"/>
      <c r="N11" s="25"/>
      <c r="O11" s="25"/>
      <c r="P11" s="25"/>
      <c r="Q11" s="25"/>
      <c r="R11" s="25"/>
      <c r="S11" s="25"/>
      <c r="T11" s="25"/>
      <c r="U11" s="25"/>
      <c r="Z11" s="28" t="s">
        <v>28</v>
      </c>
      <c r="AA11" s="1">
        <f>SUM(Q9,Q14,Q20,Q25,Q30)</f>
        <v>3</v>
      </c>
    </row>
    <row r="12" ht="14.25" customHeight="1">
      <c r="A12" s="15" t="s">
        <v>27</v>
      </c>
      <c r="B12" s="17" t="s">
        <v>56</v>
      </c>
      <c r="C12" s="18"/>
      <c r="D12" s="20"/>
      <c r="E12" s="15">
        <v>4.0</v>
      </c>
      <c r="F12" s="15">
        <v>10.0</v>
      </c>
      <c r="G12" s="15">
        <v>8.0</v>
      </c>
      <c r="H12" s="15"/>
      <c r="I12" s="23" t="s">
        <v>58</v>
      </c>
      <c r="J12" s="9"/>
      <c r="M12" s="11" t="s">
        <v>45</v>
      </c>
      <c r="N12" s="12"/>
      <c r="O12" s="12"/>
      <c r="P12" s="12"/>
      <c r="Q12" s="12"/>
      <c r="R12" s="12"/>
      <c r="S12" s="12"/>
      <c r="T12" s="12"/>
      <c r="U12" s="12"/>
      <c r="V12" s="12"/>
      <c r="W12" s="13"/>
      <c r="Z12" s="28" t="s">
        <v>29</v>
      </c>
      <c r="AA12" s="1">
        <f>SUM(R9,R14,R20,R25,R30)</f>
        <v>4</v>
      </c>
    </row>
    <row r="13" ht="14.25" customHeight="1">
      <c r="A13" s="15" t="s">
        <v>27</v>
      </c>
      <c r="B13" s="17" t="s">
        <v>62</v>
      </c>
      <c r="C13" s="18"/>
      <c r="D13" s="20"/>
      <c r="E13" s="15">
        <v>4.0</v>
      </c>
      <c r="F13" s="15">
        <v>6.0</v>
      </c>
      <c r="G13" s="15"/>
      <c r="H13" s="15"/>
      <c r="I13" s="23"/>
      <c r="J13" s="9"/>
      <c r="M13" s="25"/>
      <c r="N13" s="28" t="s">
        <v>16</v>
      </c>
      <c r="O13" s="28" t="s">
        <v>26</v>
      </c>
      <c r="P13" s="28" t="s">
        <v>27</v>
      </c>
      <c r="Q13" s="28" t="s">
        <v>28</v>
      </c>
      <c r="R13" s="28" t="s">
        <v>29</v>
      </c>
      <c r="S13" s="28" t="s">
        <v>30</v>
      </c>
      <c r="T13" s="28" t="s">
        <v>31</v>
      </c>
      <c r="U13" s="28" t="s">
        <v>32</v>
      </c>
      <c r="V13" s="28" t="s">
        <v>33</v>
      </c>
      <c r="W13" s="28" t="s">
        <v>12</v>
      </c>
      <c r="Z13" s="28" t="s">
        <v>30</v>
      </c>
      <c r="AA13" s="1">
        <f>SUM(S9,S14,S20,S25,S30)</f>
        <v>25</v>
      </c>
    </row>
    <row r="14" ht="14.25" customHeight="1">
      <c r="A14" s="49" t="s">
        <v>30</v>
      </c>
      <c r="B14" s="50" t="s">
        <v>64</v>
      </c>
      <c r="C14" s="18"/>
      <c r="D14" s="20"/>
      <c r="E14" s="49">
        <v>3.0</v>
      </c>
      <c r="F14" s="49" t="s">
        <v>65</v>
      </c>
      <c r="G14" s="49">
        <v>8.0</v>
      </c>
      <c r="H14" s="49"/>
      <c r="I14" s="51"/>
      <c r="J14" s="9"/>
      <c r="M14" s="34" t="s">
        <v>36</v>
      </c>
      <c r="N14" s="35">
        <f>SUMIF($A23:$A33,"Pecho",$E23:$E33)</f>
        <v>0</v>
      </c>
      <c r="O14" s="35">
        <f>SUMIF($A23:$A33,"Espalda",$E23:$E33)</f>
        <v>0</v>
      </c>
      <c r="P14" s="35">
        <f>SUMIF($A23:$A33,"Hombros",$E23:$E33)</f>
        <v>0</v>
      </c>
      <c r="Q14" s="35">
        <f>SUMIF($A23:$A33,"Bíceps",$E23:$E33)</f>
        <v>0</v>
      </c>
      <c r="R14" s="35">
        <f>SUMIF($A23:$A33,"Tríceps",$E23:$E33)</f>
        <v>0</v>
      </c>
      <c r="S14" s="35">
        <f>SUMIF($A23:$A33,"Cuádriceps",$E23:$E33)</f>
        <v>10</v>
      </c>
      <c r="T14" s="35">
        <f>SUMIF($A23:$A33,"Isquios",$E23:$E33)</f>
        <v>0</v>
      </c>
      <c r="U14" s="35">
        <f>SUMIF($A23:$A33,"Glúteos",$E23:$E33)</f>
        <v>10</v>
      </c>
      <c r="V14" s="35">
        <f>SUMIF($A23:$A33,"Pantorrillas",$E23:$E33)</f>
        <v>0</v>
      </c>
      <c r="W14" s="35">
        <f>SUMIF($A23:$A33,"Otros",$E23:$E33)</f>
        <v>15</v>
      </c>
      <c r="Z14" s="28" t="s">
        <v>31</v>
      </c>
      <c r="AA14" s="1">
        <f>SUM(T9,T14,T20,T25,T30)</f>
        <v>10</v>
      </c>
    </row>
    <row r="15" ht="14.25" customHeight="1">
      <c r="A15" s="49" t="s">
        <v>30</v>
      </c>
      <c r="B15" s="50" t="s">
        <v>69</v>
      </c>
      <c r="C15" s="18"/>
      <c r="D15" s="20"/>
      <c r="E15" s="49">
        <v>3.0</v>
      </c>
      <c r="F15" s="49" t="s">
        <v>71</v>
      </c>
      <c r="G15" s="49">
        <v>8.0</v>
      </c>
      <c r="H15" s="49"/>
      <c r="I15" s="51" t="s">
        <v>72</v>
      </c>
      <c r="J15" s="9"/>
      <c r="M15" s="34" t="s">
        <v>7</v>
      </c>
      <c r="N15" s="35" t="str">
        <f>AVERAGEIF($A23:$A33,"Pecho",$G23:$G33)</f>
        <v>#DIV/0!</v>
      </c>
      <c r="O15" s="35" t="str">
        <f>AVERAGEIF($A23:$A33,"Espalda",$G23:$G33)</f>
        <v>#DIV/0!</v>
      </c>
      <c r="P15" s="35" t="str">
        <f>AVERAGEIF($A23:$A33,"Hombros",$G23:$G33)</f>
        <v>#DIV/0!</v>
      </c>
      <c r="Q15" s="35" t="str">
        <f>AVERAGEIF($A23:$A33,"Bíceps",$G23:$G33)</f>
        <v>#DIV/0!</v>
      </c>
      <c r="R15" s="35" t="str">
        <f>AVERAGEIF($A23:$A33,"Tríceps",$G23:$G33)</f>
        <v>#DIV/0!</v>
      </c>
      <c r="S15" s="35">
        <f>AVERAGEIF($A23:$A33,"Cuádriceps",$G23:$G33)</f>
        <v>7</v>
      </c>
      <c r="T15" s="35" t="str">
        <f>AVERAGEIF($A23:$A33,"Isquios",$G23:$G33)</f>
        <v>#DIV/0!</v>
      </c>
      <c r="U15" s="35">
        <f>AVERAGEIF($A23:$A33,"Glúteos",$G23:$G33)</f>
        <v>8</v>
      </c>
      <c r="V15" s="35" t="str">
        <f>AVERAGEIF($A23:$A33,"Pantorrillas",$G23:$G33)</f>
        <v>#DIV/0!</v>
      </c>
      <c r="W15" s="35" t="str">
        <f>AVERAGEIF($A23:$A33,"Otros",$G23:$G33)</f>
        <v>#DIV/0!</v>
      </c>
      <c r="Z15" s="28" t="s">
        <v>32</v>
      </c>
      <c r="AA15" s="1">
        <f>SUM(U9,U14,U20,U25,U30)</f>
        <v>13</v>
      </c>
    </row>
    <row r="16" ht="14.25" customHeight="1">
      <c r="A16" s="53" t="s">
        <v>30</v>
      </c>
      <c r="B16" s="54" t="s">
        <v>79</v>
      </c>
      <c r="C16" s="18"/>
      <c r="D16" s="20"/>
      <c r="E16" s="53">
        <v>3.0</v>
      </c>
      <c r="F16" s="53">
        <v>12.0</v>
      </c>
      <c r="G16" s="53">
        <v>7.0</v>
      </c>
      <c r="H16" s="53"/>
      <c r="I16" s="55" t="s">
        <v>81</v>
      </c>
      <c r="J16" s="9"/>
      <c r="M16" s="25"/>
      <c r="N16" s="25"/>
      <c r="O16" s="25"/>
      <c r="P16" s="25"/>
      <c r="Q16" s="25"/>
      <c r="R16" s="25"/>
      <c r="S16" s="25"/>
      <c r="T16" s="25"/>
      <c r="U16" s="25"/>
      <c r="Z16" s="28" t="s">
        <v>33</v>
      </c>
      <c r="AA16" s="1">
        <f>SUM(V9,V14,V20,V25,V30)</f>
        <v>3</v>
      </c>
    </row>
    <row r="17" ht="14.25" customHeight="1">
      <c r="A17" s="53" t="s">
        <v>28</v>
      </c>
      <c r="B17" s="56" t="s">
        <v>83</v>
      </c>
      <c r="C17" s="8"/>
      <c r="D17" s="9"/>
      <c r="E17" s="53">
        <v>3.0</v>
      </c>
      <c r="F17" s="53">
        <v>12.0</v>
      </c>
      <c r="G17" s="53"/>
      <c r="H17" s="53"/>
      <c r="I17" s="57"/>
      <c r="J17" s="59"/>
      <c r="M17" s="25"/>
      <c r="N17" s="25"/>
      <c r="O17" s="25"/>
      <c r="P17" s="25"/>
      <c r="Q17" s="25"/>
      <c r="R17" s="25"/>
      <c r="S17" s="25"/>
      <c r="T17" s="25"/>
      <c r="U17" s="25"/>
      <c r="Z17" s="28"/>
      <c r="AA17" s="1"/>
    </row>
    <row r="18" ht="14.25" customHeight="1">
      <c r="A18" s="53" t="s">
        <v>29</v>
      </c>
      <c r="B18" s="54" t="s">
        <v>85</v>
      </c>
      <c r="C18" s="18"/>
      <c r="D18" s="20"/>
      <c r="E18" s="53">
        <v>4.0</v>
      </c>
      <c r="F18" s="53">
        <v>10.0</v>
      </c>
      <c r="G18" s="53"/>
      <c r="H18" s="53"/>
      <c r="I18" s="55"/>
      <c r="J18" s="9"/>
      <c r="M18" s="11" t="s">
        <v>57</v>
      </c>
      <c r="N18" s="12"/>
      <c r="O18" s="12"/>
      <c r="P18" s="12"/>
      <c r="Q18" s="12"/>
      <c r="R18" s="12"/>
      <c r="S18" s="12"/>
      <c r="T18" s="12"/>
      <c r="U18" s="12"/>
      <c r="V18" s="12"/>
      <c r="W18" s="13"/>
      <c r="Z18" s="28" t="s">
        <v>12</v>
      </c>
      <c r="AA18" s="1">
        <f>SUM(W9,W14,W20,W25,W30)</f>
        <v>40</v>
      </c>
    </row>
    <row r="19" ht="14.25" customHeight="1">
      <c r="B19" s="26"/>
      <c r="C19" s="29"/>
      <c r="D19" s="29"/>
      <c r="M19" s="25"/>
      <c r="N19" s="28" t="s">
        <v>16</v>
      </c>
      <c r="O19" s="28" t="s">
        <v>26</v>
      </c>
      <c r="P19" s="28" t="s">
        <v>27</v>
      </c>
      <c r="Q19" s="28" t="s">
        <v>28</v>
      </c>
      <c r="R19" s="28" t="s">
        <v>29</v>
      </c>
      <c r="S19" s="28" t="s">
        <v>30</v>
      </c>
      <c r="T19" s="28" t="s">
        <v>31</v>
      </c>
      <c r="U19" s="28" t="s">
        <v>32</v>
      </c>
      <c r="V19" s="28" t="s">
        <v>33</v>
      </c>
      <c r="W19" s="28" t="s">
        <v>12</v>
      </c>
    </row>
    <row r="20" ht="14.25" customHeight="1">
      <c r="M20" s="34" t="s">
        <v>36</v>
      </c>
      <c r="N20" s="35">
        <f>SUMIF($A38:$A47,"Pecho",$E38:$E47)</f>
        <v>0</v>
      </c>
      <c r="O20" s="35">
        <f>SUMIF($A38:$A47,"Espalda",$E38:$E47)</f>
        <v>8</v>
      </c>
      <c r="P20" s="35">
        <f>SUMIF($A38:$A47,"Hombros",$E38:$E47)</f>
        <v>0</v>
      </c>
      <c r="Q20" s="35">
        <f>SUMIF($A38:$A47,"Bíceps",$E38:$E47)</f>
        <v>0</v>
      </c>
      <c r="R20" s="35">
        <f>SUMIF($A38:$A47,"Tríceps",$E38:$E47)</f>
        <v>0</v>
      </c>
      <c r="S20" s="35">
        <f>SUMIF($A38:$A47,"Cuádriceps",$E38:$E47)</f>
        <v>0</v>
      </c>
      <c r="T20" s="35">
        <f>SUMIF($A38:$A47,"Isquios",$E38:$E47)</f>
        <v>7</v>
      </c>
      <c r="U20" s="35">
        <f>SUMIF($A38:$A47,"Glúteos",$E38:$E47)</f>
        <v>0</v>
      </c>
      <c r="V20" s="35">
        <f>SUMIF($A38:$A47,"Pantorrillas",$E38:$E47)</f>
        <v>0</v>
      </c>
      <c r="W20" s="35">
        <f>SUMIF($A38:$A47,"Otros",$E38:$E47)</f>
        <v>17</v>
      </c>
    </row>
    <row r="21" ht="14.25" customHeight="1">
      <c r="A21" s="2" t="s">
        <v>97</v>
      </c>
      <c r="B21" s="3"/>
      <c r="C21" s="4"/>
      <c r="J21" s="1"/>
      <c r="M21" s="34" t="s">
        <v>7</v>
      </c>
      <c r="N21" s="35" t="str">
        <f>AVERAGEIF($A38:$A47,"Pecho",$G38:$G47)</f>
        <v>#DIV/0!</v>
      </c>
      <c r="O21" s="35">
        <f>AVERAGEIF($A38:$A47,"Espalda",$G38:$G47)</f>
        <v>8</v>
      </c>
      <c r="P21" s="35" t="str">
        <f>AVERAGEIF($A38:$A47,"Hombros",$G38:$G47)</f>
        <v>#DIV/0!</v>
      </c>
      <c r="Q21" s="35" t="str">
        <f>AVERAGEIF($A38:$A47,"Bíceps",$G38:$G47)</f>
        <v>#DIV/0!</v>
      </c>
      <c r="R21" s="35" t="str">
        <f>AVERAGEIF($A38:$A47,"Tríceps",$G38:$G47)</f>
        <v>#DIV/0!</v>
      </c>
      <c r="S21" s="35" t="str">
        <f>AVERAGEIF($A38:$A47,"Cuádriceps",$G38:$G47)</f>
        <v>#DIV/0!</v>
      </c>
      <c r="T21" s="35">
        <f>AVERAGEIF($A38:$A47,"Isquios",$G38:$G47)</f>
        <v>8</v>
      </c>
      <c r="U21" s="35" t="str">
        <f>AVERAGEIF($A38:$A47,"Glúteos",$G38:$G47)</f>
        <v>#DIV/0!</v>
      </c>
      <c r="V21" s="35" t="str">
        <f>AVERAGEIF($A38:$A47,"Pantorrillas",$G38:$G47)</f>
        <v>#DIV/0!</v>
      </c>
      <c r="W21" s="35" t="str">
        <f>AVERAGEIF($A38:$A47,"Otros",$G38:$G47)</f>
        <v>#DIV/0!</v>
      </c>
    </row>
    <row r="22" ht="14.25" customHeight="1">
      <c r="A22" s="5" t="s">
        <v>2</v>
      </c>
      <c r="B22" s="7" t="s">
        <v>4</v>
      </c>
      <c r="C22" s="8"/>
      <c r="D22" s="9"/>
      <c r="E22" s="5" t="s">
        <v>5</v>
      </c>
      <c r="F22" s="5" t="s">
        <v>6</v>
      </c>
      <c r="G22" s="5" t="s">
        <v>7</v>
      </c>
      <c r="H22" s="5" t="s">
        <v>8</v>
      </c>
      <c r="I22" s="7" t="s">
        <v>9</v>
      </c>
      <c r="J22" s="9"/>
      <c r="M22" s="25"/>
      <c r="N22" s="25"/>
      <c r="O22" s="25"/>
      <c r="P22" s="25"/>
      <c r="Q22" s="25"/>
      <c r="R22" s="25"/>
      <c r="S22" s="25"/>
      <c r="T22" s="25"/>
      <c r="U22" s="25"/>
    </row>
    <row r="23" ht="14.25" customHeight="1">
      <c r="A23" s="15" t="s">
        <v>12</v>
      </c>
      <c r="B23" s="17" t="s">
        <v>99</v>
      </c>
      <c r="C23" s="18"/>
      <c r="D23" s="20"/>
      <c r="E23" s="15">
        <v>2.0</v>
      </c>
      <c r="F23" s="15">
        <v>10.0</v>
      </c>
      <c r="G23" s="15"/>
      <c r="H23" s="15"/>
      <c r="I23" s="23"/>
      <c r="J23" s="9"/>
      <c r="M23" s="11" t="s">
        <v>66</v>
      </c>
      <c r="N23" s="12"/>
      <c r="O23" s="12"/>
      <c r="P23" s="12"/>
      <c r="Q23" s="12"/>
      <c r="R23" s="12"/>
      <c r="S23" s="12"/>
      <c r="T23" s="12"/>
      <c r="U23" s="12"/>
      <c r="V23" s="12"/>
      <c r="W23" s="13"/>
    </row>
    <row r="24" ht="14.25" customHeight="1">
      <c r="A24" s="15" t="s">
        <v>12</v>
      </c>
      <c r="B24" s="17" t="s">
        <v>100</v>
      </c>
      <c r="C24" s="18"/>
      <c r="D24" s="20"/>
      <c r="E24" s="15">
        <v>2.0</v>
      </c>
      <c r="F24" s="15">
        <v>12.0</v>
      </c>
      <c r="G24" s="15"/>
      <c r="H24" s="15"/>
      <c r="I24" s="23"/>
      <c r="J24" s="9"/>
      <c r="M24" s="25"/>
      <c r="N24" s="28" t="s">
        <v>16</v>
      </c>
      <c r="O24" s="28" t="s">
        <v>26</v>
      </c>
      <c r="P24" s="28" t="s">
        <v>27</v>
      </c>
      <c r="Q24" s="28" t="s">
        <v>28</v>
      </c>
      <c r="R24" s="28" t="s">
        <v>29</v>
      </c>
      <c r="S24" s="28" t="s">
        <v>30</v>
      </c>
      <c r="T24" s="28" t="s">
        <v>31</v>
      </c>
      <c r="U24" s="28" t="s">
        <v>32</v>
      </c>
      <c r="V24" s="28" t="s">
        <v>33</v>
      </c>
      <c r="W24" s="28" t="s">
        <v>12</v>
      </c>
    </row>
    <row r="25" ht="14.25" customHeight="1">
      <c r="A25" s="15" t="s">
        <v>12</v>
      </c>
      <c r="B25" s="17" t="s">
        <v>101</v>
      </c>
      <c r="C25" s="18"/>
      <c r="D25" s="20"/>
      <c r="E25" s="15">
        <v>3.0</v>
      </c>
      <c r="F25" s="15">
        <v>10.0</v>
      </c>
      <c r="G25" s="15"/>
      <c r="H25" s="15"/>
      <c r="I25" s="23"/>
      <c r="J25" s="9"/>
      <c r="M25" s="34" t="s">
        <v>36</v>
      </c>
      <c r="N25" s="35">
        <f>SUMIF($A52:$A61,"Pecho",$E52:$E61)</f>
        <v>4</v>
      </c>
      <c r="O25" s="35">
        <f>SUMIF($A52:$A61,"Espalda",$E52:$E61)</f>
        <v>4</v>
      </c>
      <c r="P25" s="35">
        <f>SUMIF($A52:$A61,"Hombros",$E52:$E61)</f>
        <v>0</v>
      </c>
      <c r="Q25" s="35">
        <f>SUMIF($A52:$A61,"Bíceps",$E52:$E61)</f>
        <v>0</v>
      </c>
      <c r="R25" s="35">
        <f>SUMIF($A52:$A61,"Tríceps",$E52:$E61)</f>
        <v>0</v>
      </c>
      <c r="S25" s="35">
        <f>SUMIF($A52:$A61,"Cuádriceps",$E52:$E61)</f>
        <v>6</v>
      </c>
      <c r="T25" s="35">
        <f>SUMIF($A52:$A61,"Isquios",$E52:$E61)</f>
        <v>3</v>
      </c>
      <c r="U25" s="35">
        <f>SUMIF($A52:$A61,"Glúteos",$E52:$E61)</f>
        <v>3</v>
      </c>
      <c r="V25" s="35">
        <f>SUMIF($A52:$A61,"Pantorrillas",$E52:$E61)</f>
        <v>3</v>
      </c>
      <c r="W25" s="35">
        <f>SUMIF($A52:$A61,"Otros",$E52:$E61)</f>
        <v>0</v>
      </c>
    </row>
    <row r="26" ht="14.25" customHeight="1">
      <c r="A26" s="49" t="s">
        <v>30</v>
      </c>
      <c r="B26" s="50" t="s">
        <v>102</v>
      </c>
      <c r="C26" s="18"/>
      <c r="D26" s="20"/>
      <c r="E26" s="49">
        <v>4.0</v>
      </c>
      <c r="F26" s="49">
        <v>8.0</v>
      </c>
      <c r="G26" s="49" t="s">
        <v>103</v>
      </c>
      <c r="H26" s="49" t="s">
        <v>55</v>
      </c>
      <c r="I26" s="51"/>
      <c r="J26" s="9"/>
      <c r="M26" s="34" t="s">
        <v>7</v>
      </c>
      <c r="N26" s="35">
        <f>AVERAGEIF($A52:$A61,"Pecho",$G52:$G61)</f>
        <v>7</v>
      </c>
      <c r="O26" s="35">
        <f>AVERAGEIF($A52:$A61,"Espalda",$G52:$G61)</f>
        <v>8</v>
      </c>
      <c r="P26" s="35" t="str">
        <f>AVERAGEIF($A52:$A61,"Hombros",$G52:$G61)</f>
        <v>#DIV/0!</v>
      </c>
      <c r="Q26" s="35" t="str">
        <f>AVERAGEIF($A52:$A61,"Bíceps",$G52:$G61)</f>
        <v>#DIV/0!</v>
      </c>
      <c r="R26" s="35" t="str">
        <f>AVERAGEIF($A52:$A61,"Tríceps",$G52:$G61)</f>
        <v>#DIV/0!</v>
      </c>
      <c r="S26" s="35">
        <f>AVERAGEIF($A52:$A61,"Cuádriceps",$G52:$G61)</f>
        <v>6</v>
      </c>
      <c r="T26" s="35">
        <f>AVERAGEIF($A52:$A61,"Isquios",$G52:$G61)</f>
        <v>7</v>
      </c>
      <c r="U26" s="35">
        <f>AVERAGEIF($A52:$A61,"Glúteos",$G52:$G61)</f>
        <v>6</v>
      </c>
      <c r="V26" s="35">
        <f>AVERAGEIF($A52:$A61,"Pantorrillas",$G52:$G61)</f>
        <v>7</v>
      </c>
      <c r="W26" s="35" t="str">
        <f>AVERAGEIF($A52:$A61,"Otros",$G52:$G61)</f>
        <v>#DIV/0!</v>
      </c>
    </row>
    <row r="27" ht="14.25" customHeight="1">
      <c r="A27" s="49" t="s">
        <v>30</v>
      </c>
      <c r="B27" s="50" t="s">
        <v>104</v>
      </c>
      <c r="C27" s="18"/>
      <c r="D27" s="20"/>
      <c r="E27" s="49">
        <v>3.0</v>
      </c>
      <c r="F27" s="49" t="s">
        <v>105</v>
      </c>
      <c r="G27" s="49">
        <v>7.0</v>
      </c>
      <c r="H27" s="49"/>
      <c r="I27" s="51" t="s">
        <v>106</v>
      </c>
      <c r="J27" s="9"/>
      <c r="M27" s="25"/>
      <c r="N27" s="25"/>
      <c r="O27" s="25"/>
      <c r="P27" s="25"/>
      <c r="Q27" s="25"/>
      <c r="R27" s="25"/>
      <c r="S27" s="25"/>
      <c r="T27" s="25"/>
      <c r="U27" s="25"/>
    </row>
    <row r="28" ht="14.25" customHeight="1">
      <c r="A28" s="49" t="s">
        <v>32</v>
      </c>
      <c r="B28" s="50" t="s">
        <v>107</v>
      </c>
      <c r="C28" s="18"/>
      <c r="D28" s="20"/>
      <c r="E28" s="49">
        <v>4.0</v>
      </c>
      <c r="F28" s="49" t="s">
        <v>108</v>
      </c>
      <c r="G28" s="49">
        <v>8.0</v>
      </c>
      <c r="H28" s="49"/>
      <c r="I28" s="51"/>
      <c r="J28" s="9"/>
      <c r="M28" s="11" t="s">
        <v>76</v>
      </c>
      <c r="N28" s="12"/>
      <c r="O28" s="12"/>
      <c r="P28" s="12"/>
      <c r="Q28" s="12"/>
      <c r="R28" s="12"/>
      <c r="S28" s="12"/>
      <c r="T28" s="12"/>
      <c r="U28" s="12"/>
      <c r="V28" s="12"/>
      <c r="W28" s="13"/>
    </row>
    <row r="29" ht="14.25" customHeight="1">
      <c r="A29" s="15" t="s">
        <v>30</v>
      </c>
      <c r="B29" s="17" t="s">
        <v>109</v>
      </c>
      <c r="C29" s="18"/>
      <c r="D29" s="20"/>
      <c r="E29" s="15">
        <v>3.0</v>
      </c>
      <c r="F29" s="15">
        <v>8.0</v>
      </c>
      <c r="G29" s="15"/>
      <c r="H29" s="15"/>
      <c r="I29" s="23" t="s">
        <v>110</v>
      </c>
      <c r="J29" s="9"/>
      <c r="M29" s="25"/>
      <c r="N29" s="28" t="s">
        <v>16</v>
      </c>
      <c r="O29" s="28" t="s">
        <v>26</v>
      </c>
      <c r="P29" s="28" t="s">
        <v>27</v>
      </c>
      <c r="Q29" s="28" t="s">
        <v>28</v>
      </c>
      <c r="R29" s="28" t="s">
        <v>29</v>
      </c>
      <c r="S29" s="28" t="s">
        <v>30</v>
      </c>
      <c r="T29" s="28" t="s">
        <v>31</v>
      </c>
      <c r="U29" s="28" t="s">
        <v>32</v>
      </c>
      <c r="V29" s="28" t="s">
        <v>33</v>
      </c>
      <c r="W29" s="28" t="s">
        <v>12</v>
      </c>
    </row>
    <row r="30" ht="14.25" customHeight="1">
      <c r="A30" s="15" t="s">
        <v>32</v>
      </c>
      <c r="B30" s="17" t="s">
        <v>111</v>
      </c>
      <c r="C30" s="18"/>
      <c r="D30" s="20"/>
      <c r="E30" s="15">
        <v>3.0</v>
      </c>
      <c r="F30" s="15">
        <v>6.0</v>
      </c>
      <c r="G30" s="15"/>
      <c r="H30" s="15"/>
      <c r="I30" s="23"/>
      <c r="J30" s="9"/>
      <c r="M30" s="34" t="s">
        <v>36</v>
      </c>
      <c r="N30" s="35">
        <f>SUMIF($A66:$A75,"Pecho",$E66:$E75)</f>
        <v>0</v>
      </c>
      <c r="O30" s="35">
        <f>SUMIF($A66:$A75,"Espalda",$E66:$E75)</f>
        <v>0</v>
      </c>
      <c r="P30" s="35">
        <f>SUMIF($A66:$A75,"Hombros",$E66:$E75)</f>
        <v>0</v>
      </c>
      <c r="Q30" s="35">
        <f>SUMIF($A66:$A75,"Bíceps",$E66:$E75)</f>
        <v>0</v>
      </c>
      <c r="R30" s="35">
        <f>SUMIF($A66:$A75,"Tríceps",$E66:$E75)</f>
        <v>0</v>
      </c>
      <c r="S30" s="35">
        <f>SUMIF($A66:$A75,"Cuádriceps",$E66:$E75)</f>
        <v>0</v>
      </c>
      <c r="T30" s="35">
        <f>SUMIF($A66:$A75,"Isquios",$E66:$E75)</f>
        <v>0</v>
      </c>
      <c r="U30" s="35">
        <f>SUMIF($A66:$A75,"Glúteos",$E66:$E75)</f>
        <v>0</v>
      </c>
      <c r="V30" s="35">
        <f>SUMIF($A66:$A75,"Pantorrillas",$E66:$E75)</f>
        <v>0</v>
      </c>
      <c r="W30" s="35">
        <f>SUMIF($A66:$A75,"Otros",$E66:$E75)</f>
        <v>0</v>
      </c>
    </row>
    <row r="31" ht="14.25" customHeight="1">
      <c r="A31" s="15" t="s">
        <v>32</v>
      </c>
      <c r="B31" s="61" t="s">
        <v>112</v>
      </c>
      <c r="C31" s="8"/>
      <c r="D31" s="9"/>
      <c r="E31" s="15">
        <v>3.0</v>
      </c>
      <c r="F31" s="15" t="s">
        <v>71</v>
      </c>
      <c r="G31" s="15"/>
      <c r="H31" s="15"/>
      <c r="I31" s="23"/>
      <c r="J31" s="9"/>
      <c r="M31" s="34" t="s">
        <v>7</v>
      </c>
      <c r="N31" s="35">
        <f>AVERAGEIF($A66:$A75,"Pecho",$G66:$G75)</f>
        <v>6</v>
      </c>
      <c r="O31" s="35" t="str">
        <f>AVERAGEIF($A66:$A75,"Espalda",$G66:$G75)</f>
        <v>#DIV/0!</v>
      </c>
      <c r="P31" s="35" t="str">
        <f>AVERAGEIF($A66:$A75,"Hombros",$G66:$G75)</f>
        <v>#DIV/0!</v>
      </c>
      <c r="Q31" s="35">
        <f>AVERAGEIF($A66:$A75,"Bíceps",$G66:$G75)</f>
        <v>7</v>
      </c>
      <c r="R31" s="35" t="str">
        <f>AVERAGEIF($A66:$A75,"Tríceps",$G66:$G75)</f>
        <v>#DIV/0!</v>
      </c>
      <c r="S31" s="35" t="str">
        <f>AVERAGEIF($A66:$A75,"Cuádriceps",$G66:$G75)</f>
        <v>#DIV/0!</v>
      </c>
      <c r="T31" s="35">
        <f>AVERAGEIF($A66:$A75,"Isquios",$G66:$G75)</f>
        <v>6</v>
      </c>
      <c r="U31" s="35" t="str">
        <f>AVERAGEIF($A66:$A75,"Glúteos",$G66:$G75)</f>
        <v>#DIV/0!</v>
      </c>
      <c r="V31" s="35">
        <f>AVERAGEIF($A66:$A75,"Pantorrillas",$G66:$G75)</f>
        <v>7</v>
      </c>
      <c r="W31" s="35" t="str">
        <f>AVERAGEIF($A66:$A75,"Otros",$G66:$G75)</f>
        <v>#DIV/0!</v>
      </c>
    </row>
    <row r="32" ht="14.25" customHeight="1">
      <c r="A32" s="49" t="s">
        <v>113</v>
      </c>
      <c r="B32" s="62" t="s">
        <v>114</v>
      </c>
      <c r="C32" s="8"/>
      <c r="D32" s="9"/>
      <c r="E32" s="49">
        <v>3.0</v>
      </c>
      <c r="F32" s="49" t="s">
        <v>65</v>
      </c>
      <c r="G32" s="49"/>
      <c r="H32" s="49"/>
      <c r="I32" s="63"/>
      <c r="J32" s="64"/>
      <c r="M32" s="65"/>
      <c r="N32" s="25"/>
      <c r="O32" s="25"/>
      <c r="P32" s="25"/>
      <c r="Q32" s="25"/>
      <c r="R32" s="25"/>
      <c r="S32" s="25"/>
      <c r="T32" s="25"/>
      <c r="U32" s="25"/>
      <c r="V32" s="25"/>
      <c r="W32" s="25"/>
    </row>
    <row r="33" ht="14.25" customHeight="1">
      <c r="A33" s="49" t="s">
        <v>113</v>
      </c>
      <c r="B33" s="66" t="s">
        <v>115</v>
      </c>
      <c r="C33" s="8"/>
      <c r="D33" s="9"/>
      <c r="E33" s="49">
        <v>5.0</v>
      </c>
      <c r="F33" s="49"/>
      <c r="G33" s="49"/>
      <c r="H33" s="49"/>
      <c r="I33" s="51" t="s">
        <v>116</v>
      </c>
      <c r="J33" s="9"/>
    </row>
    <row r="34" ht="14.25" customHeight="1">
      <c r="B34" s="26"/>
      <c r="C34" s="29"/>
      <c r="D34" s="29"/>
    </row>
    <row r="35" ht="14.25" customHeight="1"/>
    <row r="36" ht="14.25" customHeight="1">
      <c r="A36" s="2" t="s">
        <v>117</v>
      </c>
      <c r="B36" s="3"/>
      <c r="C36" s="4"/>
      <c r="J36" s="1"/>
    </row>
    <row r="37" ht="14.25" customHeight="1">
      <c r="A37" s="5" t="s">
        <v>2</v>
      </c>
      <c r="B37" s="7" t="s">
        <v>4</v>
      </c>
      <c r="C37" s="8"/>
      <c r="D37" s="9"/>
      <c r="E37" s="5" t="s">
        <v>5</v>
      </c>
      <c r="F37" s="5" t="s">
        <v>6</v>
      </c>
      <c r="G37" s="5" t="s">
        <v>7</v>
      </c>
      <c r="H37" s="5" t="s">
        <v>8</v>
      </c>
      <c r="I37" s="7" t="s">
        <v>9</v>
      </c>
      <c r="J37" s="9"/>
    </row>
    <row r="38" ht="14.25" customHeight="1">
      <c r="A38" s="53" t="s">
        <v>12</v>
      </c>
      <c r="B38" s="54" t="s">
        <v>13</v>
      </c>
      <c r="C38" s="18"/>
      <c r="D38" s="20"/>
      <c r="E38" s="53">
        <v>2.0</v>
      </c>
      <c r="F38" s="53">
        <v>10.0</v>
      </c>
      <c r="G38" s="53"/>
      <c r="H38" s="53"/>
      <c r="I38" s="55"/>
      <c r="J38" s="9"/>
    </row>
    <row r="39" ht="14.25" customHeight="1">
      <c r="A39" s="53" t="s">
        <v>12</v>
      </c>
      <c r="B39" s="54" t="s">
        <v>118</v>
      </c>
      <c r="C39" s="18"/>
      <c r="D39" s="20"/>
      <c r="E39" s="53">
        <v>3.0</v>
      </c>
      <c r="F39" s="53" t="s">
        <v>65</v>
      </c>
      <c r="G39" s="53"/>
      <c r="H39" s="53"/>
      <c r="I39" s="55"/>
      <c r="J39" s="9"/>
    </row>
    <row r="40" ht="14.25" customHeight="1">
      <c r="A40" s="53" t="s">
        <v>12</v>
      </c>
      <c r="B40" s="54" t="s">
        <v>119</v>
      </c>
      <c r="C40" s="18"/>
      <c r="D40" s="20"/>
      <c r="E40" s="53">
        <v>3.0</v>
      </c>
      <c r="F40" s="53" t="s">
        <v>71</v>
      </c>
      <c r="G40" s="53"/>
      <c r="H40" s="53"/>
      <c r="I40" s="55"/>
      <c r="J40" s="9"/>
    </row>
    <row r="41" ht="14.25" customHeight="1">
      <c r="A41" s="49" t="s">
        <v>31</v>
      </c>
      <c r="B41" s="50" t="s">
        <v>120</v>
      </c>
      <c r="C41" s="18"/>
      <c r="D41" s="20"/>
      <c r="E41" s="49">
        <v>4.0</v>
      </c>
      <c r="F41" s="49">
        <v>8.0</v>
      </c>
      <c r="G41" s="49">
        <v>8.0</v>
      </c>
      <c r="H41" s="49" t="s">
        <v>55</v>
      </c>
      <c r="I41" s="51"/>
      <c r="J41" s="9"/>
    </row>
    <row r="42" ht="14.25" customHeight="1">
      <c r="A42" s="49" t="s">
        <v>26</v>
      </c>
      <c r="B42" s="50" t="s">
        <v>121</v>
      </c>
      <c r="C42" s="18"/>
      <c r="D42" s="20"/>
      <c r="E42" s="49">
        <v>4.0</v>
      </c>
      <c r="F42" s="49">
        <v>10.0</v>
      </c>
      <c r="G42" s="49">
        <v>8.0</v>
      </c>
      <c r="H42" s="49"/>
      <c r="I42" s="51"/>
      <c r="J42" s="9"/>
    </row>
    <row r="43" ht="14.25" customHeight="1">
      <c r="A43" s="53" t="s">
        <v>31</v>
      </c>
      <c r="B43" s="54" t="s">
        <v>122</v>
      </c>
      <c r="C43" s="18"/>
      <c r="D43" s="20"/>
      <c r="E43" s="53">
        <v>3.0</v>
      </c>
      <c r="F43" s="53">
        <v>8.0</v>
      </c>
      <c r="G43" s="53"/>
      <c r="H43" s="53"/>
      <c r="I43" s="55"/>
      <c r="J43" s="9"/>
    </row>
    <row r="44" ht="14.25" customHeight="1">
      <c r="A44" s="53" t="s">
        <v>26</v>
      </c>
      <c r="B44" s="54" t="s">
        <v>124</v>
      </c>
      <c r="C44" s="18"/>
      <c r="D44" s="20"/>
      <c r="E44" s="53">
        <v>4.0</v>
      </c>
      <c r="F44" s="53">
        <v>10.0</v>
      </c>
      <c r="G44" s="53"/>
      <c r="H44" s="53"/>
      <c r="I44" s="55"/>
      <c r="J44" s="9"/>
    </row>
    <row r="45" ht="14.25" customHeight="1">
      <c r="A45" s="15" t="s">
        <v>113</v>
      </c>
      <c r="B45" s="17" t="s">
        <v>126</v>
      </c>
      <c r="C45" s="18"/>
      <c r="D45" s="20"/>
      <c r="E45" s="15">
        <v>3.0</v>
      </c>
      <c r="F45" s="15">
        <v>15.0</v>
      </c>
      <c r="G45" s="15"/>
      <c r="H45" s="15"/>
      <c r="I45" s="23"/>
      <c r="J45" s="9"/>
    </row>
    <row r="46" ht="14.25" customHeight="1">
      <c r="A46" s="15" t="s">
        <v>113</v>
      </c>
      <c r="B46" s="17" t="s">
        <v>127</v>
      </c>
      <c r="C46" s="18"/>
      <c r="D46" s="20"/>
      <c r="E46" s="15">
        <v>3.0</v>
      </c>
      <c r="F46" s="15" t="s">
        <v>128</v>
      </c>
      <c r="G46" s="15"/>
      <c r="H46" s="15"/>
      <c r="I46" s="23"/>
      <c r="J46" s="9"/>
    </row>
    <row r="47" ht="14.25" customHeight="1">
      <c r="A47" s="15" t="s">
        <v>113</v>
      </c>
      <c r="B47" s="61" t="s">
        <v>129</v>
      </c>
      <c r="C47" s="8"/>
      <c r="D47" s="9"/>
      <c r="E47" s="15">
        <v>3.0</v>
      </c>
      <c r="F47" s="15">
        <v>12.0</v>
      </c>
      <c r="G47" s="15"/>
      <c r="H47" s="15"/>
      <c r="I47" s="23"/>
      <c r="J47" s="9"/>
    </row>
    <row r="48" ht="14.25" customHeight="1">
      <c r="B48" s="26"/>
      <c r="C48" s="29"/>
      <c r="D48" s="29"/>
    </row>
    <row r="49" ht="14.25" customHeight="1"/>
    <row r="50" ht="14.25" customHeight="1">
      <c r="A50" s="2" t="s">
        <v>132</v>
      </c>
      <c r="B50" s="3"/>
      <c r="C50" s="4"/>
      <c r="J50" s="1"/>
    </row>
    <row r="51" ht="14.25" customHeight="1">
      <c r="A51" s="5" t="s">
        <v>2</v>
      </c>
      <c r="B51" s="7" t="s">
        <v>4</v>
      </c>
      <c r="C51" s="8"/>
      <c r="D51" s="9"/>
      <c r="E51" s="5" t="s">
        <v>5</v>
      </c>
      <c r="F51" s="5" t="s">
        <v>6</v>
      </c>
      <c r="G51" s="5" t="s">
        <v>7</v>
      </c>
      <c r="H51" s="5" t="s">
        <v>8</v>
      </c>
      <c r="I51" s="7" t="s">
        <v>9</v>
      </c>
      <c r="J51" s="9"/>
    </row>
    <row r="52" ht="14.25" customHeight="1">
      <c r="A52" s="15" t="s">
        <v>113</v>
      </c>
      <c r="B52" s="17" t="s">
        <v>134</v>
      </c>
      <c r="C52" s="18"/>
      <c r="D52" s="20"/>
      <c r="E52" s="15"/>
      <c r="F52" s="15"/>
      <c r="G52" s="15"/>
      <c r="H52" s="15"/>
      <c r="I52" s="23"/>
      <c r="J52" s="9"/>
    </row>
    <row r="53" ht="14.25" customHeight="1">
      <c r="A53" s="15" t="s">
        <v>113</v>
      </c>
      <c r="B53" s="17" t="s">
        <v>136</v>
      </c>
      <c r="C53" s="18"/>
      <c r="D53" s="20"/>
      <c r="E53" s="15"/>
      <c r="F53" s="15"/>
      <c r="G53" s="15"/>
      <c r="H53" s="15"/>
      <c r="I53" s="23"/>
      <c r="J53" s="9"/>
    </row>
    <row r="54" ht="14.25" customHeight="1">
      <c r="A54" s="15" t="s">
        <v>12</v>
      </c>
      <c r="B54" s="17" t="s">
        <v>137</v>
      </c>
      <c r="C54" s="18"/>
      <c r="D54" s="20"/>
      <c r="E54" s="15"/>
      <c r="F54" s="15">
        <v>10.0</v>
      </c>
      <c r="G54" s="15"/>
      <c r="H54" s="15"/>
      <c r="I54" s="23"/>
      <c r="J54" s="9"/>
    </row>
    <row r="55" ht="14.25" customHeight="1">
      <c r="A55" s="49" t="s">
        <v>16</v>
      </c>
      <c r="B55" s="50" t="s">
        <v>139</v>
      </c>
      <c r="C55" s="18"/>
      <c r="D55" s="20"/>
      <c r="E55" s="49">
        <v>4.0</v>
      </c>
      <c r="F55" s="49">
        <v>10.0</v>
      </c>
      <c r="G55" s="49">
        <v>7.0</v>
      </c>
      <c r="H55" s="49"/>
      <c r="I55" s="51"/>
      <c r="J55" s="9"/>
    </row>
    <row r="56" ht="14.25" customHeight="1">
      <c r="A56" s="49" t="s">
        <v>26</v>
      </c>
      <c r="B56" s="50" t="s">
        <v>142</v>
      </c>
      <c r="C56" s="18"/>
      <c r="D56" s="20"/>
      <c r="E56" s="49">
        <v>4.0</v>
      </c>
      <c r="F56" s="49" t="s">
        <v>143</v>
      </c>
      <c r="G56" s="49">
        <v>8.0</v>
      </c>
      <c r="H56" s="49"/>
      <c r="I56" s="51"/>
      <c r="J56" s="9"/>
    </row>
    <row r="57" ht="14.25" customHeight="1">
      <c r="A57" s="68" t="s">
        <v>30</v>
      </c>
      <c r="B57" s="69" t="s">
        <v>145</v>
      </c>
      <c r="C57" s="18"/>
      <c r="D57" s="20"/>
      <c r="E57" s="68">
        <v>3.0</v>
      </c>
      <c r="F57" s="68">
        <v>10.0</v>
      </c>
      <c r="G57" s="68">
        <v>6.0</v>
      </c>
      <c r="H57" s="68"/>
      <c r="I57" s="71"/>
      <c r="J57" s="9"/>
    </row>
    <row r="58" ht="14.25" customHeight="1">
      <c r="A58" s="68" t="s">
        <v>32</v>
      </c>
      <c r="B58" s="69" t="s">
        <v>148</v>
      </c>
      <c r="C58" s="18"/>
      <c r="D58" s="20"/>
      <c r="E58" s="68">
        <v>3.0</v>
      </c>
      <c r="F58" s="68">
        <v>10.0</v>
      </c>
      <c r="G58" s="68">
        <v>6.0</v>
      </c>
      <c r="H58" s="68"/>
      <c r="I58" s="71" t="s">
        <v>149</v>
      </c>
      <c r="J58" s="9"/>
    </row>
    <row r="59" ht="14.25" customHeight="1">
      <c r="A59" s="15" t="s">
        <v>30</v>
      </c>
      <c r="B59" s="17" t="s">
        <v>151</v>
      </c>
      <c r="C59" s="18"/>
      <c r="D59" s="20"/>
      <c r="E59" s="15">
        <v>3.0</v>
      </c>
      <c r="F59" s="15">
        <v>8.0</v>
      </c>
      <c r="G59" s="15">
        <v>6.0</v>
      </c>
      <c r="H59" s="15" t="s">
        <v>154</v>
      </c>
      <c r="I59" s="23" t="s">
        <v>155</v>
      </c>
      <c r="J59" s="9"/>
    </row>
    <row r="60" ht="14.25" customHeight="1">
      <c r="A60" s="15" t="s">
        <v>31</v>
      </c>
      <c r="B60" s="17" t="s">
        <v>156</v>
      </c>
      <c r="C60" s="18"/>
      <c r="D60" s="20"/>
      <c r="E60" s="15">
        <v>3.0</v>
      </c>
      <c r="F60" s="15">
        <v>2.0</v>
      </c>
      <c r="G60" s="15">
        <v>7.0</v>
      </c>
      <c r="H60" s="15"/>
      <c r="I60" s="23"/>
      <c r="J60" s="9"/>
    </row>
    <row r="61" ht="14.25" customHeight="1">
      <c r="A61" s="15" t="s">
        <v>33</v>
      </c>
      <c r="B61" s="61" t="s">
        <v>158</v>
      </c>
      <c r="C61" s="8"/>
      <c r="D61" s="9"/>
      <c r="E61" s="15">
        <v>3.0</v>
      </c>
      <c r="F61" s="15">
        <v>6.0</v>
      </c>
      <c r="G61" s="15">
        <v>7.0</v>
      </c>
      <c r="H61" s="15"/>
      <c r="I61" s="23"/>
      <c r="J61" s="9"/>
    </row>
    <row r="62" ht="14.25" customHeight="1">
      <c r="B62" s="26"/>
      <c r="C62" s="29"/>
      <c r="D62" s="29"/>
    </row>
    <row r="63" ht="14.25" customHeight="1"/>
    <row r="64" ht="14.25" customHeight="1">
      <c r="A64" s="2" t="s">
        <v>160</v>
      </c>
      <c r="B64" s="3"/>
      <c r="C64" s="4"/>
      <c r="D64" s="82" t="s">
        <v>161</v>
      </c>
      <c r="J64" s="1"/>
    </row>
    <row r="65" ht="14.25" customHeight="1">
      <c r="A65" s="5" t="s">
        <v>2</v>
      </c>
      <c r="B65" s="7" t="s">
        <v>4</v>
      </c>
      <c r="C65" s="8"/>
      <c r="D65" s="9"/>
      <c r="E65" s="5" t="s">
        <v>5</v>
      </c>
      <c r="F65" s="5" t="s">
        <v>6</v>
      </c>
      <c r="G65" s="5" t="s">
        <v>7</v>
      </c>
      <c r="H65" s="5" t="s">
        <v>8</v>
      </c>
      <c r="I65" s="7" t="s">
        <v>9</v>
      </c>
      <c r="J65" s="9"/>
    </row>
    <row r="66" ht="14.25" customHeight="1">
      <c r="A66" s="83" t="s">
        <v>113</v>
      </c>
      <c r="B66" s="85" t="s">
        <v>163</v>
      </c>
      <c r="C66" s="18"/>
      <c r="D66" s="20"/>
      <c r="E66" s="83"/>
      <c r="F66" s="83">
        <v>10.0</v>
      </c>
      <c r="G66" s="83"/>
      <c r="H66" s="83"/>
      <c r="I66" s="86"/>
      <c r="J66" s="9"/>
    </row>
    <row r="67" ht="14.25" customHeight="1">
      <c r="A67" s="83" t="s">
        <v>113</v>
      </c>
      <c r="B67" s="85" t="s">
        <v>166</v>
      </c>
      <c r="C67" s="18"/>
      <c r="D67" s="20"/>
      <c r="E67" s="83"/>
      <c r="F67" s="83"/>
      <c r="G67" s="83"/>
      <c r="H67" s="83"/>
      <c r="I67" s="86"/>
      <c r="J67" s="9"/>
    </row>
    <row r="68" ht="14.25" customHeight="1">
      <c r="A68" s="83" t="s">
        <v>113</v>
      </c>
      <c r="B68" s="85" t="s">
        <v>169</v>
      </c>
      <c r="C68" s="18"/>
      <c r="D68" s="20"/>
      <c r="E68" s="83"/>
      <c r="F68" s="83"/>
      <c r="G68" s="83"/>
      <c r="H68" s="83"/>
      <c r="I68" s="86"/>
      <c r="J68" s="9"/>
    </row>
    <row r="69" ht="14.25" customHeight="1">
      <c r="A69" s="49" t="s">
        <v>31</v>
      </c>
      <c r="B69" s="50" t="s">
        <v>173</v>
      </c>
      <c r="C69" s="18"/>
      <c r="D69" s="20"/>
      <c r="E69" s="49"/>
      <c r="F69" s="49">
        <v>8.0</v>
      </c>
      <c r="G69" s="49">
        <v>6.0</v>
      </c>
      <c r="H69" s="49"/>
      <c r="I69" s="51"/>
      <c r="J69" s="9"/>
    </row>
    <row r="70" ht="14.25" customHeight="1">
      <c r="A70" s="49" t="s">
        <v>31</v>
      </c>
      <c r="B70" s="50" t="s">
        <v>176</v>
      </c>
      <c r="C70" s="18"/>
      <c r="D70" s="20"/>
      <c r="E70" s="49"/>
      <c r="F70" s="49">
        <v>6.0</v>
      </c>
      <c r="G70" s="49">
        <v>6.0</v>
      </c>
      <c r="H70" s="49"/>
      <c r="I70" s="51"/>
      <c r="J70" s="9"/>
    </row>
    <row r="71" ht="14.25" customHeight="1">
      <c r="A71" s="68" t="s">
        <v>16</v>
      </c>
      <c r="B71" s="69" t="s">
        <v>179</v>
      </c>
      <c r="C71" s="18"/>
      <c r="D71" s="20"/>
      <c r="E71" s="68"/>
      <c r="F71" s="68">
        <v>10.0</v>
      </c>
      <c r="G71" s="68">
        <v>6.0</v>
      </c>
      <c r="H71" s="68"/>
      <c r="I71" s="71"/>
      <c r="J71" s="9"/>
    </row>
    <row r="72" ht="14.25" customHeight="1">
      <c r="A72" s="68" t="s">
        <v>16</v>
      </c>
      <c r="B72" s="69" t="s">
        <v>181</v>
      </c>
      <c r="C72" s="18"/>
      <c r="D72" s="20"/>
      <c r="E72" s="68"/>
      <c r="F72" s="68">
        <v>10.0</v>
      </c>
      <c r="G72" s="68">
        <v>6.0</v>
      </c>
      <c r="H72" s="68"/>
      <c r="I72" s="71"/>
      <c r="J72" s="9"/>
    </row>
    <row r="73" ht="14.25" customHeight="1">
      <c r="A73" s="15" t="s">
        <v>28</v>
      </c>
      <c r="B73" s="17" t="s">
        <v>182</v>
      </c>
      <c r="C73" s="18"/>
      <c r="D73" s="20"/>
      <c r="E73" s="15"/>
      <c r="F73" s="15">
        <v>10.0</v>
      </c>
      <c r="G73" s="15">
        <v>7.0</v>
      </c>
      <c r="H73" s="15"/>
      <c r="I73" s="23"/>
      <c r="J73" s="9"/>
    </row>
    <row r="74" ht="14.25" customHeight="1">
      <c r="A74" s="15" t="s">
        <v>33</v>
      </c>
      <c r="B74" s="17" t="s">
        <v>183</v>
      </c>
      <c r="C74" s="18"/>
      <c r="D74" s="20"/>
      <c r="E74" s="15"/>
      <c r="F74" s="15">
        <v>12.0</v>
      </c>
      <c r="G74" s="15">
        <v>7.0</v>
      </c>
      <c r="H74" s="15"/>
      <c r="I74" s="23"/>
      <c r="J74" s="9"/>
    </row>
    <row r="75" ht="14.25" customHeight="1">
      <c r="A75" s="15" t="s">
        <v>32</v>
      </c>
      <c r="B75" s="61" t="s">
        <v>185</v>
      </c>
      <c r="C75" s="8"/>
      <c r="D75" s="9"/>
      <c r="E75" s="15"/>
      <c r="F75" s="15" t="s">
        <v>178</v>
      </c>
      <c r="G75" s="15"/>
      <c r="H75" s="15"/>
      <c r="I75" s="23"/>
      <c r="J75" s="9"/>
    </row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7">
    <mergeCell ref="I27:J27"/>
    <mergeCell ref="I28:J28"/>
    <mergeCell ref="I11:J11"/>
    <mergeCell ref="I13:J13"/>
    <mergeCell ref="I22:J22"/>
    <mergeCell ref="I23:J23"/>
    <mergeCell ref="I24:J24"/>
    <mergeCell ref="I25:J25"/>
    <mergeCell ref="I26:J26"/>
    <mergeCell ref="A6:C6"/>
    <mergeCell ref="B7:D7"/>
    <mergeCell ref="I7:J7"/>
    <mergeCell ref="M7:W7"/>
    <mergeCell ref="Z7:AB7"/>
    <mergeCell ref="B8:D8"/>
    <mergeCell ref="B9:D9"/>
    <mergeCell ref="I12:J12"/>
    <mergeCell ref="M12:W12"/>
    <mergeCell ref="I8:J8"/>
    <mergeCell ref="I9:J9"/>
    <mergeCell ref="B10:D10"/>
    <mergeCell ref="I10:J10"/>
    <mergeCell ref="B11:D11"/>
    <mergeCell ref="B12:D12"/>
    <mergeCell ref="B13:D13"/>
    <mergeCell ref="I16:J16"/>
    <mergeCell ref="I18:J18"/>
    <mergeCell ref="M18:W18"/>
    <mergeCell ref="M23:W23"/>
    <mergeCell ref="B14:D14"/>
    <mergeCell ref="I14:J14"/>
    <mergeCell ref="B15:D15"/>
    <mergeCell ref="I15:J15"/>
    <mergeCell ref="B16:D16"/>
    <mergeCell ref="B17:D17"/>
    <mergeCell ref="B18:D18"/>
    <mergeCell ref="B27:D27"/>
    <mergeCell ref="B28:D28"/>
    <mergeCell ref="M28:W28"/>
    <mergeCell ref="I29:J29"/>
    <mergeCell ref="B19:D19"/>
    <mergeCell ref="A21:C21"/>
    <mergeCell ref="B22:D22"/>
    <mergeCell ref="B23:D23"/>
    <mergeCell ref="B24:D24"/>
    <mergeCell ref="B25:D25"/>
    <mergeCell ref="B26:D26"/>
    <mergeCell ref="B51:D51"/>
    <mergeCell ref="B52:D52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62:D62"/>
    <mergeCell ref="A64:C64"/>
    <mergeCell ref="B65:D65"/>
    <mergeCell ref="B73:D73"/>
    <mergeCell ref="B74:D74"/>
    <mergeCell ref="B75:D75"/>
    <mergeCell ref="B66:D66"/>
    <mergeCell ref="B67:D67"/>
    <mergeCell ref="B68:D68"/>
    <mergeCell ref="B69:D69"/>
    <mergeCell ref="B70:D70"/>
    <mergeCell ref="B71:D71"/>
    <mergeCell ref="B72:D72"/>
    <mergeCell ref="I71:J71"/>
    <mergeCell ref="I72:J72"/>
    <mergeCell ref="I73:J73"/>
    <mergeCell ref="I74:J74"/>
    <mergeCell ref="I75:J75"/>
    <mergeCell ref="I61:J61"/>
    <mergeCell ref="I65:J65"/>
    <mergeCell ref="I66:J66"/>
    <mergeCell ref="I67:J67"/>
    <mergeCell ref="I68:J68"/>
    <mergeCell ref="I69:J69"/>
    <mergeCell ref="I70:J70"/>
    <mergeCell ref="B29:D29"/>
    <mergeCell ref="B30:D30"/>
    <mergeCell ref="I30:J30"/>
    <mergeCell ref="B31:D31"/>
    <mergeCell ref="I31:J31"/>
    <mergeCell ref="B32:D32"/>
    <mergeCell ref="I33:J33"/>
    <mergeCell ref="I38:J38"/>
    <mergeCell ref="I39:J39"/>
    <mergeCell ref="B33:D33"/>
    <mergeCell ref="B34:D34"/>
    <mergeCell ref="A36:C36"/>
    <mergeCell ref="B37:D37"/>
    <mergeCell ref="I37:J37"/>
    <mergeCell ref="B38:D38"/>
    <mergeCell ref="B39:D39"/>
    <mergeCell ref="B40:D40"/>
    <mergeCell ref="I40:J40"/>
    <mergeCell ref="B41:D41"/>
    <mergeCell ref="I41:J41"/>
    <mergeCell ref="B42:D42"/>
    <mergeCell ref="I42:J42"/>
    <mergeCell ref="I43:J43"/>
    <mergeCell ref="B43:D43"/>
    <mergeCell ref="B44:D44"/>
    <mergeCell ref="B45:D45"/>
    <mergeCell ref="B46:D46"/>
    <mergeCell ref="B47:D47"/>
    <mergeCell ref="B48:D48"/>
    <mergeCell ref="A50:C50"/>
    <mergeCell ref="I44:J44"/>
    <mergeCell ref="I45:J45"/>
    <mergeCell ref="I46:J46"/>
    <mergeCell ref="I47:J47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60:J60"/>
  </mergeCells>
  <dataValidations>
    <dataValidation type="list" allowBlank="1" showErrorMessage="1" sqref="A8:A18 A23:A33 A38:A47 A52:A61 A66:A75">
      <formula1>Datos!$D$2:$D$11</formula1>
    </dataValidation>
    <dataValidation type="list" allowBlank="1" showErrorMessage="1" sqref="J5">
      <formula1>Datos!$B$2:$B$12</formula1>
    </dataValidation>
    <dataValidation type="list" allowBlank="1" showErrorMessage="1" sqref="J6 J21 J36 J50 J64">
      <formula1>Datos!$D$2:$D$14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7" width="10.71"/>
  </cols>
  <sheetData>
    <row r="1" ht="14.25" customHeight="1"/>
    <row r="2" ht="14.25" customHeight="1"/>
    <row r="3" ht="14.25" customHeight="1">
      <c r="J3" s="1"/>
    </row>
    <row r="4" ht="14.25" customHeight="1">
      <c r="A4" s="2" t="s">
        <v>0</v>
      </c>
      <c r="B4" s="3"/>
      <c r="C4" s="4"/>
      <c r="J4" s="1"/>
      <c r="X4" s="1"/>
      <c r="Y4" s="1"/>
      <c r="Z4" s="1"/>
      <c r="AA4" s="1"/>
    </row>
    <row r="5" ht="14.25" customHeight="1">
      <c r="A5" s="6" t="s">
        <v>3</v>
      </c>
      <c r="B5" s="10" t="s">
        <v>4</v>
      </c>
      <c r="C5" s="8"/>
      <c r="D5" s="9"/>
      <c r="E5" s="6" t="s">
        <v>5</v>
      </c>
      <c r="F5" s="6" t="s">
        <v>6</v>
      </c>
      <c r="G5" s="6" t="s">
        <v>7</v>
      </c>
      <c r="H5" s="6" t="s">
        <v>8</v>
      </c>
      <c r="I5" s="10" t="s">
        <v>9</v>
      </c>
      <c r="J5" s="9"/>
      <c r="M5" s="11" t="s">
        <v>0</v>
      </c>
      <c r="N5" s="12"/>
      <c r="O5" s="12"/>
      <c r="P5" s="12"/>
      <c r="Q5" s="12"/>
      <c r="R5" s="12"/>
      <c r="S5" s="12"/>
      <c r="T5" s="12"/>
      <c r="U5" s="13"/>
      <c r="W5" s="14" t="s">
        <v>11</v>
      </c>
      <c r="X5" s="12"/>
      <c r="Y5" s="13"/>
      <c r="AA5" s="1"/>
    </row>
    <row r="6" ht="14.25" customHeight="1">
      <c r="A6" s="16"/>
      <c r="B6" s="19" t="s">
        <v>14</v>
      </c>
      <c r="C6" s="18"/>
      <c r="D6" s="20"/>
      <c r="E6" s="21">
        <v>2.0</v>
      </c>
      <c r="F6" s="21">
        <v>10.0</v>
      </c>
      <c r="G6" s="21"/>
      <c r="H6" s="22"/>
      <c r="I6" s="24" t="s">
        <v>14</v>
      </c>
      <c r="J6" s="9"/>
      <c r="M6" s="25"/>
      <c r="N6" s="28" t="s">
        <v>17</v>
      </c>
      <c r="O6" s="28" t="s">
        <v>19</v>
      </c>
      <c r="P6" s="28" t="s">
        <v>20</v>
      </c>
      <c r="Q6" s="28" t="s">
        <v>21</v>
      </c>
      <c r="R6" s="28" t="s">
        <v>22</v>
      </c>
      <c r="S6" s="28" t="s">
        <v>23</v>
      </c>
      <c r="T6" s="28" t="s">
        <v>24</v>
      </c>
      <c r="U6" s="28" t="s">
        <v>25</v>
      </c>
      <c r="W6" s="28" t="s">
        <v>17</v>
      </c>
      <c r="X6" s="1">
        <f>SUM(N7,N12,N17,N22,N27)</f>
        <v>12</v>
      </c>
      <c r="AA6" s="1"/>
    </row>
    <row r="7" ht="14.25" customHeight="1">
      <c r="A7" s="16"/>
      <c r="B7" s="19" t="s">
        <v>34</v>
      </c>
      <c r="C7" s="18"/>
      <c r="D7" s="20"/>
      <c r="E7" s="21">
        <v>3.0</v>
      </c>
      <c r="F7" s="21">
        <v>15.0</v>
      </c>
      <c r="G7" s="21"/>
      <c r="H7" s="22"/>
      <c r="I7" s="24"/>
      <c r="J7" s="9"/>
      <c r="M7" s="34" t="s">
        <v>36</v>
      </c>
      <c r="N7" s="35">
        <f>SUMIF(A6:A15,"Empuje",E6:E15)</f>
        <v>8</v>
      </c>
      <c r="O7" s="35">
        <f>SUMIF(A6:A15,"Tracción",E6:E15)</f>
        <v>0</v>
      </c>
      <c r="P7" s="35">
        <f>SUMIF($A6:$A15,"Dom. Rodillas",$E6:$E15)</f>
        <v>6</v>
      </c>
      <c r="Q7" s="35">
        <f>SUMIF($A6:$A15,"Dom. Caderas",$E6:$E15)</f>
        <v>0</v>
      </c>
      <c r="R7" s="35">
        <f>SUMIF($A6:$A15,"A. Empuje",$E6:$E15)</f>
        <v>6</v>
      </c>
      <c r="S7" s="36">
        <f>SUMIF(A6:A15,"A. Tracción",E6:E15)</f>
        <v>3</v>
      </c>
      <c r="T7" s="35">
        <f>SUMIF($A6:$A15,"A. Rodillas",$E6:$E15)</f>
        <v>0</v>
      </c>
      <c r="U7" s="35">
        <f>SUMIF($A6:$A15,"A. Cadera",$E6:$E15)</f>
        <v>0</v>
      </c>
      <c r="W7" s="28" t="s">
        <v>19</v>
      </c>
      <c r="X7" s="1">
        <f>SUM(O7,O12,O17,O22,O27)</f>
        <v>14</v>
      </c>
      <c r="AA7" s="1"/>
    </row>
    <row r="8" ht="14.25" customHeight="1">
      <c r="A8" s="16"/>
      <c r="B8" s="19" t="s">
        <v>38</v>
      </c>
      <c r="C8" s="18"/>
      <c r="D8" s="20"/>
      <c r="E8" s="21">
        <v>3.0</v>
      </c>
      <c r="F8" s="21">
        <v>10.0</v>
      </c>
      <c r="G8" s="21"/>
      <c r="H8" s="22"/>
      <c r="I8" s="24"/>
      <c r="J8" s="9"/>
      <c r="M8" s="34" t="s">
        <v>7</v>
      </c>
      <c r="N8" s="35" t="str">
        <f>AVERAGEIF($A6:$A15,"Empuje",$G6:$G15)</f>
        <v>#DIV/0!</v>
      </c>
      <c r="O8" s="35" t="str">
        <f>AVERAGEIF($A6:$A15,"Traccion",$G6:$G15)</f>
        <v>#DIV/0!</v>
      </c>
      <c r="P8" s="35">
        <f>AVERAGEIF($A6:$A15,"Dom. Rodillas",$G6:$G15)</f>
        <v>8</v>
      </c>
      <c r="Q8" s="35" t="str">
        <f>AVERAGEIF($A6:$A15,"Dom. Cadera",$G6:$G15)</f>
        <v>#DIV/0!</v>
      </c>
      <c r="R8" s="35">
        <f>AVERAGEIF($A6:$A15,"A. Empuje",$G6:$G15)</f>
        <v>8</v>
      </c>
      <c r="S8" s="35">
        <f>AVERAGEIF($A6:$A15,"A. Tracción",$G6:$G15)</f>
        <v>8</v>
      </c>
      <c r="T8" s="35" t="str">
        <f>AVERAGEIF($A6:$A15,"A. Rodillas",$G6:$G15)</f>
        <v>#DIV/0!</v>
      </c>
      <c r="U8" s="35" t="str">
        <f>AVERAGEIF($A6:$A15,"A. Cadera",$G6:$G15)</f>
        <v>#DIV/0!</v>
      </c>
      <c r="W8" s="28" t="s">
        <v>20</v>
      </c>
      <c r="X8" s="1">
        <f>SUM(P7,P12,P17,P22,P27)</f>
        <v>10</v>
      </c>
      <c r="AA8" s="1"/>
    </row>
    <row r="9" ht="14.25" customHeight="1">
      <c r="A9" s="16" t="s">
        <v>17</v>
      </c>
      <c r="B9" s="30" t="s">
        <v>40</v>
      </c>
      <c r="C9" s="18"/>
      <c r="D9" s="20"/>
      <c r="E9" s="27">
        <v>4.0</v>
      </c>
      <c r="F9" s="27">
        <v>10.0</v>
      </c>
      <c r="G9" s="27" t="s">
        <v>41</v>
      </c>
      <c r="H9" s="32" t="s">
        <v>42</v>
      </c>
      <c r="I9" s="24"/>
      <c r="J9" s="9"/>
      <c r="M9" s="25"/>
      <c r="N9" s="25"/>
      <c r="O9" s="25"/>
      <c r="P9" s="25"/>
      <c r="Q9" s="25"/>
      <c r="R9" s="25"/>
      <c r="S9" s="25"/>
      <c r="T9" s="25"/>
      <c r="U9" s="25"/>
      <c r="W9" s="28" t="s">
        <v>21</v>
      </c>
      <c r="X9" s="1">
        <f>SUM(Q7,Q12,Q17,Q22,Q27)</f>
        <v>8</v>
      </c>
      <c r="AA9" s="1"/>
    </row>
    <row r="10" ht="14.25" customHeight="1">
      <c r="A10" s="16" t="s">
        <v>17</v>
      </c>
      <c r="B10" s="30" t="s">
        <v>43</v>
      </c>
      <c r="C10" s="18"/>
      <c r="D10" s="20"/>
      <c r="E10" s="27">
        <v>4.0</v>
      </c>
      <c r="F10" s="27">
        <v>12.0</v>
      </c>
      <c r="G10" s="27" t="s">
        <v>41</v>
      </c>
      <c r="H10" s="32"/>
      <c r="I10" s="24"/>
      <c r="J10" s="9"/>
      <c r="M10" s="11" t="s">
        <v>45</v>
      </c>
      <c r="N10" s="12"/>
      <c r="O10" s="12"/>
      <c r="P10" s="12"/>
      <c r="Q10" s="12"/>
      <c r="R10" s="12"/>
      <c r="S10" s="12"/>
      <c r="T10" s="12"/>
      <c r="U10" s="13"/>
      <c r="W10" s="28" t="s">
        <v>22</v>
      </c>
      <c r="X10" s="1">
        <f>SUM(R7,R12,R17,R22,R27)</f>
        <v>10</v>
      </c>
      <c r="AA10" s="1"/>
    </row>
    <row r="11" ht="14.25" customHeight="1">
      <c r="A11" s="16" t="s">
        <v>47</v>
      </c>
      <c r="B11" s="30" t="s">
        <v>48</v>
      </c>
      <c r="C11" s="18"/>
      <c r="D11" s="20"/>
      <c r="E11" s="27">
        <v>3.0</v>
      </c>
      <c r="F11" s="27" t="s">
        <v>49</v>
      </c>
      <c r="G11" s="27">
        <v>8.0</v>
      </c>
      <c r="H11" s="44"/>
      <c r="I11" s="24"/>
      <c r="J11" s="9"/>
      <c r="M11" s="25"/>
      <c r="N11" s="28" t="s">
        <v>17</v>
      </c>
      <c r="O11" s="28" t="s">
        <v>19</v>
      </c>
      <c r="P11" s="28" t="s">
        <v>20</v>
      </c>
      <c r="Q11" s="28" t="s">
        <v>21</v>
      </c>
      <c r="R11" s="28" t="s">
        <v>22</v>
      </c>
      <c r="S11" s="28" t="s">
        <v>23</v>
      </c>
      <c r="T11" s="28" t="s">
        <v>24</v>
      </c>
      <c r="U11" s="28" t="s">
        <v>25</v>
      </c>
      <c r="W11" s="28" t="s">
        <v>23</v>
      </c>
      <c r="X11" s="1">
        <f>SUM(S7,S12,S17,S22,S27)</f>
        <v>12</v>
      </c>
      <c r="AA11" s="1"/>
    </row>
    <row r="12" ht="14.25" customHeight="1">
      <c r="A12" s="16" t="s">
        <v>23</v>
      </c>
      <c r="B12" s="30" t="s">
        <v>50</v>
      </c>
      <c r="C12" s="18"/>
      <c r="D12" s="20"/>
      <c r="E12" s="27">
        <v>3.0</v>
      </c>
      <c r="F12" s="27">
        <v>10.0</v>
      </c>
      <c r="G12" s="27">
        <v>8.0</v>
      </c>
      <c r="H12" s="44"/>
      <c r="I12" s="24"/>
      <c r="J12" s="9"/>
      <c r="M12" s="34" t="s">
        <v>36</v>
      </c>
      <c r="N12" s="35">
        <f>SUMIF($A20:$A29,"Empuje",$E20:$E29)</f>
        <v>0</v>
      </c>
      <c r="O12" s="35">
        <f>SUMIF($A20:$A29,"Tracción",$E20:$E29)</f>
        <v>11</v>
      </c>
      <c r="P12" s="35">
        <f>SUMIF($A20:$A29,"Dom. Rodillas",$E20:$E29)</f>
        <v>0</v>
      </c>
      <c r="Q12" s="35">
        <f>SUMIF($A20:$A29,"Dom. Caderas",$E20:$E29)</f>
        <v>8</v>
      </c>
      <c r="R12" s="35">
        <f>SUMIF($A20:$A29,"A. Empuje",$E20:$E29)</f>
        <v>0</v>
      </c>
      <c r="S12" s="35">
        <f>SUMIF($A20:$A29,"A. Tracción",$E20:$E29)</f>
        <v>3</v>
      </c>
      <c r="T12" s="35">
        <f>SUMIF($A20:$A29,"A. Rodillas",$E20:$E29)</f>
        <v>0</v>
      </c>
      <c r="U12" s="35">
        <f>SUMIF($A20:$A29,"A. Cadera",$E20:$E29)</f>
        <v>4</v>
      </c>
      <c r="W12" s="28" t="s">
        <v>24</v>
      </c>
      <c r="X12" s="1">
        <f>SUM(T7,T12,T17,T22,T27)</f>
        <v>0</v>
      </c>
      <c r="AA12" s="1"/>
    </row>
    <row r="13" ht="14.25" customHeight="1">
      <c r="A13" s="16" t="s">
        <v>47</v>
      </c>
      <c r="B13" s="30" t="s">
        <v>54</v>
      </c>
      <c r="C13" s="18"/>
      <c r="D13" s="20"/>
      <c r="E13" s="27">
        <v>3.0</v>
      </c>
      <c r="F13" s="27">
        <v>12.0</v>
      </c>
      <c r="G13" s="27">
        <v>8.0</v>
      </c>
      <c r="H13" s="44"/>
      <c r="I13" s="24"/>
      <c r="J13" s="9"/>
      <c r="M13" s="34" t="s">
        <v>7</v>
      </c>
      <c r="N13" s="35" t="str">
        <f>AVERAGEIF($A20:$A29,"Empuje",$G20:$G29)</f>
        <v>#DIV/0!</v>
      </c>
      <c r="O13" s="35">
        <f>AVERAGEIF($A20:$A29,"Tracción",$G20:$G29)</f>
        <v>8</v>
      </c>
      <c r="P13" s="35" t="str">
        <f>AVERAGEIF($A20:$A29,"Dom. Rodillas",$G20:$G29)</f>
        <v>#DIV/0!</v>
      </c>
      <c r="Q13" s="35" t="str">
        <f>AVERAGEIF($A20:$A29,"Dom.Cadera",$G20:$G29)</f>
        <v>#DIV/0!</v>
      </c>
      <c r="R13" s="35" t="str">
        <f>AVERAGEIF($A20:$A29,"A. Empuje",$G20:$G29)</f>
        <v>#DIV/0!</v>
      </c>
      <c r="S13" s="35">
        <f>AVERAGEIF($A20:$A29,"A. Tracción",$G20:$G29)</f>
        <v>8</v>
      </c>
      <c r="T13" s="35" t="str">
        <f>AVERAGEIF($A20:$A29,"A. Rodillas",$G20:$G29)</f>
        <v>#DIV/0!</v>
      </c>
      <c r="U13" s="35">
        <f>AVERAGEIF($A20:$A29,"A. Cadera",$G20:$G29)</f>
        <v>8</v>
      </c>
      <c r="W13" s="28" t="s">
        <v>25</v>
      </c>
      <c r="X13" s="1">
        <f>SUM(U7,U12,U17,U22,U27)</f>
        <v>7</v>
      </c>
      <c r="AA13" s="1"/>
    </row>
    <row r="14" ht="14.25" customHeight="1">
      <c r="A14" s="16" t="s">
        <v>22</v>
      </c>
      <c r="B14" s="30" t="s">
        <v>59</v>
      </c>
      <c r="C14" s="18"/>
      <c r="D14" s="20"/>
      <c r="E14" s="27">
        <v>3.0</v>
      </c>
      <c r="F14" s="27" t="s">
        <v>49</v>
      </c>
      <c r="G14" s="27">
        <v>8.0</v>
      </c>
      <c r="H14" s="44"/>
      <c r="I14" s="24"/>
      <c r="J14" s="9"/>
      <c r="M14" s="25"/>
      <c r="N14" s="25"/>
      <c r="O14" s="25"/>
      <c r="P14" s="25"/>
      <c r="Q14" s="25"/>
      <c r="R14" s="25"/>
      <c r="S14" s="25"/>
      <c r="T14" s="25"/>
      <c r="U14" s="25"/>
      <c r="W14" s="1"/>
      <c r="X14" s="1"/>
      <c r="AA14" s="1"/>
    </row>
    <row r="15" ht="14.25" customHeight="1">
      <c r="A15" s="16" t="s">
        <v>22</v>
      </c>
      <c r="B15" s="30" t="s">
        <v>60</v>
      </c>
      <c r="C15" s="18"/>
      <c r="D15" s="20"/>
      <c r="E15" s="27">
        <v>3.0</v>
      </c>
      <c r="F15" s="27">
        <v>12.0</v>
      </c>
      <c r="G15" s="27">
        <v>8.0</v>
      </c>
      <c r="H15" s="27"/>
      <c r="I15" s="24"/>
      <c r="J15" s="9"/>
      <c r="M15" s="11" t="s">
        <v>57</v>
      </c>
      <c r="N15" s="12"/>
      <c r="O15" s="12"/>
      <c r="P15" s="12"/>
      <c r="Q15" s="12"/>
      <c r="R15" s="12"/>
      <c r="S15" s="12"/>
      <c r="T15" s="12"/>
      <c r="U15" s="13"/>
      <c r="W15" s="1"/>
      <c r="X15" s="1"/>
      <c r="AA15" s="1"/>
    </row>
    <row r="16" ht="14.25" customHeight="1">
      <c r="B16" s="26"/>
      <c r="C16" s="29"/>
      <c r="D16" s="29"/>
      <c r="M16" s="25"/>
      <c r="N16" s="28" t="s">
        <v>17</v>
      </c>
      <c r="O16" s="28" t="s">
        <v>19</v>
      </c>
      <c r="P16" s="28" t="s">
        <v>20</v>
      </c>
      <c r="Q16" s="28" t="s">
        <v>21</v>
      </c>
      <c r="R16" s="28" t="s">
        <v>22</v>
      </c>
      <c r="S16" s="28" t="s">
        <v>23</v>
      </c>
      <c r="T16" s="28" t="s">
        <v>24</v>
      </c>
      <c r="U16" s="28" t="s">
        <v>25</v>
      </c>
      <c r="W16" s="1"/>
      <c r="X16" s="1"/>
      <c r="Y16" s="1"/>
      <c r="Z16" s="1"/>
      <c r="AA16" s="1"/>
    </row>
    <row r="17" ht="14.25" customHeight="1">
      <c r="M17" s="34" t="s">
        <v>36</v>
      </c>
      <c r="N17" s="35">
        <f>SUMIF($A34:$A43,"Empuje",$E34:$E43)</f>
        <v>4</v>
      </c>
      <c r="O17" s="35">
        <f>SUMIF($A34:$A43,"Tracción",$E34:$E43)</f>
        <v>3</v>
      </c>
      <c r="P17" s="35">
        <f>SUMIF($A34:$A43,"Dom. Rodillas",$E34:$E43)</f>
        <v>4</v>
      </c>
      <c r="Q17" s="35">
        <f>SUMIF($A34:$A43,"Dom. Caderas",$E34:$E43)</f>
        <v>0</v>
      </c>
      <c r="R17" s="35">
        <f>SUMIF($A34:$A43,"A. Empuje",$E34:$E43)</f>
        <v>4</v>
      </c>
      <c r="S17" s="35">
        <f>SUMIF($A34:$A43,"A. Tracción",$E34:$E43)</f>
        <v>6</v>
      </c>
      <c r="T17" s="35">
        <f>SUMIF($A34:$A43,"A. Rodillas",$E34:$E43)</f>
        <v>0</v>
      </c>
      <c r="U17" s="35">
        <f>SUMIF($A34:$A43,"A. Cadera",$E34:$E43)</f>
        <v>3</v>
      </c>
      <c r="X17" s="1"/>
      <c r="Y17" s="1"/>
      <c r="Z17" s="1"/>
      <c r="AA17" s="1"/>
    </row>
    <row r="18" ht="14.25" customHeight="1">
      <c r="A18" s="2" t="s">
        <v>45</v>
      </c>
      <c r="B18" s="3"/>
      <c r="C18" s="4"/>
      <c r="J18" s="1"/>
      <c r="M18" s="34" t="s">
        <v>7</v>
      </c>
      <c r="N18" s="35">
        <f>AVERAGEIF($A34:$A43,"Empuje",$G34:$G43)</f>
        <v>8</v>
      </c>
      <c r="O18" s="35">
        <f>AVERAGEIF($A34:$A43,"Tracción",$G34:$G43)</f>
        <v>8</v>
      </c>
      <c r="P18" s="35">
        <f>AVERAGEIF($A34:$A43,"Dom. Rodillas",$G34:$G43)</f>
        <v>8</v>
      </c>
      <c r="Q18" s="35" t="str">
        <f>AVERAGEIF($A34:$A43,"Dom. Caderas",$G34:$G43)</f>
        <v>#DIV/0!</v>
      </c>
      <c r="R18" s="35" t="str">
        <f>AVERAGEIF($A34:$A43,"A. Empuje",$G34:$G43)</f>
        <v>#DIV/0!</v>
      </c>
      <c r="S18" s="35">
        <f>AVERAGEIF($A34:$A43,"A. Tracción",$G34:$G43)</f>
        <v>8</v>
      </c>
      <c r="T18" s="35" t="str">
        <f>AVERAGEIF($A34:$A43,"A. Rodillas",$G34:$G43)</f>
        <v>#DIV/0!</v>
      </c>
      <c r="U18" s="35">
        <f>AVERAGEIF($A34:$A43,"A. Cadera",$G34:$G43)</f>
        <v>8</v>
      </c>
      <c r="X18" s="1"/>
      <c r="Y18" s="1"/>
      <c r="Z18" s="1"/>
      <c r="AA18" s="1"/>
    </row>
    <row r="19" ht="14.25" customHeight="1">
      <c r="A19" s="6" t="s">
        <v>3</v>
      </c>
      <c r="B19" s="10" t="s">
        <v>4</v>
      </c>
      <c r="C19" s="8"/>
      <c r="D19" s="9"/>
      <c r="E19" s="6" t="s">
        <v>5</v>
      </c>
      <c r="F19" s="6" t="s">
        <v>6</v>
      </c>
      <c r="G19" s="6" t="s">
        <v>7</v>
      </c>
      <c r="H19" s="6" t="s">
        <v>8</v>
      </c>
      <c r="I19" s="10" t="s">
        <v>9</v>
      </c>
      <c r="J19" s="9"/>
      <c r="M19" s="25"/>
      <c r="N19" s="25"/>
      <c r="O19" s="25"/>
      <c r="P19" s="25"/>
      <c r="Q19" s="25"/>
      <c r="R19" s="25"/>
      <c r="S19" s="25"/>
      <c r="T19" s="25"/>
      <c r="U19" s="25"/>
      <c r="X19" s="1"/>
      <c r="Y19" s="1"/>
      <c r="Z19" s="1"/>
      <c r="AA19" s="1"/>
    </row>
    <row r="20" ht="14.25" customHeight="1">
      <c r="A20" s="16"/>
      <c r="B20" s="19" t="s">
        <v>67</v>
      </c>
      <c r="C20" s="18"/>
      <c r="D20" s="20"/>
      <c r="E20" s="21">
        <v>3.0</v>
      </c>
      <c r="F20" s="21">
        <v>10.0</v>
      </c>
      <c r="G20" s="21"/>
      <c r="H20" s="16"/>
      <c r="I20" s="24"/>
      <c r="J20" s="9"/>
      <c r="M20" s="11" t="s">
        <v>66</v>
      </c>
      <c r="N20" s="12"/>
      <c r="O20" s="12"/>
      <c r="P20" s="12"/>
      <c r="Q20" s="12"/>
      <c r="R20" s="12"/>
      <c r="S20" s="12"/>
      <c r="T20" s="12"/>
      <c r="U20" s="13"/>
      <c r="X20" s="1"/>
      <c r="Y20" s="1"/>
      <c r="Z20" s="1"/>
      <c r="AA20" s="1"/>
    </row>
    <row r="21" ht="14.25" customHeight="1">
      <c r="A21" s="16"/>
      <c r="B21" s="19" t="s">
        <v>68</v>
      </c>
      <c r="C21" s="18"/>
      <c r="D21" s="20"/>
      <c r="E21" s="21">
        <v>3.0</v>
      </c>
      <c r="F21" s="21">
        <v>10.0</v>
      </c>
      <c r="G21" s="21"/>
      <c r="H21" s="16"/>
      <c r="I21" s="24"/>
      <c r="J21" s="9"/>
      <c r="M21" s="25"/>
      <c r="N21" s="28" t="s">
        <v>17</v>
      </c>
      <c r="O21" s="28" t="s">
        <v>19</v>
      </c>
      <c r="P21" s="28" t="s">
        <v>20</v>
      </c>
      <c r="Q21" s="28" t="s">
        <v>21</v>
      </c>
      <c r="R21" s="28" t="s">
        <v>22</v>
      </c>
      <c r="S21" s="28" t="s">
        <v>23</v>
      </c>
      <c r="T21" s="28" t="s">
        <v>24</v>
      </c>
      <c r="U21" s="28" t="s">
        <v>25</v>
      </c>
      <c r="X21" s="1"/>
      <c r="Y21" s="1"/>
      <c r="Z21" s="1"/>
      <c r="AA21" s="1"/>
    </row>
    <row r="22" ht="14.25" customHeight="1">
      <c r="A22" s="16"/>
      <c r="B22" s="19" t="s">
        <v>70</v>
      </c>
      <c r="C22" s="18"/>
      <c r="D22" s="20"/>
      <c r="E22" s="21">
        <v>3.0</v>
      </c>
      <c r="F22" s="21">
        <v>10.0</v>
      </c>
      <c r="G22" s="21"/>
      <c r="H22" s="16"/>
      <c r="I22" s="24"/>
      <c r="J22" s="9"/>
      <c r="M22" s="34" t="s">
        <v>36</v>
      </c>
      <c r="N22" s="35">
        <f>SUMIF($A48:$A57,"Empuje",$E48:$E57)</f>
        <v>0</v>
      </c>
      <c r="O22" s="35">
        <f>SUMIF($A48:$A57,"Tracción",$E48:$E57)</f>
        <v>0</v>
      </c>
      <c r="P22" s="35">
        <f>SUMIF($A48:$A57,"Dom. Rodillas",$E48:$E57)</f>
        <v>0</v>
      </c>
      <c r="Q22" s="35">
        <f>SUMIF($A48:$A57,"Dom. Caderas",$E48:$E57)</f>
        <v>0</v>
      </c>
      <c r="R22" s="35">
        <f>SUMIF($A48:$A57,"A. Empuje",$E48:$E57)</f>
        <v>0</v>
      </c>
      <c r="S22" s="35">
        <f>SUMIF($A48:$A57,"A. Tracción",$E48:$E57)</f>
        <v>0</v>
      </c>
      <c r="T22" s="35">
        <f>SUMIF($A48:$A57,"A. Rodillas",$E48:$E57)</f>
        <v>0</v>
      </c>
      <c r="U22" s="35">
        <f>SUMIF($A48:$A57,"A. Cadera",$E48:$E57)</f>
        <v>0</v>
      </c>
    </row>
    <row r="23" ht="14.25" customHeight="1">
      <c r="A23" s="16" t="s">
        <v>73</v>
      </c>
      <c r="B23" s="30" t="s">
        <v>74</v>
      </c>
      <c r="C23" s="18"/>
      <c r="D23" s="20"/>
      <c r="E23" s="27">
        <v>4.0</v>
      </c>
      <c r="F23" s="27" t="s">
        <v>75</v>
      </c>
      <c r="G23" s="27" t="s">
        <v>41</v>
      </c>
      <c r="H23" s="16" t="s">
        <v>42</v>
      </c>
      <c r="I23" s="24"/>
      <c r="J23" s="9"/>
      <c r="M23" s="34" t="s">
        <v>7</v>
      </c>
      <c r="N23" s="35" t="str">
        <f>AVERAGEIF($A48:$A57,"Empuje",$G48:$G57)</f>
        <v>#DIV/0!</v>
      </c>
      <c r="O23" s="35" t="str">
        <f>AVERAGEIF($A48:$A57,"Tracción",$G48:$G57)</f>
        <v>#DIV/0!</v>
      </c>
      <c r="P23" s="35" t="str">
        <f>AVERAGEIF($A48:$A57,"Dom. Rodillas",$G48:$G57)</f>
        <v>#DIV/0!</v>
      </c>
      <c r="Q23" s="35" t="str">
        <f>AVERAGEIF($A48:$A57,"Dom. Caderas",$G48:$G57)</f>
        <v>#DIV/0!</v>
      </c>
      <c r="R23" s="35" t="str">
        <f>AVERAGEIF($A48:$A57,"A. Empuje",$G48:$G57)</f>
        <v>#DIV/0!</v>
      </c>
      <c r="S23" s="35" t="str">
        <f>AVERAGEIF($A48:$A57,"A. Tracción",$G48:$G57)</f>
        <v>#DIV/0!</v>
      </c>
      <c r="T23" s="35" t="str">
        <f>AVERAGEIF($A48:$A57,"A. Rodillas",$G48:$G57)</f>
        <v>#DIV/0!</v>
      </c>
      <c r="U23" s="35" t="str">
        <f>AVERAGEIF($A48:$A57,"A. Cadera",$G48:$G57)</f>
        <v>#DIV/0!</v>
      </c>
    </row>
    <row r="24" ht="14.25" customHeight="1">
      <c r="A24" s="16" t="s">
        <v>73</v>
      </c>
      <c r="B24" s="30" t="s">
        <v>77</v>
      </c>
      <c r="C24" s="18"/>
      <c r="D24" s="20"/>
      <c r="E24" s="27">
        <v>4.0</v>
      </c>
      <c r="F24" s="27">
        <v>10.0</v>
      </c>
      <c r="G24" s="27" t="s">
        <v>41</v>
      </c>
      <c r="H24" s="16"/>
      <c r="I24" s="24"/>
      <c r="J24" s="9"/>
      <c r="M24" s="25"/>
      <c r="N24" s="25"/>
      <c r="O24" s="25"/>
      <c r="P24" s="25"/>
      <c r="Q24" s="25"/>
      <c r="R24" s="25"/>
      <c r="S24" s="25"/>
      <c r="T24" s="25"/>
      <c r="U24" s="25"/>
    </row>
    <row r="25" ht="14.25" customHeight="1">
      <c r="A25" s="16" t="s">
        <v>19</v>
      </c>
      <c r="B25" s="30" t="s">
        <v>78</v>
      </c>
      <c r="C25" s="18"/>
      <c r="D25" s="20"/>
      <c r="E25" s="27">
        <v>4.0</v>
      </c>
      <c r="F25" s="27">
        <v>10.0</v>
      </c>
      <c r="G25" s="27">
        <v>8.0</v>
      </c>
      <c r="H25" s="16"/>
      <c r="I25" s="24"/>
      <c r="J25" s="9"/>
      <c r="M25" s="11" t="s">
        <v>76</v>
      </c>
      <c r="N25" s="12"/>
      <c r="O25" s="12"/>
      <c r="P25" s="12"/>
      <c r="Q25" s="12"/>
      <c r="R25" s="12"/>
      <c r="S25" s="12"/>
      <c r="T25" s="12"/>
      <c r="U25" s="13"/>
    </row>
    <row r="26" ht="14.25" customHeight="1">
      <c r="A26" s="16" t="s">
        <v>19</v>
      </c>
      <c r="B26" s="30" t="s">
        <v>80</v>
      </c>
      <c r="C26" s="18"/>
      <c r="D26" s="20"/>
      <c r="E26" s="27">
        <v>3.0</v>
      </c>
      <c r="F26" s="27">
        <v>10.0</v>
      </c>
      <c r="G26" s="27">
        <v>8.0</v>
      </c>
      <c r="H26" s="16"/>
      <c r="I26" s="24"/>
      <c r="J26" s="9"/>
      <c r="M26" s="25"/>
      <c r="N26" s="28" t="s">
        <v>17</v>
      </c>
      <c r="O26" s="28" t="s">
        <v>19</v>
      </c>
      <c r="P26" s="28" t="s">
        <v>20</v>
      </c>
      <c r="Q26" s="28" t="s">
        <v>21</v>
      </c>
      <c r="R26" s="28" t="s">
        <v>22</v>
      </c>
      <c r="S26" s="28" t="s">
        <v>23</v>
      </c>
      <c r="T26" s="28" t="s">
        <v>24</v>
      </c>
      <c r="U26" s="28" t="s">
        <v>25</v>
      </c>
    </row>
    <row r="27" ht="14.25" customHeight="1">
      <c r="A27" s="16" t="s">
        <v>19</v>
      </c>
      <c r="B27" s="30" t="s">
        <v>82</v>
      </c>
      <c r="C27" s="18"/>
      <c r="D27" s="20"/>
      <c r="E27" s="27">
        <v>4.0</v>
      </c>
      <c r="F27" s="27">
        <v>10.0</v>
      </c>
      <c r="G27" s="27">
        <v>8.0</v>
      </c>
      <c r="H27" s="16"/>
      <c r="I27" s="24"/>
      <c r="J27" s="9"/>
      <c r="M27" s="34" t="s">
        <v>36</v>
      </c>
      <c r="N27" s="35">
        <f>SUMIF($A62:$A71,"Empuje",$E62:$E71)</f>
        <v>0</v>
      </c>
      <c r="O27" s="35">
        <f>SUMIF($A62:$A71,"Tracción",$E62:$E71)</f>
        <v>0</v>
      </c>
      <c r="P27" s="35">
        <f>SUMIF($A62:$A71,"Dom. Rodillas",$E62:$E71)</f>
        <v>0</v>
      </c>
      <c r="Q27" s="35">
        <f>SUMIF($A62:$A71,"Dom. Caderas",$E62:$E71)</f>
        <v>0</v>
      </c>
      <c r="R27" s="35">
        <f>SUMIF($A62:$A71,"A. Empuje",$E62:$E71)</f>
        <v>0</v>
      </c>
      <c r="S27" s="35">
        <f>SUMIF($A62:$A71,"A. Tracción",$E62:$E71)</f>
        <v>0</v>
      </c>
      <c r="T27" s="35">
        <f>SUMIF($A62:$A71,"A. Rodillas",$E62:$E71)</f>
        <v>0</v>
      </c>
      <c r="U27" s="35">
        <f>SUMIF($A62:$A71,"A. Cadera",$E62:$E71)</f>
        <v>0</v>
      </c>
    </row>
    <row r="28" ht="14.25" customHeight="1">
      <c r="A28" s="16" t="s">
        <v>25</v>
      </c>
      <c r="B28" s="30" t="s">
        <v>84</v>
      </c>
      <c r="C28" s="18"/>
      <c r="D28" s="20"/>
      <c r="E28" s="27">
        <v>4.0</v>
      </c>
      <c r="F28" s="27">
        <v>8.0</v>
      </c>
      <c r="G28" s="27">
        <v>8.0</v>
      </c>
      <c r="H28" s="16"/>
      <c r="I28" s="24"/>
      <c r="J28" s="9"/>
      <c r="M28" s="34" t="s">
        <v>7</v>
      </c>
      <c r="N28" s="35" t="str">
        <f>AVERAGEIF($A62:$A71,"Empuje",$G62:$G71)</f>
        <v>#DIV/0!</v>
      </c>
      <c r="O28" s="35" t="str">
        <f>AVERAGEIF($A62:$A71,"Tracción",$G62:$G71)</f>
        <v>#DIV/0!</v>
      </c>
      <c r="P28" s="35" t="str">
        <f>AVERAGEIF($A62:$A71,"Dom. Rodillas",$G62:$G71)</f>
        <v>#DIV/0!</v>
      </c>
      <c r="Q28" s="35" t="str">
        <f>AVERAGEIF($A62:$A71,"Dom. Caderas",$G62:$G71)</f>
        <v>#DIV/0!</v>
      </c>
      <c r="R28" s="35" t="str">
        <f>AVERAGEIF($A62:$A71,"A. Empuje",$G62:$G71)</f>
        <v>#DIV/0!</v>
      </c>
      <c r="S28" s="35" t="str">
        <f>AVERAGEIF($A62:$A71,"A. Tracción",$G62:$G71)</f>
        <v>#DIV/0!</v>
      </c>
      <c r="T28" s="35" t="str">
        <f>AVERAGEIF($A62:$A71,"A. Rodillas",$G62:$G71)</f>
        <v>#DIV/0!</v>
      </c>
      <c r="U28" s="35" t="str">
        <f>AVERAGEIF($A62:$A71,"A. Cadera",$G62:$G71)</f>
        <v>#DIV/0!</v>
      </c>
    </row>
    <row r="29" ht="14.25" customHeight="1">
      <c r="A29" s="16" t="s">
        <v>23</v>
      </c>
      <c r="B29" s="60" t="s">
        <v>86</v>
      </c>
      <c r="C29" s="8"/>
      <c r="D29" s="9"/>
      <c r="E29" s="27">
        <v>3.0</v>
      </c>
      <c r="F29" s="27">
        <v>10.0</v>
      </c>
      <c r="G29" s="27">
        <v>8.0</v>
      </c>
      <c r="H29" s="16"/>
      <c r="I29" s="24"/>
      <c r="J29" s="9"/>
    </row>
    <row r="30" ht="14.25" customHeight="1">
      <c r="B30" s="26"/>
      <c r="C30" s="29"/>
      <c r="D30" s="29"/>
    </row>
    <row r="31" ht="14.25" customHeight="1"/>
    <row r="32" ht="14.25" customHeight="1">
      <c r="A32" s="2" t="s">
        <v>57</v>
      </c>
      <c r="B32" s="3"/>
      <c r="C32" s="4"/>
      <c r="J32" s="1"/>
    </row>
    <row r="33" ht="14.25" customHeight="1">
      <c r="A33" s="6" t="s">
        <v>3</v>
      </c>
      <c r="B33" s="10" t="s">
        <v>4</v>
      </c>
      <c r="C33" s="8"/>
      <c r="D33" s="9"/>
      <c r="E33" s="6" t="s">
        <v>5</v>
      </c>
      <c r="F33" s="6" t="s">
        <v>6</v>
      </c>
      <c r="G33" s="6" t="s">
        <v>7</v>
      </c>
      <c r="H33" s="6" t="s">
        <v>8</v>
      </c>
      <c r="I33" s="10" t="s">
        <v>9</v>
      </c>
      <c r="J33" s="9"/>
    </row>
    <row r="34" ht="14.25" customHeight="1">
      <c r="A34" s="16"/>
      <c r="B34" s="19" t="s">
        <v>87</v>
      </c>
      <c r="C34" s="18"/>
      <c r="D34" s="20"/>
      <c r="E34" s="21">
        <v>2.0</v>
      </c>
      <c r="F34" s="21">
        <v>10.0</v>
      </c>
      <c r="G34" s="21"/>
      <c r="H34" s="31"/>
      <c r="I34" s="24"/>
      <c r="J34" s="9"/>
    </row>
    <row r="35" ht="14.25" customHeight="1">
      <c r="A35" s="16"/>
      <c r="B35" s="19" t="s">
        <v>88</v>
      </c>
      <c r="C35" s="18"/>
      <c r="D35" s="20"/>
      <c r="E35" s="21">
        <v>3.0</v>
      </c>
      <c r="F35" s="21">
        <v>12.0</v>
      </c>
      <c r="G35" s="21"/>
      <c r="H35" s="31"/>
      <c r="I35" s="24"/>
      <c r="J35" s="9"/>
    </row>
    <row r="36" ht="14.25" customHeight="1">
      <c r="A36" s="16"/>
      <c r="B36" s="19" t="s">
        <v>89</v>
      </c>
      <c r="C36" s="18"/>
      <c r="D36" s="20"/>
      <c r="E36" s="21">
        <v>3.0</v>
      </c>
      <c r="F36" s="21">
        <v>10.0</v>
      </c>
      <c r="G36" s="21"/>
      <c r="H36" s="31"/>
      <c r="I36" s="24"/>
      <c r="J36" s="9"/>
    </row>
    <row r="37" ht="14.25" customHeight="1">
      <c r="A37" s="16" t="s">
        <v>22</v>
      </c>
      <c r="B37" s="30" t="s">
        <v>90</v>
      </c>
      <c r="C37" s="18"/>
      <c r="D37" s="20"/>
      <c r="E37" s="27">
        <v>4.0</v>
      </c>
      <c r="F37" s="27">
        <v>10.0</v>
      </c>
      <c r="G37" s="27" t="s">
        <v>41</v>
      </c>
      <c r="H37" s="31" t="s">
        <v>91</v>
      </c>
      <c r="I37" s="24"/>
      <c r="J37" s="9"/>
    </row>
    <row r="38" ht="14.25" customHeight="1">
      <c r="A38" s="16" t="s">
        <v>17</v>
      </c>
      <c r="B38" s="30" t="s">
        <v>92</v>
      </c>
      <c r="C38" s="18"/>
      <c r="D38" s="20"/>
      <c r="E38" s="27">
        <v>4.0</v>
      </c>
      <c r="F38" s="27">
        <v>10.0</v>
      </c>
      <c r="G38" s="27">
        <v>8.0</v>
      </c>
      <c r="H38" s="16"/>
      <c r="I38" s="24"/>
      <c r="J38" s="9"/>
    </row>
    <row r="39" ht="14.25" customHeight="1">
      <c r="A39" s="16" t="s">
        <v>19</v>
      </c>
      <c r="B39" s="30" t="s">
        <v>93</v>
      </c>
      <c r="C39" s="18"/>
      <c r="D39" s="20"/>
      <c r="E39" s="27">
        <v>3.0</v>
      </c>
      <c r="F39" s="27">
        <v>12.0</v>
      </c>
      <c r="G39" s="27">
        <v>8.0</v>
      </c>
      <c r="H39" s="16"/>
      <c r="I39" s="24"/>
      <c r="J39" s="9"/>
    </row>
    <row r="40" ht="14.25" customHeight="1">
      <c r="A40" s="16" t="s">
        <v>23</v>
      </c>
      <c r="B40" s="30" t="s">
        <v>94</v>
      </c>
      <c r="C40" s="18"/>
      <c r="D40" s="20"/>
      <c r="E40" s="27">
        <v>3.0</v>
      </c>
      <c r="F40" s="27">
        <v>10.0</v>
      </c>
      <c r="G40" s="27">
        <v>8.0</v>
      </c>
      <c r="H40" s="16"/>
      <c r="I40" s="24"/>
      <c r="J40" s="9"/>
    </row>
    <row r="41" ht="14.25" customHeight="1">
      <c r="A41" s="16" t="s">
        <v>47</v>
      </c>
      <c r="B41" s="30" t="s">
        <v>95</v>
      </c>
      <c r="C41" s="18"/>
      <c r="D41" s="20"/>
      <c r="E41" s="27">
        <v>4.0</v>
      </c>
      <c r="F41" s="27">
        <v>10.0</v>
      </c>
      <c r="G41" s="27">
        <v>8.0</v>
      </c>
      <c r="H41" s="16"/>
      <c r="I41" s="24"/>
      <c r="J41" s="9"/>
    </row>
    <row r="42" ht="14.25" customHeight="1">
      <c r="A42" s="16" t="s">
        <v>25</v>
      </c>
      <c r="B42" s="30" t="s">
        <v>96</v>
      </c>
      <c r="C42" s="18"/>
      <c r="D42" s="20"/>
      <c r="E42" s="27">
        <v>3.0</v>
      </c>
      <c r="F42" s="27">
        <v>12.0</v>
      </c>
      <c r="G42" s="27">
        <v>8.0</v>
      </c>
      <c r="H42" s="16"/>
      <c r="I42" s="24"/>
      <c r="J42" s="9"/>
    </row>
    <row r="43" ht="14.25" customHeight="1">
      <c r="A43" s="16" t="s">
        <v>23</v>
      </c>
      <c r="B43" s="60" t="s">
        <v>98</v>
      </c>
      <c r="C43" s="8"/>
      <c r="D43" s="9"/>
      <c r="E43" s="27">
        <v>3.0</v>
      </c>
      <c r="F43" s="27">
        <v>12.0</v>
      </c>
      <c r="G43" s="27">
        <v>8.0</v>
      </c>
      <c r="H43" s="16"/>
      <c r="I43" s="24"/>
      <c r="J43" s="9"/>
    </row>
    <row r="44" ht="14.25" customHeight="1">
      <c r="B44" s="26"/>
      <c r="C44" s="29"/>
      <c r="D44" s="29"/>
    </row>
    <row r="45" ht="14.25" customHeight="1"/>
    <row r="46" ht="14.25" customHeight="1">
      <c r="A46" s="2" t="s">
        <v>66</v>
      </c>
      <c r="B46" s="3"/>
      <c r="C46" s="4"/>
      <c r="J46" s="1"/>
    </row>
    <row r="47" ht="14.25" customHeight="1">
      <c r="A47" s="6" t="s">
        <v>3</v>
      </c>
      <c r="B47" s="10" t="s">
        <v>4</v>
      </c>
      <c r="C47" s="8"/>
      <c r="D47" s="9"/>
      <c r="E47" s="6" t="s">
        <v>5</v>
      </c>
      <c r="F47" s="6" t="s">
        <v>6</v>
      </c>
      <c r="G47" s="6" t="s">
        <v>7</v>
      </c>
      <c r="H47" s="6" t="s">
        <v>8</v>
      </c>
      <c r="I47" s="10" t="s">
        <v>9</v>
      </c>
      <c r="J47" s="9"/>
    </row>
    <row r="48" ht="14.25" customHeight="1">
      <c r="A48" s="16"/>
      <c r="B48" s="26"/>
      <c r="C48" s="29"/>
      <c r="D48" s="29"/>
      <c r="E48" s="16"/>
      <c r="F48" s="16"/>
      <c r="G48" s="16"/>
      <c r="H48" s="16"/>
      <c r="I48" s="24"/>
      <c r="J48" s="9"/>
    </row>
    <row r="49" ht="14.25" customHeight="1">
      <c r="A49" s="16"/>
      <c r="B49" s="26"/>
      <c r="C49" s="29"/>
      <c r="D49" s="29"/>
      <c r="E49" s="16"/>
      <c r="F49" s="16"/>
      <c r="G49" s="16"/>
      <c r="H49" s="16"/>
      <c r="I49" s="24"/>
      <c r="J49" s="9"/>
    </row>
    <row r="50" ht="14.25" customHeight="1">
      <c r="A50" s="16"/>
      <c r="B50" s="26"/>
      <c r="C50" s="29"/>
      <c r="D50" s="29"/>
      <c r="E50" s="16"/>
      <c r="F50" s="16"/>
      <c r="G50" s="16"/>
      <c r="H50" s="16"/>
      <c r="I50" s="24"/>
      <c r="J50" s="9"/>
    </row>
    <row r="51" ht="14.25" customHeight="1">
      <c r="A51" s="16"/>
      <c r="B51" s="26"/>
      <c r="C51" s="29"/>
      <c r="D51" s="29"/>
      <c r="E51" s="16"/>
      <c r="F51" s="16"/>
      <c r="G51" s="16"/>
      <c r="H51" s="16"/>
      <c r="I51" s="24"/>
      <c r="J51" s="9"/>
    </row>
    <row r="52" ht="14.25" customHeight="1">
      <c r="A52" s="16"/>
      <c r="B52" s="26"/>
      <c r="C52" s="29"/>
      <c r="D52" s="29"/>
      <c r="E52" s="16"/>
      <c r="F52" s="16"/>
      <c r="G52" s="16"/>
      <c r="H52" s="16"/>
      <c r="I52" s="24"/>
      <c r="J52" s="9"/>
    </row>
    <row r="53" ht="14.25" customHeight="1">
      <c r="A53" s="16"/>
      <c r="B53" s="26"/>
      <c r="C53" s="29"/>
      <c r="D53" s="29"/>
      <c r="E53" s="16"/>
      <c r="F53" s="16"/>
      <c r="G53" s="16"/>
      <c r="H53" s="16"/>
      <c r="I53" s="24"/>
      <c r="J53" s="9"/>
    </row>
    <row r="54" ht="14.25" customHeight="1">
      <c r="A54" s="16"/>
      <c r="B54" s="26"/>
      <c r="C54" s="29"/>
      <c r="D54" s="29"/>
      <c r="E54" s="16"/>
      <c r="F54" s="16"/>
      <c r="G54" s="16"/>
      <c r="H54" s="16"/>
      <c r="I54" s="24"/>
      <c r="J54" s="9"/>
    </row>
    <row r="55" ht="14.25" customHeight="1">
      <c r="A55" s="16"/>
      <c r="B55" s="26"/>
      <c r="C55" s="29"/>
      <c r="D55" s="29"/>
      <c r="E55" s="16"/>
      <c r="F55" s="16"/>
      <c r="G55" s="16"/>
      <c r="H55" s="16"/>
      <c r="I55" s="24"/>
      <c r="J55" s="9"/>
    </row>
    <row r="56" ht="14.25" customHeight="1">
      <c r="A56" s="16"/>
      <c r="B56" s="26"/>
      <c r="C56" s="29"/>
      <c r="D56" s="29"/>
      <c r="E56" s="16"/>
      <c r="F56" s="16"/>
      <c r="G56" s="16"/>
      <c r="H56" s="16"/>
      <c r="I56" s="24"/>
      <c r="J56" s="9"/>
    </row>
    <row r="57" ht="14.25" customHeight="1">
      <c r="A57" s="16"/>
      <c r="B57" s="58"/>
      <c r="C57" s="8"/>
      <c r="D57" s="9"/>
      <c r="E57" s="16"/>
      <c r="F57" s="16"/>
      <c r="G57" s="16"/>
      <c r="H57" s="16"/>
      <c r="I57" s="24"/>
      <c r="J57" s="9"/>
    </row>
    <row r="58" ht="14.25" customHeight="1">
      <c r="B58" s="26"/>
      <c r="C58" s="29"/>
      <c r="D58" s="29"/>
    </row>
    <row r="59" ht="14.25" customHeight="1"/>
    <row r="60" ht="14.25" customHeight="1">
      <c r="A60" s="2" t="s">
        <v>76</v>
      </c>
      <c r="B60" s="3"/>
      <c r="C60" s="4"/>
      <c r="J60" s="1"/>
    </row>
    <row r="61" ht="14.25" customHeight="1">
      <c r="A61" s="6" t="s">
        <v>3</v>
      </c>
      <c r="B61" s="10" t="s">
        <v>4</v>
      </c>
      <c r="C61" s="8"/>
      <c r="D61" s="9"/>
      <c r="E61" s="6" t="s">
        <v>5</v>
      </c>
      <c r="F61" s="6" t="s">
        <v>6</v>
      </c>
      <c r="G61" s="6" t="s">
        <v>7</v>
      </c>
      <c r="H61" s="6" t="s">
        <v>8</v>
      </c>
      <c r="I61" s="10" t="s">
        <v>9</v>
      </c>
      <c r="J61" s="9"/>
    </row>
    <row r="62" ht="14.25" customHeight="1">
      <c r="A62" s="16"/>
      <c r="B62" s="26"/>
      <c r="C62" s="29"/>
      <c r="D62" s="29"/>
      <c r="E62" s="16"/>
      <c r="F62" s="16"/>
      <c r="G62" s="16"/>
      <c r="H62" s="16"/>
      <c r="I62" s="24"/>
      <c r="J62" s="9"/>
    </row>
    <row r="63" ht="14.25" customHeight="1">
      <c r="A63" s="16"/>
      <c r="B63" s="26"/>
      <c r="C63" s="29"/>
      <c r="D63" s="29"/>
      <c r="E63" s="16"/>
      <c r="F63" s="16"/>
      <c r="G63" s="16"/>
      <c r="H63" s="16"/>
      <c r="I63" s="24"/>
      <c r="J63" s="9"/>
    </row>
    <row r="64" ht="14.25" customHeight="1">
      <c r="A64" s="16"/>
      <c r="B64" s="26"/>
      <c r="C64" s="29"/>
      <c r="D64" s="29"/>
      <c r="E64" s="16"/>
      <c r="F64" s="16"/>
      <c r="G64" s="16"/>
      <c r="H64" s="16"/>
      <c r="I64" s="24"/>
      <c r="J64" s="9"/>
    </row>
    <row r="65" ht="14.25" customHeight="1">
      <c r="A65" s="16"/>
      <c r="B65" s="26"/>
      <c r="C65" s="29"/>
      <c r="D65" s="29"/>
      <c r="E65" s="16"/>
      <c r="F65" s="16"/>
      <c r="G65" s="16"/>
      <c r="H65" s="16"/>
      <c r="I65" s="24"/>
      <c r="J65" s="9"/>
    </row>
    <row r="66" ht="14.25" customHeight="1">
      <c r="A66" s="16"/>
      <c r="B66" s="26"/>
      <c r="C66" s="29"/>
      <c r="D66" s="29"/>
      <c r="E66" s="16"/>
      <c r="F66" s="16"/>
      <c r="G66" s="16"/>
      <c r="H66" s="16"/>
      <c r="I66" s="24"/>
      <c r="J66" s="9"/>
    </row>
    <row r="67" ht="14.25" customHeight="1">
      <c r="A67" s="16"/>
      <c r="B67" s="26"/>
      <c r="C67" s="29"/>
      <c r="D67" s="29"/>
      <c r="E67" s="16"/>
      <c r="F67" s="16"/>
      <c r="G67" s="16"/>
      <c r="H67" s="16"/>
      <c r="I67" s="24"/>
      <c r="J67" s="9"/>
    </row>
    <row r="68" ht="14.25" customHeight="1">
      <c r="A68" s="16"/>
      <c r="B68" s="26"/>
      <c r="C68" s="29"/>
      <c r="D68" s="29"/>
      <c r="E68" s="16"/>
      <c r="F68" s="16"/>
      <c r="G68" s="16"/>
      <c r="H68" s="16"/>
      <c r="I68" s="24"/>
      <c r="J68" s="9"/>
    </row>
    <row r="69" ht="14.25" customHeight="1">
      <c r="A69" s="16"/>
      <c r="B69" s="26"/>
      <c r="C69" s="29"/>
      <c r="D69" s="29"/>
      <c r="E69" s="16"/>
      <c r="F69" s="16"/>
      <c r="G69" s="16"/>
      <c r="H69" s="16"/>
      <c r="I69" s="24"/>
      <c r="J69" s="9"/>
    </row>
    <row r="70" ht="14.25" customHeight="1">
      <c r="A70" s="16"/>
      <c r="B70" s="26"/>
      <c r="C70" s="29"/>
      <c r="D70" s="29"/>
      <c r="E70" s="16"/>
      <c r="F70" s="16"/>
      <c r="G70" s="16"/>
      <c r="H70" s="16"/>
      <c r="I70" s="24"/>
      <c r="J70" s="9"/>
    </row>
    <row r="71" ht="14.25" customHeight="1">
      <c r="A71" s="16"/>
      <c r="B71" s="58"/>
      <c r="C71" s="8"/>
      <c r="D71" s="9"/>
      <c r="E71" s="16"/>
      <c r="F71" s="16"/>
      <c r="G71" s="16"/>
      <c r="H71" s="16"/>
      <c r="I71" s="24"/>
      <c r="J71" s="9"/>
    </row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5">
    <mergeCell ref="I24:J24"/>
    <mergeCell ref="I25:J25"/>
    <mergeCell ref="I9:J9"/>
    <mergeCell ref="I11:J11"/>
    <mergeCell ref="I19:J19"/>
    <mergeCell ref="I20:J20"/>
    <mergeCell ref="I21:J21"/>
    <mergeCell ref="I22:J22"/>
    <mergeCell ref="I23:J23"/>
    <mergeCell ref="A4:C4"/>
    <mergeCell ref="B5:D5"/>
    <mergeCell ref="I5:J5"/>
    <mergeCell ref="M5:U5"/>
    <mergeCell ref="W5:Y5"/>
    <mergeCell ref="B6:D6"/>
    <mergeCell ref="B7:D7"/>
    <mergeCell ref="I10:J10"/>
    <mergeCell ref="M10:U10"/>
    <mergeCell ref="I6:J6"/>
    <mergeCell ref="I7:J7"/>
    <mergeCell ref="B8:D8"/>
    <mergeCell ref="I8:J8"/>
    <mergeCell ref="B9:D9"/>
    <mergeCell ref="B10:D10"/>
    <mergeCell ref="B11:D11"/>
    <mergeCell ref="I15:J15"/>
    <mergeCell ref="M15:U15"/>
    <mergeCell ref="M20:U20"/>
    <mergeCell ref="B12:D12"/>
    <mergeCell ref="I12:J12"/>
    <mergeCell ref="B13:D13"/>
    <mergeCell ref="I13:J13"/>
    <mergeCell ref="B14:D14"/>
    <mergeCell ref="I14:J14"/>
    <mergeCell ref="B15:D15"/>
    <mergeCell ref="B24:D24"/>
    <mergeCell ref="B25:D25"/>
    <mergeCell ref="M25:U25"/>
    <mergeCell ref="I26:J26"/>
    <mergeCell ref="B16:D16"/>
    <mergeCell ref="A18:C18"/>
    <mergeCell ref="B19:D19"/>
    <mergeCell ref="B20:D20"/>
    <mergeCell ref="B21:D21"/>
    <mergeCell ref="B22:D22"/>
    <mergeCell ref="B23:D23"/>
    <mergeCell ref="B50:D50"/>
    <mergeCell ref="B51:D51"/>
    <mergeCell ref="B52:D52"/>
    <mergeCell ref="B53:D53"/>
    <mergeCell ref="B54:D54"/>
    <mergeCell ref="B55:D55"/>
    <mergeCell ref="B56:D56"/>
    <mergeCell ref="B65:D65"/>
    <mergeCell ref="B66:D66"/>
    <mergeCell ref="B67:D67"/>
    <mergeCell ref="B68:D68"/>
    <mergeCell ref="B69:D69"/>
    <mergeCell ref="B70:D70"/>
    <mergeCell ref="B71:D71"/>
    <mergeCell ref="B57:D57"/>
    <mergeCell ref="B58:D58"/>
    <mergeCell ref="A60:C60"/>
    <mergeCell ref="B61:D61"/>
    <mergeCell ref="B62:D62"/>
    <mergeCell ref="B63:D63"/>
    <mergeCell ref="B64:D64"/>
    <mergeCell ref="I70:J70"/>
    <mergeCell ref="I71:J71"/>
    <mergeCell ref="I63:J63"/>
    <mergeCell ref="I64:J64"/>
    <mergeCell ref="I65:J65"/>
    <mergeCell ref="I66:J66"/>
    <mergeCell ref="I67:J67"/>
    <mergeCell ref="I68:J68"/>
    <mergeCell ref="I69:J69"/>
    <mergeCell ref="B26:D26"/>
    <mergeCell ref="B27:D27"/>
    <mergeCell ref="I27:J27"/>
    <mergeCell ref="B28:D28"/>
    <mergeCell ref="I28:J28"/>
    <mergeCell ref="B29:D29"/>
    <mergeCell ref="I29:J29"/>
    <mergeCell ref="B30:D30"/>
    <mergeCell ref="A32:C32"/>
    <mergeCell ref="B33:D33"/>
    <mergeCell ref="I33:J33"/>
    <mergeCell ref="B34:D34"/>
    <mergeCell ref="I34:J34"/>
    <mergeCell ref="I35:J35"/>
    <mergeCell ref="B35:D35"/>
    <mergeCell ref="B36:D36"/>
    <mergeCell ref="B37:D37"/>
    <mergeCell ref="B38:D38"/>
    <mergeCell ref="B39:D39"/>
    <mergeCell ref="B40:D40"/>
    <mergeCell ref="B41:D41"/>
    <mergeCell ref="I36:J36"/>
    <mergeCell ref="I37:J37"/>
    <mergeCell ref="I38:J38"/>
    <mergeCell ref="I39:J39"/>
    <mergeCell ref="I40:J40"/>
    <mergeCell ref="I41:J41"/>
    <mergeCell ref="I42:J42"/>
    <mergeCell ref="B42:D42"/>
    <mergeCell ref="B43:D43"/>
    <mergeCell ref="B44:D44"/>
    <mergeCell ref="A46:C46"/>
    <mergeCell ref="B47:D47"/>
    <mergeCell ref="B48:D48"/>
    <mergeCell ref="B49:D49"/>
    <mergeCell ref="I43:J43"/>
    <mergeCell ref="I47:J47"/>
    <mergeCell ref="I48:J48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61:J61"/>
    <mergeCell ref="I62:J62"/>
  </mergeCells>
  <dataValidations>
    <dataValidation type="list" allowBlank="1" showErrorMessage="1" sqref="J3 A6:A15 A20:A29 A34:A43 A48:A57 A62:A71">
      <formula1>Datos!$B$2:$B$12</formula1>
    </dataValidation>
    <dataValidation type="list" allowBlank="1" showErrorMessage="1" sqref="J4 J18 J32 J46 J60">
      <formula1>Datos!$D$2:$D$14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7" width="10.71"/>
  </cols>
  <sheetData>
    <row r="1" ht="14.25" customHeight="1"/>
    <row r="2" ht="14.25" customHeight="1"/>
    <row r="3" ht="14.25" customHeight="1">
      <c r="J3" s="1"/>
    </row>
    <row r="4" ht="14.25" customHeight="1">
      <c r="A4" s="2" t="s">
        <v>0</v>
      </c>
      <c r="B4" s="3"/>
      <c r="C4" s="4"/>
      <c r="J4" s="1"/>
      <c r="X4" s="1"/>
      <c r="Y4" s="1"/>
      <c r="Z4" s="1"/>
      <c r="AA4" s="1"/>
    </row>
    <row r="5" ht="14.25" customHeight="1">
      <c r="A5" s="6" t="s">
        <v>3</v>
      </c>
      <c r="B5" s="10" t="s">
        <v>4</v>
      </c>
      <c r="C5" s="8"/>
      <c r="D5" s="9"/>
      <c r="E5" s="6" t="s">
        <v>5</v>
      </c>
      <c r="F5" s="6" t="s">
        <v>6</v>
      </c>
      <c r="G5" s="6" t="s">
        <v>7</v>
      </c>
      <c r="H5" s="6" t="s">
        <v>8</v>
      </c>
      <c r="I5" s="10" t="s">
        <v>9</v>
      </c>
      <c r="J5" s="9"/>
      <c r="M5" s="11" t="s">
        <v>0</v>
      </c>
      <c r="N5" s="12"/>
      <c r="O5" s="12"/>
      <c r="P5" s="12"/>
      <c r="Q5" s="12"/>
      <c r="R5" s="12"/>
      <c r="S5" s="12"/>
      <c r="T5" s="12"/>
      <c r="U5" s="13"/>
      <c r="W5" s="14" t="s">
        <v>11</v>
      </c>
      <c r="X5" s="12"/>
      <c r="Y5" s="13"/>
      <c r="AA5" s="1"/>
    </row>
    <row r="6" ht="14.25" customHeight="1">
      <c r="A6" s="27"/>
      <c r="B6" s="30" t="s">
        <v>18</v>
      </c>
      <c r="C6" s="18"/>
      <c r="D6" s="20"/>
      <c r="E6" s="27">
        <v>3.0</v>
      </c>
      <c r="F6" s="27">
        <v>10.0</v>
      </c>
      <c r="G6" s="27"/>
      <c r="H6" s="32"/>
      <c r="I6" s="33" t="s">
        <v>14</v>
      </c>
      <c r="J6" s="9"/>
      <c r="M6" s="25"/>
      <c r="N6" s="28" t="s">
        <v>17</v>
      </c>
      <c r="O6" s="28" t="s">
        <v>19</v>
      </c>
      <c r="P6" s="28" t="s">
        <v>20</v>
      </c>
      <c r="Q6" s="28" t="s">
        <v>21</v>
      </c>
      <c r="R6" s="28" t="s">
        <v>22</v>
      </c>
      <c r="S6" s="28" t="s">
        <v>23</v>
      </c>
      <c r="T6" s="28" t="s">
        <v>24</v>
      </c>
      <c r="U6" s="28" t="s">
        <v>25</v>
      </c>
      <c r="W6" s="28" t="s">
        <v>17</v>
      </c>
      <c r="X6" s="1">
        <f>SUM(N7,N12,N17,N22,N27)</f>
        <v>12</v>
      </c>
      <c r="AA6" s="1"/>
    </row>
    <row r="7" ht="14.25" customHeight="1">
      <c r="A7" s="27"/>
      <c r="B7" s="30" t="s">
        <v>35</v>
      </c>
      <c r="C7" s="18"/>
      <c r="D7" s="20"/>
      <c r="E7" s="27">
        <v>3.0</v>
      </c>
      <c r="F7" s="27">
        <v>12.0</v>
      </c>
      <c r="G7" s="27"/>
      <c r="H7" s="32"/>
      <c r="I7" s="33"/>
      <c r="J7" s="9"/>
      <c r="M7" s="34" t="s">
        <v>36</v>
      </c>
      <c r="N7" s="35">
        <f>SUMIF(A6:A15,"Empuje",E6:E15)</f>
        <v>8</v>
      </c>
      <c r="O7" s="35">
        <f>SUMIF(A6:A15,"Tracción",E6:E15)</f>
        <v>0</v>
      </c>
      <c r="P7" s="35">
        <f>SUMIF($A6:$A15,"Dom. Rodillas",$E6:$E15)</f>
        <v>6</v>
      </c>
      <c r="Q7" s="35">
        <f>SUMIF($A6:$A15,"Dom. Caderas",$E6:$E15)</f>
        <v>0</v>
      </c>
      <c r="R7" s="35">
        <f>SUMIF($A6:$A15,"A. Empuje",$E6:$E15)</f>
        <v>9</v>
      </c>
      <c r="S7" s="36">
        <f>SUMIF(A6:A15,"A. Tracción",E6:E15)</f>
        <v>0</v>
      </c>
      <c r="T7" s="35">
        <f>SUMIF($A6:$A15,"A. Rodillas",$E6:$E15)</f>
        <v>0</v>
      </c>
      <c r="U7" s="35">
        <f>SUMIF($A6:$A15,"A. Cadera",$E6:$E15)</f>
        <v>0</v>
      </c>
      <c r="W7" s="28" t="s">
        <v>19</v>
      </c>
      <c r="X7" s="1">
        <f>SUM(O7,O12,O17,O22,O27)</f>
        <v>14</v>
      </c>
      <c r="AA7" s="1"/>
    </row>
    <row r="8" ht="14.25" customHeight="1">
      <c r="A8" s="27"/>
      <c r="B8" s="30" t="s">
        <v>39</v>
      </c>
      <c r="C8" s="18"/>
      <c r="D8" s="20"/>
      <c r="E8" s="27">
        <v>3.0</v>
      </c>
      <c r="F8" s="27">
        <v>10.0</v>
      </c>
      <c r="G8" s="27"/>
      <c r="H8" s="32"/>
      <c r="I8" s="33"/>
      <c r="J8" s="9"/>
      <c r="M8" s="34" t="s">
        <v>7</v>
      </c>
      <c r="N8" s="35" t="str">
        <f>AVERAGEIF($A6:$A15,"Empuje",$G6:$G15)</f>
        <v>#DIV/0!</v>
      </c>
      <c r="O8" s="35" t="str">
        <f>AVERAGEIF($A6:$A15,"Traccion",$G6:$G15)</f>
        <v>#DIV/0!</v>
      </c>
      <c r="P8" s="35">
        <f>AVERAGEIF($A6:$A15,"Dom. Rodillas",$G6:$G15)</f>
        <v>8</v>
      </c>
      <c r="Q8" s="35" t="str">
        <f>AVERAGEIF($A6:$A15,"Dom. Cadera",$G6:$G15)</f>
        <v>#DIV/0!</v>
      </c>
      <c r="R8" s="35">
        <f>AVERAGEIF($A6:$A15,"A. Empuje",$G6:$G15)</f>
        <v>8</v>
      </c>
      <c r="S8" s="35" t="str">
        <f>AVERAGEIF($A6:$A15,"A. Tracción",$G6:$G15)</f>
        <v>#DIV/0!</v>
      </c>
      <c r="T8" s="35" t="str">
        <f>AVERAGEIF($A6:$A15,"A. Rodillas",$G6:$G15)</f>
        <v>#DIV/0!</v>
      </c>
      <c r="U8" s="35" t="str">
        <f>AVERAGEIF($A6:$A15,"A. Cadera",$G6:$G15)</f>
        <v>#DIV/0!</v>
      </c>
      <c r="W8" s="28" t="s">
        <v>20</v>
      </c>
      <c r="X8" s="1">
        <f>SUM(P7,P12,P17,P22,P27)</f>
        <v>10</v>
      </c>
      <c r="AA8" s="1"/>
    </row>
    <row r="9" ht="14.25" customHeight="1">
      <c r="A9" s="16" t="s">
        <v>17</v>
      </c>
      <c r="B9" s="39" t="s">
        <v>40</v>
      </c>
      <c r="C9" s="18"/>
      <c r="D9" s="20"/>
      <c r="E9" s="40">
        <v>4.0</v>
      </c>
      <c r="F9" s="40">
        <v>8.0</v>
      </c>
      <c r="G9" s="40" t="s">
        <v>41</v>
      </c>
      <c r="H9" s="41" t="s">
        <v>42</v>
      </c>
      <c r="I9" s="42"/>
      <c r="J9" s="9"/>
      <c r="M9" s="25"/>
      <c r="N9" s="25"/>
      <c r="O9" s="25"/>
      <c r="P9" s="25"/>
      <c r="Q9" s="25"/>
      <c r="R9" s="25"/>
      <c r="S9" s="25"/>
      <c r="T9" s="25"/>
      <c r="U9" s="25"/>
      <c r="W9" s="28" t="s">
        <v>21</v>
      </c>
      <c r="X9" s="1">
        <f>SUM(Q7,Q12,Q17,Q22,Q27)</f>
        <v>8</v>
      </c>
      <c r="AA9" s="1"/>
    </row>
    <row r="10" ht="14.25" customHeight="1">
      <c r="A10" s="16" t="s">
        <v>17</v>
      </c>
      <c r="B10" s="39" t="s">
        <v>46</v>
      </c>
      <c r="C10" s="18"/>
      <c r="D10" s="20"/>
      <c r="E10" s="40">
        <v>4.0</v>
      </c>
      <c r="F10" s="40">
        <v>12.0</v>
      </c>
      <c r="G10" s="40" t="s">
        <v>41</v>
      </c>
      <c r="H10" s="41"/>
      <c r="I10" s="42"/>
      <c r="J10" s="9"/>
      <c r="M10" s="11" t="s">
        <v>45</v>
      </c>
      <c r="N10" s="12"/>
      <c r="O10" s="12"/>
      <c r="P10" s="12"/>
      <c r="Q10" s="12"/>
      <c r="R10" s="12"/>
      <c r="S10" s="12"/>
      <c r="T10" s="12"/>
      <c r="U10" s="13"/>
      <c r="W10" s="28" t="s">
        <v>22</v>
      </c>
      <c r="X10" s="1">
        <f>SUM(R7,R12,R17,R22,R27)</f>
        <v>13</v>
      </c>
      <c r="AA10" s="1"/>
    </row>
    <row r="11" ht="14.25" customHeight="1">
      <c r="A11" s="16" t="s">
        <v>47</v>
      </c>
      <c r="B11" s="45" t="s">
        <v>48</v>
      </c>
      <c r="C11" s="18"/>
      <c r="D11" s="20"/>
      <c r="E11" s="46">
        <v>3.0</v>
      </c>
      <c r="F11" s="46">
        <v>8.0</v>
      </c>
      <c r="G11" s="46">
        <v>8.0</v>
      </c>
      <c r="H11" s="47"/>
      <c r="I11" s="48"/>
      <c r="J11" s="9"/>
      <c r="M11" s="25"/>
      <c r="N11" s="28" t="s">
        <v>17</v>
      </c>
      <c r="O11" s="28" t="s">
        <v>19</v>
      </c>
      <c r="P11" s="28" t="s">
        <v>20</v>
      </c>
      <c r="Q11" s="28" t="s">
        <v>21</v>
      </c>
      <c r="R11" s="28" t="s">
        <v>22</v>
      </c>
      <c r="S11" s="28" t="s">
        <v>23</v>
      </c>
      <c r="T11" s="28" t="s">
        <v>24</v>
      </c>
      <c r="U11" s="28" t="s">
        <v>25</v>
      </c>
      <c r="W11" s="28" t="s">
        <v>23</v>
      </c>
      <c r="X11" s="1">
        <f>SUM(S7,S12,S17,S22,S27)</f>
        <v>9</v>
      </c>
      <c r="AA11" s="1"/>
    </row>
    <row r="12" ht="14.25" customHeight="1">
      <c r="A12" s="16" t="s">
        <v>22</v>
      </c>
      <c r="B12" s="45" t="s">
        <v>51</v>
      </c>
      <c r="C12" s="18"/>
      <c r="D12" s="20"/>
      <c r="E12" s="46">
        <v>3.0</v>
      </c>
      <c r="F12" s="46">
        <v>8.0</v>
      </c>
      <c r="G12" s="46">
        <v>8.0</v>
      </c>
      <c r="H12" s="47"/>
      <c r="I12" s="48"/>
      <c r="J12" s="9"/>
      <c r="M12" s="34" t="s">
        <v>36</v>
      </c>
      <c r="N12" s="35">
        <f>SUMIF($A20:$A29,"Empuje",$E20:$E29)</f>
        <v>0</v>
      </c>
      <c r="O12" s="35">
        <f>SUMIF($A20:$A29,"Tracción",$E20:$E29)</f>
        <v>11</v>
      </c>
      <c r="P12" s="35">
        <f>SUMIF($A20:$A29,"Dom. Rodillas",$E20:$E29)</f>
        <v>0</v>
      </c>
      <c r="Q12" s="35">
        <f>SUMIF($A20:$A29,"Dom. Caderas",$E20:$E29)</f>
        <v>8</v>
      </c>
      <c r="R12" s="35">
        <f>SUMIF($A20:$A29,"A. Empuje",$E20:$E29)</f>
        <v>0</v>
      </c>
      <c r="S12" s="35">
        <f>SUMIF($A20:$A29,"A. Tracción",$E20:$E29)</f>
        <v>3</v>
      </c>
      <c r="T12" s="35">
        <f>SUMIF($A20:$A29,"A. Rodillas",$E20:$E29)</f>
        <v>0</v>
      </c>
      <c r="U12" s="35">
        <f>SUMIF($A20:$A29,"A. Cadera",$E20:$E29)</f>
        <v>4</v>
      </c>
      <c r="W12" s="28" t="s">
        <v>24</v>
      </c>
      <c r="X12" s="1">
        <f>SUM(T7,T12,T17,T22,T27)</f>
        <v>0</v>
      </c>
      <c r="AA12" s="1"/>
    </row>
    <row r="13" ht="14.25" customHeight="1">
      <c r="A13" s="16" t="s">
        <v>47</v>
      </c>
      <c r="B13" s="39" t="s">
        <v>54</v>
      </c>
      <c r="C13" s="18"/>
      <c r="D13" s="20"/>
      <c r="E13" s="40">
        <v>3.0</v>
      </c>
      <c r="F13" s="40">
        <v>6.0</v>
      </c>
      <c r="G13" s="40">
        <v>8.0</v>
      </c>
      <c r="H13" s="52"/>
      <c r="I13" s="42"/>
      <c r="J13" s="9"/>
      <c r="M13" s="34" t="s">
        <v>7</v>
      </c>
      <c r="N13" s="35" t="str">
        <f>AVERAGEIF($A20:$A29,"Empuje",$G20:$G29)</f>
        <v>#DIV/0!</v>
      </c>
      <c r="O13" s="35">
        <f>AVERAGEIF($A20:$A29,"Tracción",$G20:$G29)</f>
        <v>8</v>
      </c>
      <c r="P13" s="35" t="str">
        <f>AVERAGEIF($A20:$A29,"Dom. Rodillas",$G20:$G29)</f>
        <v>#DIV/0!</v>
      </c>
      <c r="Q13" s="35" t="str">
        <f>AVERAGEIF($A20:$A29,"Dom.Cadera",$G20:$G29)</f>
        <v>#DIV/0!</v>
      </c>
      <c r="R13" s="35" t="str">
        <f>AVERAGEIF($A20:$A29,"A. Empuje",$G20:$G29)</f>
        <v>#DIV/0!</v>
      </c>
      <c r="S13" s="35">
        <f>AVERAGEIF($A20:$A29,"A. Tracción",$G20:$G29)</f>
        <v>8</v>
      </c>
      <c r="T13" s="35" t="str">
        <f>AVERAGEIF($A20:$A29,"A. Rodillas",$G20:$G29)</f>
        <v>#DIV/0!</v>
      </c>
      <c r="U13" s="35">
        <f>AVERAGEIF($A20:$A29,"A. Cadera",$G20:$G29)</f>
        <v>8</v>
      </c>
      <c r="W13" s="28" t="s">
        <v>25</v>
      </c>
      <c r="X13" s="1">
        <f>SUM(U7,U12,U17,U22,U27)</f>
        <v>7</v>
      </c>
      <c r="AA13" s="1"/>
    </row>
    <row r="14" ht="14.25" customHeight="1">
      <c r="A14" s="16" t="s">
        <v>22</v>
      </c>
      <c r="B14" s="39" t="s">
        <v>61</v>
      </c>
      <c r="C14" s="18"/>
      <c r="D14" s="20"/>
      <c r="E14" s="40">
        <v>3.0</v>
      </c>
      <c r="F14" s="40">
        <v>10.0</v>
      </c>
      <c r="G14" s="40">
        <v>8.0</v>
      </c>
      <c r="H14" s="52"/>
      <c r="I14" s="42"/>
      <c r="J14" s="9"/>
      <c r="M14" s="25"/>
      <c r="N14" s="25"/>
      <c r="O14" s="25"/>
      <c r="P14" s="25"/>
      <c r="Q14" s="25"/>
      <c r="R14" s="25"/>
      <c r="S14" s="25"/>
      <c r="T14" s="25"/>
      <c r="U14" s="25"/>
      <c r="W14" s="1"/>
      <c r="X14" s="1"/>
      <c r="AA14" s="1"/>
    </row>
    <row r="15" ht="14.25" customHeight="1">
      <c r="A15" s="16" t="s">
        <v>22</v>
      </c>
      <c r="B15" s="45" t="s">
        <v>63</v>
      </c>
      <c r="C15" s="18"/>
      <c r="D15" s="20"/>
      <c r="E15" s="46">
        <v>3.0</v>
      </c>
      <c r="F15" s="46">
        <v>12.0</v>
      </c>
      <c r="G15" s="46">
        <v>8.0</v>
      </c>
      <c r="H15" s="46"/>
      <c r="I15" s="48"/>
      <c r="J15" s="9"/>
      <c r="M15" s="11" t="s">
        <v>57</v>
      </c>
      <c r="N15" s="12"/>
      <c r="O15" s="12"/>
      <c r="P15" s="12"/>
      <c r="Q15" s="12"/>
      <c r="R15" s="12"/>
      <c r="S15" s="12"/>
      <c r="T15" s="12"/>
      <c r="U15" s="13"/>
      <c r="W15" s="1"/>
      <c r="X15" s="1"/>
      <c r="AA15" s="1"/>
    </row>
    <row r="16" ht="14.25" customHeight="1">
      <c r="B16" s="26"/>
      <c r="C16" s="29"/>
      <c r="D16" s="29"/>
      <c r="M16" s="25"/>
      <c r="N16" s="28" t="s">
        <v>17</v>
      </c>
      <c r="O16" s="28" t="s">
        <v>19</v>
      </c>
      <c r="P16" s="28" t="s">
        <v>20</v>
      </c>
      <c r="Q16" s="28" t="s">
        <v>21</v>
      </c>
      <c r="R16" s="28" t="s">
        <v>22</v>
      </c>
      <c r="S16" s="28" t="s">
        <v>23</v>
      </c>
      <c r="T16" s="28" t="s">
        <v>24</v>
      </c>
      <c r="U16" s="28" t="s">
        <v>25</v>
      </c>
      <c r="W16" s="1"/>
      <c r="X16" s="1"/>
      <c r="Y16" s="1"/>
      <c r="Z16" s="1"/>
      <c r="AA16" s="1"/>
    </row>
    <row r="17" ht="14.25" customHeight="1">
      <c r="M17" s="34" t="s">
        <v>36</v>
      </c>
      <c r="N17" s="35">
        <f>SUMIF($A34:$A43,"Empuje",$E34:$E43)</f>
        <v>4</v>
      </c>
      <c r="O17" s="35">
        <f>SUMIF($A34:$A43,"Tracción",$E34:$E43)</f>
        <v>3</v>
      </c>
      <c r="P17" s="35">
        <f>SUMIF($A34:$A43,"Dom. Rodillas",$E34:$E43)</f>
        <v>4</v>
      </c>
      <c r="Q17" s="35">
        <f>SUMIF($A34:$A43,"Dom. Caderas",$E34:$E43)</f>
        <v>0</v>
      </c>
      <c r="R17" s="35">
        <f>SUMIF($A34:$A43,"A. Empuje",$E34:$E43)</f>
        <v>4</v>
      </c>
      <c r="S17" s="35">
        <f>SUMIF($A34:$A43,"A. Tracción",$E34:$E43)</f>
        <v>6</v>
      </c>
      <c r="T17" s="35">
        <f>SUMIF($A34:$A43,"A. Rodillas",$E34:$E43)</f>
        <v>0</v>
      </c>
      <c r="U17" s="35">
        <f>SUMIF($A34:$A43,"A. Cadera",$E34:$E43)</f>
        <v>3</v>
      </c>
      <c r="X17" s="1"/>
      <c r="Y17" s="1"/>
      <c r="Z17" s="1"/>
      <c r="AA17" s="1"/>
    </row>
    <row r="18" ht="14.25" customHeight="1">
      <c r="A18" s="2" t="s">
        <v>45</v>
      </c>
      <c r="B18" s="3"/>
      <c r="C18" s="4"/>
      <c r="J18" s="1"/>
      <c r="M18" s="34" t="s">
        <v>7</v>
      </c>
      <c r="N18" s="35">
        <f>AVERAGEIF($A34:$A43,"Empuje",$G34:$G43)</f>
        <v>8</v>
      </c>
      <c r="O18" s="35">
        <f>AVERAGEIF($A34:$A43,"Tracción",$G34:$G43)</f>
        <v>8</v>
      </c>
      <c r="P18" s="35">
        <f>AVERAGEIF($A34:$A43,"Dom. Rodillas",$G34:$G43)</f>
        <v>8</v>
      </c>
      <c r="Q18" s="35" t="str">
        <f>AVERAGEIF($A34:$A43,"Dom. Caderas",$G34:$G43)</f>
        <v>#DIV/0!</v>
      </c>
      <c r="R18" s="35" t="str">
        <f>AVERAGEIF($A34:$A43,"A. Empuje",$G34:$G43)</f>
        <v>#DIV/0!</v>
      </c>
      <c r="S18" s="35">
        <f>AVERAGEIF($A34:$A43,"A. Tracción",$G34:$G43)</f>
        <v>8</v>
      </c>
      <c r="T18" s="35" t="str">
        <f>AVERAGEIF($A34:$A43,"A. Rodillas",$G34:$G43)</f>
        <v>#DIV/0!</v>
      </c>
      <c r="U18" s="35">
        <f>AVERAGEIF($A34:$A43,"A. Cadera",$G34:$G43)</f>
        <v>8</v>
      </c>
      <c r="X18" s="1"/>
      <c r="Y18" s="1"/>
      <c r="Z18" s="1"/>
      <c r="AA18" s="1"/>
    </row>
    <row r="19" ht="14.25" customHeight="1">
      <c r="A19" s="6" t="s">
        <v>3</v>
      </c>
      <c r="B19" s="10" t="s">
        <v>4</v>
      </c>
      <c r="C19" s="8"/>
      <c r="D19" s="9"/>
      <c r="E19" s="6" t="s">
        <v>5</v>
      </c>
      <c r="F19" s="6" t="s">
        <v>6</v>
      </c>
      <c r="G19" s="6" t="s">
        <v>7</v>
      </c>
      <c r="H19" s="6" t="s">
        <v>8</v>
      </c>
      <c r="I19" s="10" t="s">
        <v>9</v>
      </c>
      <c r="J19" s="9"/>
      <c r="M19" s="25"/>
      <c r="N19" s="25"/>
      <c r="O19" s="25"/>
      <c r="P19" s="25"/>
      <c r="Q19" s="25"/>
      <c r="R19" s="25"/>
      <c r="S19" s="25"/>
      <c r="T19" s="25"/>
      <c r="U19" s="25"/>
      <c r="X19" s="1"/>
      <c r="Y19" s="1"/>
      <c r="Z19" s="1"/>
      <c r="AA19" s="1"/>
    </row>
    <row r="20" ht="14.25" customHeight="1">
      <c r="A20" s="27"/>
      <c r="B20" s="30" t="s">
        <v>67</v>
      </c>
      <c r="C20" s="18"/>
      <c r="D20" s="20"/>
      <c r="E20" s="27">
        <v>3.0</v>
      </c>
      <c r="F20" s="27">
        <v>10.0</v>
      </c>
      <c r="G20" s="27"/>
      <c r="H20" s="27"/>
      <c r="I20" s="33"/>
      <c r="J20" s="9"/>
      <c r="M20" s="11" t="s">
        <v>66</v>
      </c>
      <c r="N20" s="12"/>
      <c r="O20" s="12"/>
      <c r="P20" s="12"/>
      <c r="Q20" s="12"/>
      <c r="R20" s="12"/>
      <c r="S20" s="12"/>
      <c r="T20" s="12"/>
      <c r="U20" s="13"/>
      <c r="X20" s="1"/>
      <c r="Y20" s="1"/>
      <c r="Z20" s="1"/>
      <c r="AA20" s="1"/>
    </row>
    <row r="21" ht="14.25" customHeight="1">
      <c r="A21" s="27"/>
      <c r="B21" s="30" t="s">
        <v>68</v>
      </c>
      <c r="C21" s="18"/>
      <c r="D21" s="20"/>
      <c r="E21" s="27">
        <v>3.0</v>
      </c>
      <c r="F21" s="27">
        <v>10.0</v>
      </c>
      <c r="G21" s="27"/>
      <c r="H21" s="27"/>
      <c r="I21" s="33"/>
      <c r="J21" s="9"/>
      <c r="M21" s="25"/>
      <c r="N21" s="28" t="s">
        <v>17</v>
      </c>
      <c r="O21" s="28" t="s">
        <v>19</v>
      </c>
      <c r="P21" s="28" t="s">
        <v>20</v>
      </c>
      <c r="Q21" s="28" t="s">
        <v>21</v>
      </c>
      <c r="R21" s="28" t="s">
        <v>22</v>
      </c>
      <c r="S21" s="28" t="s">
        <v>23</v>
      </c>
      <c r="T21" s="28" t="s">
        <v>24</v>
      </c>
      <c r="U21" s="28" t="s">
        <v>25</v>
      </c>
      <c r="X21" s="1"/>
      <c r="Y21" s="1"/>
      <c r="Z21" s="1"/>
      <c r="AA21" s="1"/>
    </row>
    <row r="22" ht="14.25" customHeight="1">
      <c r="A22" s="27"/>
      <c r="B22" s="30" t="s">
        <v>70</v>
      </c>
      <c r="C22" s="18"/>
      <c r="D22" s="20"/>
      <c r="E22" s="27">
        <v>3.0</v>
      </c>
      <c r="F22" s="27">
        <v>10.0</v>
      </c>
      <c r="G22" s="27"/>
      <c r="H22" s="27"/>
      <c r="I22" s="33"/>
      <c r="J22" s="9"/>
      <c r="M22" s="34" t="s">
        <v>36</v>
      </c>
      <c r="N22" s="35">
        <f>SUMIF($A48:$A57,"Empuje",$E48:$E57)</f>
        <v>0</v>
      </c>
      <c r="O22" s="35">
        <f>SUMIF($A48:$A57,"Tracción",$E48:$E57)</f>
        <v>0</v>
      </c>
      <c r="P22" s="35">
        <f>SUMIF($A48:$A57,"Dom. Rodillas",$E48:$E57)</f>
        <v>0</v>
      </c>
      <c r="Q22" s="35">
        <f>SUMIF($A48:$A57,"Dom. Caderas",$E48:$E57)</f>
        <v>0</v>
      </c>
      <c r="R22" s="35">
        <f>SUMIF($A48:$A57,"A. Empuje",$E48:$E57)</f>
        <v>0</v>
      </c>
      <c r="S22" s="35">
        <f>SUMIF($A48:$A57,"A. Tracción",$E48:$E57)</f>
        <v>0</v>
      </c>
      <c r="T22" s="35">
        <f>SUMIF($A48:$A57,"A. Rodillas",$E48:$E57)</f>
        <v>0</v>
      </c>
      <c r="U22" s="35">
        <f>SUMIF($A48:$A57,"A. Cadera",$E48:$E57)</f>
        <v>0</v>
      </c>
    </row>
    <row r="23" ht="14.25" customHeight="1">
      <c r="A23" s="16" t="s">
        <v>73</v>
      </c>
      <c r="B23" s="30" t="s">
        <v>74</v>
      </c>
      <c r="C23" s="18"/>
      <c r="D23" s="20"/>
      <c r="E23" s="27">
        <v>4.0</v>
      </c>
      <c r="F23" s="27" t="s">
        <v>75</v>
      </c>
      <c r="G23" s="27" t="s">
        <v>41</v>
      </c>
      <c r="H23" s="16" t="s">
        <v>42</v>
      </c>
      <c r="I23" s="24"/>
      <c r="J23" s="9"/>
      <c r="M23" s="34" t="s">
        <v>7</v>
      </c>
      <c r="N23" s="35" t="str">
        <f>AVERAGEIF($A48:$A57,"Empuje",$G48:$G57)</f>
        <v>#DIV/0!</v>
      </c>
      <c r="O23" s="35" t="str">
        <f>AVERAGEIF($A48:$A57,"Tracción",$G48:$G57)</f>
        <v>#DIV/0!</v>
      </c>
      <c r="P23" s="35" t="str">
        <f>AVERAGEIF($A48:$A57,"Dom. Rodillas",$G48:$G57)</f>
        <v>#DIV/0!</v>
      </c>
      <c r="Q23" s="35" t="str">
        <f>AVERAGEIF($A48:$A57,"Dom. Caderas",$G48:$G57)</f>
        <v>#DIV/0!</v>
      </c>
      <c r="R23" s="35" t="str">
        <f>AVERAGEIF($A48:$A57,"A. Empuje",$G48:$G57)</f>
        <v>#DIV/0!</v>
      </c>
      <c r="S23" s="35" t="str">
        <f>AVERAGEIF($A48:$A57,"A. Tracción",$G48:$G57)</f>
        <v>#DIV/0!</v>
      </c>
      <c r="T23" s="35" t="str">
        <f>AVERAGEIF($A48:$A57,"A. Rodillas",$G48:$G57)</f>
        <v>#DIV/0!</v>
      </c>
      <c r="U23" s="35" t="str">
        <f>AVERAGEIF($A48:$A57,"A. Cadera",$G48:$G57)</f>
        <v>#DIV/0!</v>
      </c>
    </row>
    <row r="24" ht="14.25" customHeight="1">
      <c r="A24" s="16" t="s">
        <v>73</v>
      </c>
      <c r="B24" s="30" t="s">
        <v>77</v>
      </c>
      <c r="C24" s="18"/>
      <c r="D24" s="20"/>
      <c r="E24" s="27">
        <v>4.0</v>
      </c>
      <c r="F24" s="27">
        <v>10.0</v>
      </c>
      <c r="G24" s="27" t="s">
        <v>41</v>
      </c>
      <c r="H24" s="16"/>
      <c r="I24" s="24"/>
      <c r="J24" s="9"/>
      <c r="M24" s="25"/>
      <c r="N24" s="25"/>
      <c r="O24" s="25"/>
      <c r="P24" s="25"/>
      <c r="Q24" s="25"/>
      <c r="R24" s="25"/>
      <c r="S24" s="25"/>
      <c r="T24" s="25"/>
      <c r="U24" s="25"/>
    </row>
    <row r="25" ht="14.25" customHeight="1">
      <c r="A25" s="16" t="s">
        <v>19</v>
      </c>
      <c r="B25" s="30" t="s">
        <v>78</v>
      </c>
      <c r="C25" s="18"/>
      <c r="D25" s="20"/>
      <c r="E25" s="27">
        <v>4.0</v>
      </c>
      <c r="F25" s="27">
        <v>10.0</v>
      </c>
      <c r="G25" s="27">
        <v>8.0</v>
      </c>
      <c r="H25" s="16"/>
      <c r="I25" s="24"/>
      <c r="J25" s="9"/>
      <c r="M25" s="11" t="s">
        <v>76</v>
      </c>
      <c r="N25" s="12"/>
      <c r="O25" s="12"/>
      <c r="P25" s="12"/>
      <c r="Q25" s="12"/>
      <c r="R25" s="12"/>
      <c r="S25" s="12"/>
      <c r="T25" s="12"/>
      <c r="U25" s="13"/>
    </row>
    <row r="26" ht="14.25" customHeight="1">
      <c r="A26" s="16" t="s">
        <v>19</v>
      </c>
      <c r="B26" s="30" t="s">
        <v>80</v>
      </c>
      <c r="C26" s="18"/>
      <c r="D26" s="20"/>
      <c r="E26" s="27">
        <v>3.0</v>
      </c>
      <c r="F26" s="27">
        <v>10.0</v>
      </c>
      <c r="G26" s="27">
        <v>8.0</v>
      </c>
      <c r="H26" s="16"/>
      <c r="I26" s="24"/>
      <c r="J26" s="9"/>
      <c r="M26" s="25"/>
      <c r="N26" s="28" t="s">
        <v>17</v>
      </c>
      <c r="O26" s="28" t="s">
        <v>19</v>
      </c>
      <c r="P26" s="28" t="s">
        <v>20</v>
      </c>
      <c r="Q26" s="28" t="s">
        <v>21</v>
      </c>
      <c r="R26" s="28" t="s">
        <v>22</v>
      </c>
      <c r="S26" s="28" t="s">
        <v>23</v>
      </c>
      <c r="T26" s="28" t="s">
        <v>24</v>
      </c>
      <c r="U26" s="28" t="s">
        <v>25</v>
      </c>
    </row>
    <row r="27" ht="14.25" customHeight="1">
      <c r="A27" s="16" t="s">
        <v>19</v>
      </c>
      <c r="B27" s="30" t="s">
        <v>82</v>
      </c>
      <c r="C27" s="18"/>
      <c r="D27" s="20"/>
      <c r="E27" s="27">
        <v>4.0</v>
      </c>
      <c r="F27" s="27">
        <v>10.0</v>
      </c>
      <c r="G27" s="27">
        <v>8.0</v>
      </c>
      <c r="H27" s="16"/>
      <c r="I27" s="24"/>
      <c r="J27" s="9"/>
      <c r="M27" s="34" t="s">
        <v>36</v>
      </c>
      <c r="N27" s="35">
        <f>SUMIF($A62:$A71,"Empuje",$E62:$E71)</f>
        <v>0</v>
      </c>
      <c r="O27" s="35">
        <f>SUMIF($A62:$A71,"Tracción",$E62:$E71)</f>
        <v>0</v>
      </c>
      <c r="P27" s="35">
        <f>SUMIF($A62:$A71,"Dom. Rodillas",$E62:$E71)</f>
        <v>0</v>
      </c>
      <c r="Q27" s="35">
        <f>SUMIF($A62:$A71,"Dom. Caderas",$E62:$E71)</f>
        <v>0</v>
      </c>
      <c r="R27" s="35">
        <f>SUMIF($A62:$A71,"A. Empuje",$E62:$E71)</f>
        <v>0</v>
      </c>
      <c r="S27" s="35">
        <f>SUMIF($A62:$A71,"A. Tracción",$E62:$E71)</f>
        <v>0</v>
      </c>
      <c r="T27" s="35">
        <f>SUMIF($A62:$A71,"A. Rodillas",$E62:$E71)</f>
        <v>0</v>
      </c>
      <c r="U27" s="35">
        <f>SUMIF($A62:$A71,"A. Cadera",$E62:$E71)</f>
        <v>0</v>
      </c>
    </row>
    <row r="28" ht="14.25" customHeight="1">
      <c r="A28" s="16" t="s">
        <v>25</v>
      </c>
      <c r="B28" s="30" t="s">
        <v>84</v>
      </c>
      <c r="C28" s="18"/>
      <c r="D28" s="20"/>
      <c r="E28" s="27">
        <v>4.0</v>
      </c>
      <c r="F28" s="27">
        <v>8.0</v>
      </c>
      <c r="G28" s="27">
        <v>8.0</v>
      </c>
      <c r="H28" s="16"/>
      <c r="I28" s="24"/>
      <c r="J28" s="9"/>
      <c r="M28" s="34" t="s">
        <v>7</v>
      </c>
      <c r="N28" s="35" t="str">
        <f>AVERAGEIF($A62:$A71,"Empuje",$G62:$G71)</f>
        <v>#DIV/0!</v>
      </c>
      <c r="O28" s="35" t="str">
        <f>AVERAGEIF($A62:$A71,"Tracción",$G62:$G71)</f>
        <v>#DIV/0!</v>
      </c>
      <c r="P28" s="35" t="str">
        <f>AVERAGEIF($A62:$A71,"Dom. Rodillas",$G62:$G71)</f>
        <v>#DIV/0!</v>
      </c>
      <c r="Q28" s="35" t="str">
        <f>AVERAGEIF($A62:$A71,"Dom. Caderas",$G62:$G71)</f>
        <v>#DIV/0!</v>
      </c>
      <c r="R28" s="35" t="str">
        <f>AVERAGEIF($A62:$A71,"A. Empuje",$G62:$G71)</f>
        <v>#DIV/0!</v>
      </c>
      <c r="S28" s="35" t="str">
        <f>AVERAGEIF($A62:$A71,"A. Tracción",$G62:$G71)</f>
        <v>#DIV/0!</v>
      </c>
      <c r="T28" s="35" t="str">
        <f>AVERAGEIF($A62:$A71,"A. Rodillas",$G62:$G71)</f>
        <v>#DIV/0!</v>
      </c>
      <c r="U28" s="35" t="str">
        <f>AVERAGEIF($A62:$A71,"A. Cadera",$G62:$G71)</f>
        <v>#DIV/0!</v>
      </c>
    </row>
    <row r="29" ht="14.25" customHeight="1">
      <c r="A29" s="16" t="s">
        <v>23</v>
      </c>
      <c r="B29" s="60" t="s">
        <v>86</v>
      </c>
      <c r="C29" s="8"/>
      <c r="D29" s="9"/>
      <c r="E29" s="27">
        <v>3.0</v>
      </c>
      <c r="F29" s="27">
        <v>10.0</v>
      </c>
      <c r="G29" s="27">
        <v>8.0</v>
      </c>
      <c r="H29" s="16"/>
      <c r="I29" s="24"/>
      <c r="J29" s="9"/>
    </row>
    <row r="30" ht="14.25" customHeight="1">
      <c r="B30" s="26"/>
      <c r="C30" s="29"/>
      <c r="D30" s="29"/>
    </row>
    <row r="31" ht="14.25" customHeight="1"/>
    <row r="32" ht="14.25" customHeight="1">
      <c r="A32" s="2" t="s">
        <v>57</v>
      </c>
      <c r="B32" s="3"/>
      <c r="C32" s="4"/>
      <c r="J32" s="1"/>
    </row>
    <row r="33" ht="14.25" customHeight="1">
      <c r="A33" s="6" t="s">
        <v>3</v>
      </c>
      <c r="B33" s="10" t="s">
        <v>4</v>
      </c>
      <c r="C33" s="8"/>
      <c r="D33" s="9"/>
      <c r="E33" s="6" t="s">
        <v>5</v>
      </c>
      <c r="F33" s="6" t="s">
        <v>6</v>
      </c>
      <c r="G33" s="6" t="s">
        <v>7</v>
      </c>
      <c r="H33" s="6" t="s">
        <v>8</v>
      </c>
      <c r="I33" s="10" t="s">
        <v>9</v>
      </c>
      <c r="J33" s="9"/>
    </row>
    <row r="34" ht="14.25" customHeight="1">
      <c r="A34" s="16"/>
      <c r="B34" s="19" t="s">
        <v>87</v>
      </c>
      <c r="C34" s="18"/>
      <c r="D34" s="20"/>
      <c r="E34" s="21">
        <v>2.0</v>
      </c>
      <c r="F34" s="21">
        <v>10.0</v>
      </c>
      <c r="G34" s="21"/>
      <c r="H34" s="31"/>
      <c r="I34" s="24"/>
      <c r="J34" s="9"/>
    </row>
    <row r="35" ht="14.25" customHeight="1">
      <c r="A35" s="16"/>
      <c r="B35" s="19" t="s">
        <v>88</v>
      </c>
      <c r="C35" s="18"/>
      <c r="D35" s="20"/>
      <c r="E35" s="21">
        <v>3.0</v>
      </c>
      <c r="F35" s="21">
        <v>12.0</v>
      </c>
      <c r="G35" s="21"/>
      <c r="H35" s="31"/>
      <c r="I35" s="24"/>
      <c r="J35" s="9"/>
    </row>
    <row r="36" ht="14.25" customHeight="1">
      <c r="A36" s="16"/>
      <c r="B36" s="19" t="s">
        <v>89</v>
      </c>
      <c r="C36" s="18"/>
      <c r="D36" s="20"/>
      <c r="E36" s="21">
        <v>3.0</v>
      </c>
      <c r="F36" s="21">
        <v>10.0</v>
      </c>
      <c r="G36" s="21"/>
      <c r="H36" s="31"/>
      <c r="I36" s="24"/>
      <c r="J36" s="9"/>
    </row>
    <row r="37" ht="14.25" customHeight="1">
      <c r="A37" s="16" t="s">
        <v>22</v>
      </c>
      <c r="B37" s="30" t="s">
        <v>90</v>
      </c>
      <c r="C37" s="18"/>
      <c r="D37" s="20"/>
      <c r="E37" s="27">
        <v>4.0</v>
      </c>
      <c r="F37" s="27">
        <v>10.0</v>
      </c>
      <c r="G37" s="27" t="s">
        <v>41</v>
      </c>
      <c r="H37" s="31" t="s">
        <v>91</v>
      </c>
      <c r="I37" s="24"/>
      <c r="J37" s="9"/>
    </row>
    <row r="38" ht="14.25" customHeight="1">
      <c r="A38" s="16" t="s">
        <v>17</v>
      </c>
      <c r="B38" s="30" t="s">
        <v>92</v>
      </c>
      <c r="C38" s="18"/>
      <c r="D38" s="20"/>
      <c r="E38" s="27">
        <v>4.0</v>
      </c>
      <c r="F38" s="27">
        <v>10.0</v>
      </c>
      <c r="G38" s="27">
        <v>8.0</v>
      </c>
      <c r="H38" s="16"/>
      <c r="I38" s="24"/>
      <c r="J38" s="9"/>
    </row>
    <row r="39" ht="14.25" customHeight="1">
      <c r="A39" s="16" t="s">
        <v>19</v>
      </c>
      <c r="B39" s="30" t="s">
        <v>93</v>
      </c>
      <c r="C39" s="18"/>
      <c r="D39" s="20"/>
      <c r="E39" s="27">
        <v>3.0</v>
      </c>
      <c r="F39" s="27">
        <v>12.0</v>
      </c>
      <c r="G39" s="27">
        <v>8.0</v>
      </c>
      <c r="H39" s="16"/>
      <c r="I39" s="24"/>
      <c r="J39" s="9"/>
    </row>
    <row r="40" ht="14.25" customHeight="1">
      <c r="A40" s="16" t="s">
        <v>23</v>
      </c>
      <c r="B40" s="30" t="s">
        <v>94</v>
      </c>
      <c r="C40" s="18"/>
      <c r="D40" s="20"/>
      <c r="E40" s="27">
        <v>3.0</v>
      </c>
      <c r="F40" s="27">
        <v>10.0</v>
      </c>
      <c r="G40" s="27">
        <v>8.0</v>
      </c>
      <c r="H40" s="16"/>
      <c r="I40" s="24"/>
      <c r="J40" s="9"/>
    </row>
    <row r="41" ht="14.25" customHeight="1">
      <c r="A41" s="16" t="s">
        <v>47</v>
      </c>
      <c r="B41" s="30" t="s">
        <v>95</v>
      </c>
      <c r="C41" s="18"/>
      <c r="D41" s="20"/>
      <c r="E41" s="27">
        <v>4.0</v>
      </c>
      <c r="F41" s="27">
        <v>10.0</v>
      </c>
      <c r="G41" s="27">
        <v>8.0</v>
      </c>
      <c r="H41" s="16"/>
      <c r="I41" s="24"/>
      <c r="J41" s="9"/>
    </row>
    <row r="42" ht="14.25" customHeight="1">
      <c r="A42" s="16" t="s">
        <v>25</v>
      </c>
      <c r="B42" s="30" t="s">
        <v>96</v>
      </c>
      <c r="C42" s="18"/>
      <c r="D42" s="20"/>
      <c r="E42" s="27">
        <v>3.0</v>
      </c>
      <c r="F42" s="27">
        <v>12.0</v>
      </c>
      <c r="G42" s="27">
        <v>8.0</v>
      </c>
      <c r="H42" s="16"/>
      <c r="I42" s="24"/>
      <c r="J42" s="9"/>
    </row>
    <row r="43" ht="14.25" customHeight="1">
      <c r="A43" s="16" t="s">
        <v>23</v>
      </c>
      <c r="B43" s="60" t="s">
        <v>98</v>
      </c>
      <c r="C43" s="8"/>
      <c r="D43" s="9"/>
      <c r="E43" s="27">
        <v>3.0</v>
      </c>
      <c r="F43" s="27">
        <v>12.0</v>
      </c>
      <c r="G43" s="27">
        <v>8.0</v>
      </c>
      <c r="H43" s="16"/>
      <c r="I43" s="24"/>
      <c r="J43" s="9"/>
    </row>
    <row r="44" ht="14.25" customHeight="1">
      <c r="B44" s="26"/>
      <c r="C44" s="29"/>
      <c r="D44" s="29"/>
    </row>
    <row r="45" ht="14.25" customHeight="1"/>
    <row r="46" ht="14.25" customHeight="1">
      <c r="A46" s="2" t="s">
        <v>66</v>
      </c>
      <c r="B46" s="3"/>
      <c r="C46" s="4"/>
      <c r="J46" s="1"/>
    </row>
    <row r="47" ht="14.25" customHeight="1">
      <c r="A47" s="6" t="s">
        <v>3</v>
      </c>
      <c r="B47" s="10" t="s">
        <v>4</v>
      </c>
      <c r="C47" s="8"/>
      <c r="D47" s="9"/>
      <c r="E47" s="6" t="s">
        <v>5</v>
      </c>
      <c r="F47" s="6" t="s">
        <v>6</v>
      </c>
      <c r="G47" s="6" t="s">
        <v>7</v>
      </c>
      <c r="H47" s="6" t="s">
        <v>8</v>
      </c>
      <c r="I47" s="10" t="s">
        <v>9</v>
      </c>
      <c r="J47" s="9"/>
    </row>
    <row r="48" ht="14.25" customHeight="1">
      <c r="A48" s="16"/>
      <c r="B48" s="26"/>
      <c r="C48" s="29"/>
      <c r="D48" s="29"/>
      <c r="E48" s="16"/>
      <c r="F48" s="16"/>
      <c r="G48" s="16"/>
      <c r="H48" s="16"/>
      <c r="I48" s="24"/>
      <c r="J48" s="9"/>
    </row>
    <row r="49" ht="14.25" customHeight="1">
      <c r="A49" s="16"/>
      <c r="B49" s="26"/>
      <c r="C49" s="29"/>
      <c r="D49" s="29"/>
      <c r="E49" s="16"/>
      <c r="F49" s="16"/>
      <c r="G49" s="16"/>
      <c r="H49" s="16"/>
      <c r="I49" s="24"/>
      <c r="J49" s="9"/>
    </row>
    <row r="50" ht="14.25" customHeight="1">
      <c r="A50" s="16"/>
      <c r="B50" s="26"/>
      <c r="C50" s="29"/>
      <c r="D50" s="29"/>
      <c r="E50" s="16"/>
      <c r="F50" s="16"/>
      <c r="G50" s="16"/>
      <c r="H50" s="16"/>
      <c r="I50" s="24"/>
      <c r="J50" s="9"/>
    </row>
    <row r="51" ht="14.25" customHeight="1">
      <c r="A51" s="16"/>
      <c r="B51" s="26"/>
      <c r="C51" s="29"/>
      <c r="D51" s="29"/>
      <c r="E51" s="16"/>
      <c r="F51" s="16"/>
      <c r="G51" s="16"/>
      <c r="H51" s="16"/>
      <c r="I51" s="24"/>
      <c r="J51" s="9"/>
    </row>
    <row r="52" ht="14.25" customHeight="1">
      <c r="A52" s="16"/>
      <c r="B52" s="26"/>
      <c r="C52" s="29"/>
      <c r="D52" s="29"/>
      <c r="E52" s="16"/>
      <c r="F52" s="16"/>
      <c r="G52" s="16"/>
      <c r="H52" s="16"/>
      <c r="I52" s="24"/>
      <c r="J52" s="9"/>
    </row>
    <row r="53" ht="14.25" customHeight="1">
      <c r="A53" s="16"/>
      <c r="B53" s="26"/>
      <c r="C53" s="29"/>
      <c r="D53" s="29"/>
      <c r="E53" s="16"/>
      <c r="F53" s="16"/>
      <c r="G53" s="16"/>
      <c r="H53" s="16"/>
      <c r="I53" s="24"/>
      <c r="J53" s="9"/>
    </row>
    <row r="54" ht="14.25" customHeight="1">
      <c r="A54" s="16"/>
      <c r="B54" s="26"/>
      <c r="C54" s="29"/>
      <c r="D54" s="29"/>
      <c r="E54" s="16"/>
      <c r="F54" s="16"/>
      <c r="G54" s="16"/>
      <c r="H54" s="16"/>
      <c r="I54" s="24"/>
      <c r="J54" s="9"/>
    </row>
    <row r="55" ht="14.25" customHeight="1">
      <c r="A55" s="16"/>
      <c r="B55" s="26"/>
      <c r="C55" s="29"/>
      <c r="D55" s="29"/>
      <c r="E55" s="16"/>
      <c r="F55" s="16"/>
      <c r="G55" s="16"/>
      <c r="H55" s="16"/>
      <c r="I55" s="24"/>
      <c r="J55" s="9"/>
    </row>
    <row r="56" ht="14.25" customHeight="1">
      <c r="A56" s="16"/>
      <c r="B56" s="26"/>
      <c r="C56" s="29"/>
      <c r="D56" s="29"/>
      <c r="E56" s="16"/>
      <c r="F56" s="16"/>
      <c r="G56" s="16"/>
      <c r="H56" s="16"/>
      <c r="I56" s="24"/>
      <c r="J56" s="9"/>
    </row>
    <row r="57" ht="14.25" customHeight="1">
      <c r="A57" s="16"/>
      <c r="B57" s="58"/>
      <c r="C57" s="8"/>
      <c r="D57" s="9"/>
      <c r="E57" s="16"/>
      <c r="F57" s="16"/>
      <c r="G57" s="16"/>
      <c r="H57" s="16"/>
      <c r="I57" s="24"/>
      <c r="J57" s="9"/>
    </row>
    <row r="58" ht="14.25" customHeight="1">
      <c r="B58" s="26"/>
      <c r="C58" s="29"/>
      <c r="D58" s="29"/>
    </row>
    <row r="59" ht="14.25" customHeight="1"/>
    <row r="60" ht="14.25" customHeight="1">
      <c r="A60" s="2" t="s">
        <v>76</v>
      </c>
      <c r="B60" s="3"/>
      <c r="C60" s="4"/>
      <c r="J60" s="1"/>
    </row>
    <row r="61" ht="14.25" customHeight="1">
      <c r="A61" s="6" t="s">
        <v>3</v>
      </c>
      <c r="B61" s="10" t="s">
        <v>4</v>
      </c>
      <c r="C61" s="8"/>
      <c r="D61" s="9"/>
      <c r="E61" s="6" t="s">
        <v>5</v>
      </c>
      <c r="F61" s="6" t="s">
        <v>6</v>
      </c>
      <c r="G61" s="6" t="s">
        <v>7</v>
      </c>
      <c r="H61" s="6" t="s">
        <v>8</v>
      </c>
      <c r="I61" s="10" t="s">
        <v>9</v>
      </c>
      <c r="J61" s="9"/>
    </row>
    <row r="62" ht="14.25" customHeight="1">
      <c r="A62" s="16"/>
      <c r="B62" s="26"/>
      <c r="C62" s="29"/>
      <c r="D62" s="29"/>
      <c r="E62" s="16"/>
      <c r="F62" s="16"/>
      <c r="G62" s="16"/>
      <c r="H62" s="16"/>
      <c r="I62" s="24"/>
      <c r="J62" s="9"/>
    </row>
    <row r="63" ht="14.25" customHeight="1">
      <c r="A63" s="16"/>
      <c r="B63" s="26"/>
      <c r="C63" s="29"/>
      <c r="D63" s="29"/>
      <c r="E63" s="16"/>
      <c r="F63" s="16"/>
      <c r="G63" s="16"/>
      <c r="H63" s="16"/>
      <c r="I63" s="24"/>
      <c r="J63" s="9"/>
    </row>
    <row r="64" ht="14.25" customHeight="1">
      <c r="A64" s="16"/>
      <c r="B64" s="26"/>
      <c r="C64" s="29"/>
      <c r="D64" s="29"/>
      <c r="E64" s="16"/>
      <c r="F64" s="16"/>
      <c r="G64" s="16"/>
      <c r="H64" s="16"/>
      <c r="I64" s="24"/>
      <c r="J64" s="9"/>
    </row>
    <row r="65" ht="14.25" customHeight="1">
      <c r="A65" s="16"/>
      <c r="B65" s="26"/>
      <c r="C65" s="29"/>
      <c r="D65" s="29"/>
      <c r="E65" s="16"/>
      <c r="F65" s="16"/>
      <c r="G65" s="16"/>
      <c r="H65" s="16"/>
      <c r="I65" s="24"/>
      <c r="J65" s="9"/>
    </row>
    <row r="66" ht="14.25" customHeight="1">
      <c r="A66" s="16"/>
      <c r="B66" s="26"/>
      <c r="C66" s="29"/>
      <c r="D66" s="29"/>
      <c r="E66" s="16"/>
      <c r="F66" s="16"/>
      <c r="G66" s="16"/>
      <c r="H66" s="16"/>
      <c r="I66" s="24"/>
      <c r="J66" s="9"/>
    </row>
    <row r="67" ht="14.25" customHeight="1">
      <c r="A67" s="16"/>
      <c r="B67" s="26"/>
      <c r="C67" s="29"/>
      <c r="D67" s="29"/>
      <c r="E67" s="16"/>
      <c r="F67" s="16"/>
      <c r="G67" s="16"/>
      <c r="H67" s="16"/>
      <c r="I67" s="24"/>
      <c r="J67" s="9"/>
    </row>
    <row r="68" ht="14.25" customHeight="1">
      <c r="A68" s="16"/>
      <c r="B68" s="26"/>
      <c r="C68" s="29"/>
      <c r="D68" s="29"/>
      <c r="E68" s="16"/>
      <c r="F68" s="16"/>
      <c r="G68" s="16"/>
      <c r="H68" s="16"/>
      <c r="I68" s="24"/>
      <c r="J68" s="9"/>
    </row>
    <row r="69" ht="14.25" customHeight="1">
      <c r="A69" s="16"/>
      <c r="B69" s="26"/>
      <c r="C69" s="29"/>
      <c r="D69" s="29"/>
      <c r="E69" s="16"/>
      <c r="F69" s="16"/>
      <c r="G69" s="16"/>
      <c r="H69" s="16"/>
      <c r="I69" s="24"/>
      <c r="J69" s="9"/>
    </row>
    <row r="70" ht="14.25" customHeight="1">
      <c r="A70" s="16"/>
      <c r="B70" s="26"/>
      <c r="C70" s="29"/>
      <c r="D70" s="29"/>
      <c r="E70" s="16"/>
      <c r="F70" s="16"/>
      <c r="G70" s="16"/>
      <c r="H70" s="16"/>
      <c r="I70" s="24"/>
      <c r="J70" s="9"/>
    </row>
    <row r="71" ht="14.25" customHeight="1">
      <c r="A71" s="16"/>
      <c r="B71" s="58"/>
      <c r="C71" s="8"/>
      <c r="D71" s="9"/>
      <c r="E71" s="16"/>
      <c r="F71" s="16"/>
      <c r="G71" s="16"/>
      <c r="H71" s="16"/>
      <c r="I71" s="24"/>
      <c r="J71" s="9"/>
    </row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5">
    <mergeCell ref="I24:J24"/>
    <mergeCell ref="I25:J25"/>
    <mergeCell ref="I9:J9"/>
    <mergeCell ref="I11:J11"/>
    <mergeCell ref="I19:J19"/>
    <mergeCell ref="I20:J20"/>
    <mergeCell ref="I21:J21"/>
    <mergeCell ref="I22:J22"/>
    <mergeCell ref="I23:J23"/>
    <mergeCell ref="A4:C4"/>
    <mergeCell ref="B5:D5"/>
    <mergeCell ref="I5:J5"/>
    <mergeCell ref="M5:U5"/>
    <mergeCell ref="W5:Y5"/>
    <mergeCell ref="B6:D6"/>
    <mergeCell ref="B7:D7"/>
    <mergeCell ref="I10:J10"/>
    <mergeCell ref="M10:U10"/>
    <mergeCell ref="I6:J6"/>
    <mergeCell ref="I7:J7"/>
    <mergeCell ref="B8:D8"/>
    <mergeCell ref="I8:J8"/>
    <mergeCell ref="B9:D9"/>
    <mergeCell ref="B10:D10"/>
    <mergeCell ref="B11:D11"/>
    <mergeCell ref="I15:J15"/>
    <mergeCell ref="M15:U15"/>
    <mergeCell ref="M20:U20"/>
    <mergeCell ref="B12:D12"/>
    <mergeCell ref="I12:J12"/>
    <mergeCell ref="B13:D13"/>
    <mergeCell ref="I13:J13"/>
    <mergeCell ref="B14:D14"/>
    <mergeCell ref="I14:J14"/>
    <mergeCell ref="B15:D15"/>
    <mergeCell ref="B24:D24"/>
    <mergeCell ref="B25:D25"/>
    <mergeCell ref="M25:U25"/>
    <mergeCell ref="I26:J26"/>
    <mergeCell ref="B16:D16"/>
    <mergeCell ref="A18:C18"/>
    <mergeCell ref="B19:D19"/>
    <mergeCell ref="B20:D20"/>
    <mergeCell ref="B21:D21"/>
    <mergeCell ref="B22:D22"/>
    <mergeCell ref="B23:D23"/>
    <mergeCell ref="B50:D50"/>
    <mergeCell ref="B51:D51"/>
    <mergeCell ref="B52:D52"/>
    <mergeCell ref="B53:D53"/>
    <mergeCell ref="B54:D54"/>
    <mergeCell ref="B55:D55"/>
    <mergeCell ref="B56:D56"/>
    <mergeCell ref="B65:D65"/>
    <mergeCell ref="B66:D66"/>
    <mergeCell ref="B67:D67"/>
    <mergeCell ref="B68:D68"/>
    <mergeCell ref="B69:D69"/>
    <mergeCell ref="B70:D70"/>
    <mergeCell ref="B71:D71"/>
    <mergeCell ref="B57:D57"/>
    <mergeCell ref="B58:D58"/>
    <mergeCell ref="A60:C60"/>
    <mergeCell ref="B61:D61"/>
    <mergeCell ref="B62:D62"/>
    <mergeCell ref="B63:D63"/>
    <mergeCell ref="B64:D64"/>
    <mergeCell ref="I70:J70"/>
    <mergeCell ref="I71:J71"/>
    <mergeCell ref="I63:J63"/>
    <mergeCell ref="I64:J64"/>
    <mergeCell ref="I65:J65"/>
    <mergeCell ref="I66:J66"/>
    <mergeCell ref="I67:J67"/>
    <mergeCell ref="I68:J68"/>
    <mergeCell ref="I69:J69"/>
    <mergeCell ref="B26:D26"/>
    <mergeCell ref="B27:D27"/>
    <mergeCell ref="I27:J27"/>
    <mergeCell ref="B28:D28"/>
    <mergeCell ref="I28:J28"/>
    <mergeCell ref="B29:D29"/>
    <mergeCell ref="I29:J29"/>
    <mergeCell ref="B30:D30"/>
    <mergeCell ref="A32:C32"/>
    <mergeCell ref="B33:D33"/>
    <mergeCell ref="I33:J33"/>
    <mergeCell ref="B34:D34"/>
    <mergeCell ref="I34:J34"/>
    <mergeCell ref="I35:J35"/>
    <mergeCell ref="B35:D35"/>
    <mergeCell ref="B36:D36"/>
    <mergeCell ref="B37:D37"/>
    <mergeCell ref="B38:D38"/>
    <mergeCell ref="B39:D39"/>
    <mergeCell ref="B40:D40"/>
    <mergeCell ref="B41:D41"/>
    <mergeCell ref="I36:J36"/>
    <mergeCell ref="I37:J37"/>
    <mergeCell ref="I38:J38"/>
    <mergeCell ref="I39:J39"/>
    <mergeCell ref="I40:J40"/>
    <mergeCell ref="I41:J41"/>
    <mergeCell ref="I42:J42"/>
    <mergeCell ref="B42:D42"/>
    <mergeCell ref="B43:D43"/>
    <mergeCell ref="B44:D44"/>
    <mergeCell ref="A46:C46"/>
    <mergeCell ref="B47:D47"/>
    <mergeCell ref="B48:D48"/>
    <mergeCell ref="B49:D49"/>
    <mergeCell ref="I43:J43"/>
    <mergeCell ref="I47:J47"/>
    <mergeCell ref="I48:J48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61:J61"/>
    <mergeCell ref="I62:J62"/>
  </mergeCells>
  <dataValidations>
    <dataValidation type="list" allowBlank="1" showErrorMessage="1" sqref="J3 A6:A15 A20:A29 A34:A43 A48:A57 A62:A71">
      <formula1>Datos!$B$2:$B$12</formula1>
    </dataValidation>
    <dataValidation type="list" allowBlank="1" showErrorMessage="1" sqref="J4 J18 J32 J46 J60">
      <formula1>Datos!$D$2:$D$14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7" width="10.71"/>
  </cols>
  <sheetData>
    <row r="1" ht="14.25" customHeight="1"/>
    <row r="2" ht="14.25" customHeight="1"/>
    <row r="3" ht="14.25" customHeight="1">
      <c r="J3" s="1"/>
    </row>
    <row r="4" ht="14.25" customHeight="1">
      <c r="A4" s="2" t="s">
        <v>0</v>
      </c>
      <c r="B4" s="3"/>
      <c r="C4" s="4"/>
      <c r="J4" s="1"/>
      <c r="X4" s="1"/>
      <c r="Y4" s="1"/>
      <c r="Z4" s="1"/>
      <c r="AA4" s="1"/>
    </row>
    <row r="5" ht="14.25" customHeight="1">
      <c r="A5" s="6" t="s">
        <v>3</v>
      </c>
      <c r="B5" s="10" t="s">
        <v>4</v>
      </c>
      <c r="C5" s="8"/>
      <c r="D5" s="9"/>
      <c r="E5" s="6" t="s">
        <v>5</v>
      </c>
      <c r="F5" s="6" t="s">
        <v>6</v>
      </c>
      <c r="G5" s="6" t="s">
        <v>7</v>
      </c>
      <c r="H5" s="6" t="s">
        <v>8</v>
      </c>
      <c r="I5" s="10" t="s">
        <v>9</v>
      </c>
      <c r="J5" s="9"/>
      <c r="M5" s="11" t="s">
        <v>0</v>
      </c>
      <c r="N5" s="12"/>
      <c r="O5" s="12"/>
      <c r="P5" s="12"/>
      <c r="Q5" s="12"/>
      <c r="R5" s="12"/>
      <c r="S5" s="12"/>
      <c r="T5" s="12"/>
      <c r="U5" s="13"/>
      <c r="W5" s="14" t="s">
        <v>11</v>
      </c>
      <c r="X5" s="12"/>
      <c r="Y5" s="13"/>
      <c r="AA5" s="1"/>
    </row>
    <row r="6" ht="14.25" customHeight="1">
      <c r="A6" s="16"/>
      <c r="B6" s="26"/>
      <c r="C6" s="29"/>
      <c r="D6" s="29"/>
      <c r="E6" s="16"/>
      <c r="F6" s="16"/>
      <c r="G6" s="16"/>
      <c r="H6" s="31"/>
      <c r="I6" s="24"/>
      <c r="J6" s="9"/>
      <c r="M6" s="25"/>
      <c r="N6" s="28" t="s">
        <v>17</v>
      </c>
      <c r="O6" s="28" t="s">
        <v>19</v>
      </c>
      <c r="P6" s="28" t="s">
        <v>20</v>
      </c>
      <c r="Q6" s="28" t="s">
        <v>21</v>
      </c>
      <c r="R6" s="28" t="s">
        <v>22</v>
      </c>
      <c r="S6" s="28" t="s">
        <v>23</v>
      </c>
      <c r="T6" s="28" t="s">
        <v>24</v>
      </c>
      <c r="U6" s="28" t="s">
        <v>25</v>
      </c>
      <c r="W6" s="28" t="s">
        <v>17</v>
      </c>
      <c r="X6" s="1">
        <f>SUM(N7,N12,N17,N22,N27)</f>
        <v>0</v>
      </c>
      <c r="AA6" s="1"/>
    </row>
    <row r="7" ht="14.25" customHeight="1">
      <c r="A7" s="16"/>
      <c r="B7" s="26"/>
      <c r="C7" s="29"/>
      <c r="D7" s="29"/>
      <c r="E7" s="16"/>
      <c r="F7" s="16"/>
      <c r="G7" s="16"/>
      <c r="H7" s="31"/>
      <c r="I7" s="24"/>
      <c r="J7" s="9"/>
      <c r="M7" s="34" t="s">
        <v>36</v>
      </c>
      <c r="N7" s="35">
        <f>SUMIF(A6:A15,"Empuje",E6:E15)</f>
        <v>0</v>
      </c>
      <c r="O7" s="35">
        <f>SUMIF(A6:A15,"Tracción",E6:E15)</f>
        <v>0</v>
      </c>
      <c r="P7" s="35">
        <f>SUMIF($A6:$A15,"Dom. Rodillas",$E6:$E15)</f>
        <v>0</v>
      </c>
      <c r="Q7" s="35">
        <f>SUMIF($A6:$A15,"Dom. Caderas",$E6:$E15)</f>
        <v>0</v>
      </c>
      <c r="R7" s="35">
        <f>SUMIF($A6:$A15,"A. Empuje",$E6:$E15)</f>
        <v>0</v>
      </c>
      <c r="S7" s="36">
        <f>SUMIF(A6:A15,"A. Tracción",E6:E15)</f>
        <v>0</v>
      </c>
      <c r="T7" s="35">
        <f>SUMIF($A6:$A15,"A. Rodillas",$E6:$E15)</f>
        <v>0</v>
      </c>
      <c r="U7" s="35">
        <f>SUMIF($A6:$A15,"A. Cadera",$E6:$E15)</f>
        <v>0</v>
      </c>
      <c r="W7" s="28" t="s">
        <v>19</v>
      </c>
      <c r="X7" s="1">
        <f>SUM(O7,O12,O17,O22,O27)</f>
        <v>0</v>
      </c>
      <c r="AA7" s="1"/>
    </row>
    <row r="8" ht="14.25" customHeight="1">
      <c r="A8" s="16"/>
      <c r="B8" s="26"/>
      <c r="C8" s="29"/>
      <c r="D8" s="29"/>
      <c r="E8" s="16"/>
      <c r="F8" s="16"/>
      <c r="G8" s="16"/>
      <c r="H8" s="31"/>
      <c r="I8" s="24"/>
      <c r="J8" s="9"/>
      <c r="M8" s="34" t="s">
        <v>7</v>
      </c>
      <c r="N8" s="35" t="str">
        <f>AVERAGEIF($A6:$A15,"Empuje",$G6:$G15)</f>
        <v>#DIV/0!</v>
      </c>
      <c r="O8" s="35" t="str">
        <f>AVERAGEIF($A6:$A15,"Traccion",$G6:$G15)</f>
        <v>#DIV/0!</v>
      </c>
      <c r="P8" s="35" t="str">
        <f>AVERAGEIF($A6:$A15,"Dom. Rodillas",$G6:$G15)</f>
        <v>#DIV/0!</v>
      </c>
      <c r="Q8" s="35" t="str">
        <f>AVERAGEIF($A6:$A15,"Dom. Cadera",$G6:$G15)</f>
        <v>#DIV/0!</v>
      </c>
      <c r="R8" s="35" t="str">
        <f>AVERAGEIF($A6:$A15,"A. Empuje",$G6:$G15)</f>
        <v>#DIV/0!</v>
      </c>
      <c r="S8" s="35" t="str">
        <f>AVERAGEIF($A6:$A15,"A. Tracción",$G6:$G15)</f>
        <v>#DIV/0!</v>
      </c>
      <c r="T8" s="35" t="str">
        <f>AVERAGEIF($A6:$A15,"A. Rodillas",$G6:$G15)</f>
        <v>#DIV/0!</v>
      </c>
      <c r="U8" s="35" t="str">
        <f>AVERAGEIF($A6:$A15,"A. Cadera",$G6:$G15)</f>
        <v>#DIV/0!</v>
      </c>
      <c r="W8" s="28" t="s">
        <v>20</v>
      </c>
      <c r="X8" s="1">
        <f>SUM(P7,P12,P17,P22,P27)</f>
        <v>0</v>
      </c>
      <c r="AA8" s="1"/>
    </row>
    <row r="9" ht="14.25" customHeight="1">
      <c r="A9" s="16"/>
      <c r="B9" s="26"/>
      <c r="C9" s="29"/>
      <c r="D9" s="29"/>
      <c r="E9" s="16"/>
      <c r="F9" s="16"/>
      <c r="G9" s="16"/>
      <c r="H9" s="31"/>
      <c r="I9" s="24"/>
      <c r="J9" s="9"/>
      <c r="M9" s="25"/>
      <c r="N9" s="25"/>
      <c r="O9" s="25"/>
      <c r="P9" s="25"/>
      <c r="Q9" s="25"/>
      <c r="R9" s="25"/>
      <c r="S9" s="25"/>
      <c r="T9" s="25"/>
      <c r="U9" s="25"/>
      <c r="W9" s="28" t="s">
        <v>21</v>
      </c>
      <c r="X9" s="1">
        <f>SUM(Q7,Q12,Q17,Q22,Q27)</f>
        <v>0</v>
      </c>
      <c r="AA9" s="1"/>
    </row>
    <row r="10" ht="14.25" customHeight="1">
      <c r="A10" s="16"/>
      <c r="B10" s="26"/>
      <c r="C10" s="29"/>
      <c r="D10" s="29"/>
      <c r="E10" s="16"/>
      <c r="F10" s="16"/>
      <c r="G10" s="16"/>
      <c r="H10" s="31"/>
      <c r="I10" s="24"/>
      <c r="J10" s="9"/>
      <c r="M10" s="11" t="s">
        <v>45</v>
      </c>
      <c r="N10" s="12"/>
      <c r="O10" s="12"/>
      <c r="P10" s="12"/>
      <c r="Q10" s="12"/>
      <c r="R10" s="12"/>
      <c r="S10" s="12"/>
      <c r="T10" s="12"/>
      <c r="U10" s="13"/>
      <c r="W10" s="28" t="s">
        <v>22</v>
      </c>
      <c r="X10" s="1">
        <f>SUM(R7,R12,R17,R22,R27)</f>
        <v>0</v>
      </c>
      <c r="AA10" s="1"/>
    </row>
    <row r="11" ht="14.25" customHeight="1">
      <c r="A11" s="16"/>
      <c r="B11" s="26"/>
      <c r="C11" s="29"/>
      <c r="D11" s="29"/>
      <c r="E11" s="16"/>
      <c r="F11" s="16"/>
      <c r="G11" s="16"/>
      <c r="H11" s="43"/>
      <c r="I11" s="24"/>
      <c r="J11" s="9"/>
      <c r="M11" s="25"/>
      <c r="N11" s="28" t="s">
        <v>17</v>
      </c>
      <c r="O11" s="28" t="s">
        <v>19</v>
      </c>
      <c r="P11" s="28" t="s">
        <v>20</v>
      </c>
      <c r="Q11" s="28" t="s">
        <v>21</v>
      </c>
      <c r="R11" s="28" t="s">
        <v>22</v>
      </c>
      <c r="S11" s="28" t="s">
        <v>23</v>
      </c>
      <c r="T11" s="28" t="s">
        <v>24</v>
      </c>
      <c r="U11" s="28" t="s">
        <v>25</v>
      </c>
      <c r="W11" s="28" t="s">
        <v>23</v>
      </c>
      <c r="X11" s="1">
        <f>SUM(S7,S12,S17,S22,S27)</f>
        <v>0</v>
      </c>
      <c r="AA11" s="1"/>
    </row>
    <row r="12" ht="14.25" customHeight="1">
      <c r="A12" s="16"/>
      <c r="B12" s="26"/>
      <c r="C12" s="29"/>
      <c r="D12" s="29"/>
      <c r="E12" s="16"/>
      <c r="F12" s="16"/>
      <c r="G12" s="16"/>
      <c r="H12" s="43"/>
      <c r="I12" s="24"/>
      <c r="J12" s="9"/>
      <c r="M12" s="34" t="s">
        <v>36</v>
      </c>
      <c r="N12" s="35">
        <f>SUMIF($A20:$A29,"Empuje",$E20:$E29)</f>
        <v>0</v>
      </c>
      <c r="O12" s="35">
        <f>SUMIF($A20:$A29,"Tracción",$E20:$E29)</f>
        <v>0</v>
      </c>
      <c r="P12" s="35">
        <f>SUMIF($A20:$A29,"Dom. Rodillas",$E20:$E29)</f>
        <v>0</v>
      </c>
      <c r="Q12" s="35">
        <f>SUMIF($A20:$A29,"Dom. Caderas",$E20:$E29)</f>
        <v>0</v>
      </c>
      <c r="R12" s="35">
        <f>SUMIF($A20:$A29,"A. Empuje",$E20:$E29)</f>
        <v>0</v>
      </c>
      <c r="S12" s="35">
        <f>SUMIF($A20:$A29,"A. Tracción",$E20:$E29)</f>
        <v>0</v>
      </c>
      <c r="T12" s="35">
        <f>SUMIF($A20:$A29,"A. Rodillas",$E20:$E29)</f>
        <v>0</v>
      </c>
      <c r="U12" s="35">
        <f>SUMIF($A20:$A29,"A. Cadera",$E20:$E29)</f>
        <v>0</v>
      </c>
      <c r="W12" s="28" t="s">
        <v>24</v>
      </c>
      <c r="X12" s="1">
        <f>SUM(T7,T12,T17,T22,T27)</f>
        <v>0</v>
      </c>
      <c r="AA12" s="1"/>
    </row>
    <row r="13" ht="14.25" customHeight="1">
      <c r="A13" s="16"/>
      <c r="B13" s="26"/>
      <c r="C13" s="29"/>
      <c r="D13" s="29"/>
      <c r="E13" s="16"/>
      <c r="F13" s="16"/>
      <c r="G13" s="16"/>
      <c r="H13" s="43"/>
      <c r="I13" s="24"/>
      <c r="J13" s="9"/>
      <c r="M13" s="34" t="s">
        <v>7</v>
      </c>
      <c r="N13" s="35" t="str">
        <f>AVERAGEIF($A20:$A29,"Empuje",$G20:$G29)</f>
        <v>#DIV/0!</v>
      </c>
      <c r="O13" s="35" t="str">
        <f>AVERAGEIF($A20:$A29,"Tracción",$G20:$G29)</f>
        <v>#DIV/0!</v>
      </c>
      <c r="P13" s="35" t="str">
        <f>AVERAGEIF($A20:$A29,"Dom. Rodillas",$G20:$G29)</f>
        <v>#DIV/0!</v>
      </c>
      <c r="Q13" s="35" t="str">
        <f>AVERAGEIF($A20:$A29,"Dom.Cadera",$G20:$G29)</f>
        <v>#DIV/0!</v>
      </c>
      <c r="R13" s="35" t="str">
        <f>AVERAGEIF($A20:$A29,"A. Empuje",$G20:$G29)</f>
        <v>#DIV/0!</v>
      </c>
      <c r="S13" s="35" t="str">
        <f>AVERAGEIF($A20:$A29,"A. Tracción",$G20:$G29)</f>
        <v>#DIV/0!</v>
      </c>
      <c r="T13" s="35" t="str">
        <f>AVERAGEIF($A20:$A29,"A. Rodillas",$G20:$G29)</f>
        <v>#DIV/0!</v>
      </c>
      <c r="U13" s="35" t="str">
        <f>AVERAGEIF($A20:$A29,"A. Cadera",$G20:$G29)</f>
        <v>#DIV/0!</v>
      </c>
      <c r="W13" s="28" t="s">
        <v>25</v>
      </c>
      <c r="X13" s="1">
        <f>SUM(U7,U12,U17,U22,U27)</f>
        <v>0</v>
      </c>
      <c r="AA13" s="1"/>
    </row>
    <row r="14" ht="14.25" customHeight="1">
      <c r="A14" s="16"/>
      <c r="B14" s="26"/>
      <c r="C14" s="29"/>
      <c r="D14" s="29"/>
      <c r="E14" s="16"/>
      <c r="F14" s="16"/>
      <c r="G14" s="16"/>
      <c r="H14" s="43"/>
      <c r="I14" s="24"/>
      <c r="J14" s="9"/>
      <c r="M14" s="25"/>
      <c r="N14" s="25"/>
      <c r="O14" s="25"/>
      <c r="P14" s="25"/>
      <c r="Q14" s="25"/>
      <c r="R14" s="25"/>
      <c r="S14" s="25"/>
      <c r="T14" s="25"/>
      <c r="U14" s="25"/>
      <c r="W14" s="1"/>
      <c r="X14" s="1"/>
      <c r="AA14" s="1"/>
    </row>
    <row r="15" ht="14.25" customHeight="1">
      <c r="A15" s="16"/>
      <c r="B15" s="26"/>
      <c r="C15" s="29"/>
      <c r="D15" s="29"/>
      <c r="E15" s="16"/>
      <c r="F15" s="16"/>
      <c r="G15" s="16"/>
      <c r="H15" s="16"/>
      <c r="I15" s="24"/>
      <c r="J15" s="9"/>
      <c r="M15" s="11" t="s">
        <v>57</v>
      </c>
      <c r="N15" s="12"/>
      <c r="O15" s="12"/>
      <c r="P15" s="12"/>
      <c r="Q15" s="12"/>
      <c r="R15" s="12"/>
      <c r="S15" s="12"/>
      <c r="T15" s="12"/>
      <c r="U15" s="13"/>
      <c r="W15" s="1"/>
      <c r="X15" s="1"/>
      <c r="AA15" s="1"/>
    </row>
    <row r="16" ht="14.25" customHeight="1">
      <c r="B16" s="26"/>
      <c r="C16" s="29"/>
      <c r="D16" s="29"/>
      <c r="M16" s="25"/>
      <c r="N16" s="28" t="s">
        <v>17</v>
      </c>
      <c r="O16" s="28" t="s">
        <v>19</v>
      </c>
      <c r="P16" s="28" t="s">
        <v>20</v>
      </c>
      <c r="Q16" s="28" t="s">
        <v>21</v>
      </c>
      <c r="R16" s="28" t="s">
        <v>22</v>
      </c>
      <c r="S16" s="28" t="s">
        <v>23</v>
      </c>
      <c r="T16" s="28" t="s">
        <v>24</v>
      </c>
      <c r="U16" s="28" t="s">
        <v>25</v>
      </c>
      <c r="W16" s="1"/>
      <c r="X16" s="1"/>
      <c r="Y16" s="1"/>
      <c r="Z16" s="1"/>
      <c r="AA16" s="1"/>
    </row>
    <row r="17" ht="14.25" customHeight="1">
      <c r="M17" s="34" t="s">
        <v>36</v>
      </c>
      <c r="N17" s="35">
        <f>SUMIF($A34:$A43,"Empuje",$E34:$E43)</f>
        <v>0</v>
      </c>
      <c r="O17" s="35">
        <f>SUMIF($A34:$A43,"Tracción",$E34:$E43)</f>
        <v>0</v>
      </c>
      <c r="P17" s="35">
        <f>SUMIF($A34:$A43,"Dom. Rodillas",$E34:$E43)</f>
        <v>0</v>
      </c>
      <c r="Q17" s="35">
        <f>SUMIF($A34:$A43,"Dom. Caderas",$E34:$E43)</f>
        <v>0</v>
      </c>
      <c r="R17" s="35">
        <f>SUMIF($A34:$A43,"A. Empuje",$E34:$E43)</f>
        <v>0</v>
      </c>
      <c r="S17" s="35">
        <f>SUMIF($A34:$A43,"A. Tracción",$E34:$E43)</f>
        <v>0</v>
      </c>
      <c r="T17" s="35">
        <f>SUMIF($A34:$A43,"A. Rodillas",$E34:$E43)</f>
        <v>0</v>
      </c>
      <c r="U17" s="35">
        <f>SUMIF($A34:$A43,"A. Cadera",$E34:$E43)</f>
        <v>0</v>
      </c>
      <c r="X17" s="1"/>
      <c r="Y17" s="1"/>
      <c r="Z17" s="1"/>
      <c r="AA17" s="1"/>
    </row>
    <row r="18" ht="14.25" customHeight="1">
      <c r="A18" s="2" t="s">
        <v>45</v>
      </c>
      <c r="B18" s="3"/>
      <c r="C18" s="4"/>
      <c r="J18" s="1"/>
      <c r="M18" s="34" t="s">
        <v>7</v>
      </c>
      <c r="N18" s="35" t="str">
        <f>AVERAGEIF($A34:$A43,"Empuje",$G34:$G43)</f>
        <v>#DIV/0!</v>
      </c>
      <c r="O18" s="35" t="str">
        <f>AVERAGEIF($A34:$A43,"Tracción",$G34:$G43)</f>
        <v>#DIV/0!</v>
      </c>
      <c r="P18" s="35" t="str">
        <f>AVERAGEIF($A34:$A43,"Dom. Rodillas",$G34:$G43)</f>
        <v>#DIV/0!</v>
      </c>
      <c r="Q18" s="35" t="str">
        <f>AVERAGEIF($A34:$A43,"Dom. Caderas",$G34:$G43)</f>
        <v>#DIV/0!</v>
      </c>
      <c r="R18" s="35" t="str">
        <f>AVERAGEIF($A34:$A43,"A. Empuje",$G34:$G43)</f>
        <v>#DIV/0!</v>
      </c>
      <c r="S18" s="35" t="str">
        <f>AVERAGEIF($A34:$A43,"A. Tracción",$G34:$G43)</f>
        <v>#DIV/0!</v>
      </c>
      <c r="T18" s="35" t="str">
        <f>AVERAGEIF($A34:$A43,"A. Rodillas",$G34:$G43)</f>
        <v>#DIV/0!</v>
      </c>
      <c r="U18" s="35" t="str">
        <f>AVERAGEIF($A34:$A43,"A. Cadera",$G34:$G43)</f>
        <v>#DIV/0!</v>
      </c>
      <c r="X18" s="1"/>
      <c r="Y18" s="1"/>
      <c r="Z18" s="1"/>
      <c r="AA18" s="1"/>
    </row>
    <row r="19" ht="14.25" customHeight="1">
      <c r="A19" s="6" t="s">
        <v>3</v>
      </c>
      <c r="B19" s="10" t="s">
        <v>4</v>
      </c>
      <c r="C19" s="8"/>
      <c r="D19" s="9"/>
      <c r="E19" s="6" t="s">
        <v>5</v>
      </c>
      <c r="F19" s="6" t="s">
        <v>6</v>
      </c>
      <c r="G19" s="6" t="s">
        <v>7</v>
      </c>
      <c r="H19" s="6" t="s">
        <v>8</v>
      </c>
      <c r="I19" s="10" t="s">
        <v>9</v>
      </c>
      <c r="J19" s="9"/>
      <c r="M19" s="25"/>
      <c r="N19" s="25"/>
      <c r="O19" s="25"/>
      <c r="P19" s="25"/>
      <c r="Q19" s="25"/>
      <c r="R19" s="25"/>
      <c r="S19" s="25"/>
      <c r="T19" s="25"/>
      <c r="U19" s="25"/>
      <c r="X19" s="1"/>
      <c r="Y19" s="1"/>
      <c r="Z19" s="1"/>
      <c r="AA19" s="1"/>
    </row>
    <row r="20" ht="14.25" customHeight="1">
      <c r="A20" s="16"/>
      <c r="B20" s="26"/>
      <c r="C20" s="29"/>
      <c r="D20" s="29"/>
      <c r="E20" s="16"/>
      <c r="F20" s="16"/>
      <c r="G20" s="16"/>
      <c r="H20" s="16"/>
      <c r="I20" s="24"/>
      <c r="J20" s="9"/>
      <c r="M20" s="11" t="s">
        <v>66</v>
      </c>
      <c r="N20" s="12"/>
      <c r="O20" s="12"/>
      <c r="P20" s="12"/>
      <c r="Q20" s="12"/>
      <c r="R20" s="12"/>
      <c r="S20" s="12"/>
      <c r="T20" s="12"/>
      <c r="U20" s="13"/>
      <c r="X20" s="1"/>
      <c r="Y20" s="1"/>
      <c r="Z20" s="1"/>
      <c r="AA20" s="1"/>
    </row>
    <row r="21" ht="14.25" customHeight="1">
      <c r="A21" s="16"/>
      <c r="B21" s="26"/>
      <c r="C21" s="29"/>
      <c r="D21" s="29"/>
      <c r="E21" s="16"/>
      <c r="F21" s="16"/>
      <c r="G21" s="16"/>
      <c r="H21" s="16"/>
      <c r="I21" s="24"/>
      <c r="J21" s="9"/>
      <c r="M21" s="25"/>
      <c r="N21" s="28" t="s">
        <v>17</v>
      </c>
      <c r="O21" s="28" t="s">
        <v>19</v>
      </c>
      <c r="P21" s="28" t="s">
        <v>20</v>
      </c>
      <c r="Q21" s="28" t="s">
        <v>21</v>
      </c>
      <c r="R21" s="28" t="s">
        <v>22</v>
      </c>
      <c r="S21" s="28" t="s">
        <v>23</v>
      </c>
      <c r="T21" s="28" t="s">
        <v>24</v>
      </c>
      <c r="U21" s="28" t="s">
        <v>25</v>
      </c>
      <c r="X21" s="1"/>
      <c r="Y21" s="1"/>
      <c r="Z21" s="1"/>
      <c r="AA21" s="1"/>
    </row>
    <row r="22" ht="14.25" customHeight="1">
      <c r="A22" s="16"/>
      <c r="B22" s="26"/>
      <c r="C22" s="29"/>
      <c r="D22" s="29"/>
      <c r="E22" s="16"/>
      <c r="F22" s="16"/>
      <c r="G22" s="16"/>
      <c r="H22" s="16"/>
      <c r="I22" s="24"/>
      <c r="J22" s="9"/>
      <c r="M22" s="34" t="s">
        <v>36</v>
      </c>
      <c r="N22" s="35">
        <f>SUMIF($A48:$A57,"Empuje",$E48:$E57)</f>
        <v>0</v>
      </c>
      <c r="O22" s="35">
        <f>SUMIF($A48:$A57,"Tracción",$E48:$E57)</f>
        <v>0</v>
      </c>
      <c r="P22" s="35">
        <f>SUMIF($A48:$A57,"Dom. Rodillas",$E48:$E57)</f>
        <v>0</v>
      </c>
      <c r="Q22" s="35">
        <f>SUMIF($A48:$A57,"Dom. Caderas",$E48:$E57)</f>
        <v>0</v>
      </c>
      <c r="R22" s="35">
        <f>SUMIF($A48:$A57,"A. Empuje",$E48:$E57)</f>
        <v>0</v>
      </c>
      <c r="S22" s="35">
        <f>SUMIF($A48:$A57,"A. Tracción",$E48:$E57)</f>
        <v>0</v>
      </c>
      <c r="T22" s="35">
        <f>SUMIF($A48:$A57,"A. Rodillas",$E48:$E57)</f>
        <v>0</v>
      </c>
      <c r="U22" s="35">
        <f>SUMIF($A48:$A57,"A. Cadera",$E48:$E57)</f>
        <v>0</v>
      </c>
    </row>
    <row r="23" ht="14.25" customHeight="1">
      <c r="A23" s="16"/>
      <c r="B23" s="26"/>
      <c r="C23" s="29"/>
      <c r="D23" s="29"/>
      <c r="E23" s="16"/>
      <c r="F23" s="16"/>
      <c r="G23" s="16"/>
      <c r="H23" s="16"/>
      <c r="I23" s="24"/>
      <c r="J23" s="9"/>
      <c r="M23" s="34" t="s">
        <v>7</v>
      </c>
      <c r="N23" s="35" t="str">
        <f>AVERAGEIF($A48:$A57,"Empuje",$G48:$G57)</f>
        <v>#DIV/0!</v>
      </c>
      <c r="O23" s="35" t="str">
        <f>AVERAGEIF($A48:$A57,"Tracción",$G48:$G57)</f>
        <v>#DIV/0!</v>
      </c>
      <c r="P23" s="35" t="str">
        <f>AVERAGEIF($A48:$A57,"Dom. Rodillas",$G48:$G57)</f>
        <v>#DIV/0!</v>
      </c>
      <c r="Q23" s="35" t="str">
        <f>AVERAGEIF($A48:$A57,"Dom. Caderas",$G48:$G57)</f>
        <v>#DIV/0!</v>
      </c>
      <c r="R23" s="35" t="str">
        <f>AVERAGEIF($A48:$A57,"A. Empuje",$G48:$G57)</f>
        <v>#DIV/0!</v>
      </c>
      <c r="S23" s="35" t="str">
        <f>AVERAGEIF($A48:$A57,"A. Tracción",$G48:$G57)</f>
        <v>#DIV/0!</v>
      </c>
      <c r="T23" s="35" t="str">
        <f>AVERAGEIF($A48:$A57,"A. Rodillas",$G48:$G57)</f>
        <v>#DIV/0!</v>
      </c>
      <c r="U23" s="35" t="str">
        <f>AVERAGEIF($A48:$A57,"A. Cadera",$G48:$G57)</f>
        <v>#DIV/0!</v>
      </c>
    </row>
    <row r="24" ht="14.25" customHeight="1">
      <c r="A24" s="16"/>
      <c r="B24" s="26"/>
      <c r="C24" s="29"/>
      <c r="D24" s="29"/>
      <c r="E24" s="16"/>
      <c r="F24" s="16"/>
      <c r="G24" s="16"/>
      <c r="H24" s="16"/>
      <c r="I24" s="24"/>
      <c r="J24" s="9"/>
      <c r="M24" s="25"/>
      <c r="N24" s="25"/>
      <c r="O24" s="25"/>
      <c r="P24" s="25"/>
      <c r="Q24" s="25"/>
      <c r="R24" s="25"/>
      <c r="S24" s="25"/>
      <c r="T24" s="25"/>
      <c r="U24" s="25"/>
    </row>
    <row r="25" ht="14.25" customHeight="1">
      <c r="A25" s="16"/>
      <c r="B25" s="26"/>
      <c r="C25" s="29"/>
      <c r="D25" s="29"/>
      <c r="E25" s="16"/>
      <c r="F25" s="16"/>
      <c r="G25" s="16"/>
      <c r="H25" s="16"/>
      <c r="I25" s="24"/>
      <c r="J25" s="9"/>
      <c r="M25" s="11" t="s">
        <v>76</v>
      </c>
      <c r="N25" s="12"/>
      <c r="O25" s="12"/>
      <c r="P25" s="12"/>
      <c r="Q25" s="12"/>
      <c r="R25" s="12"/>
      <c r="S25" s="12"/>
      <c r="T25" s="12"/>
      <c r="U25" s="13"/>
    </row>
    <row r="26" ht="14.25" customHeight="1">
      <c r="A26" s="16"/>
      <c r="B26" s="26"/>
      <c r="C26" s="29"/>
      <c r="D26" s="29"/>
      <c r="E26" s="16"/>
      <c r="F26" s="16"/>
      <c r="G26" s="16"/>
      <c r="H26" s="16"/>
      <c r="I26" s="24"/>
      <c r="J26" s="9"/>
      <c r="M26" s="25"/>
      <c r="N26" s="28" t="s">
        <v>17</v>
      </c>
      <c r="O26" s="28" t="s">
        <v>19</v>
      </c>
      <c r="P26" s="28" t="s">
        <v>20</v>
      </c>
      <c r="Q26" s="28" t="s">
        <v>21</v>
      </c>
      <c r="R26" s="28" t="s">
        <v>22</v>
      </c>
      <c r="S26" s="28" t="s">
        <v>23</v>
      </c>
      <c r="T26" s="28" t="s">
        <v>24</v>
      </c>
      <c r="U26" s="28" t="s">
        <v>25</v>
      </c>
    </row>
    <row r="27" ht="14.25" customHeight="1">
      <c r="A27" s="16"/>
      <c r="B27" s="26"/>
      <c r="C27" s="29"/>
      <c r="D27" s="29"/>
      <c r="E27" s="16"/>
      <c r="F27" s="16"/>
      <c r="G27" s="16"/>
      <c r="H27" s="16"/>
      <c r="I27" s="24"/>
      <c r="J27" s="9"/>
      <c r="M27" s="34" t="s">
        <v>36</v>
      </c>
      <c r="N27" s="35">
        <f>SUMIF($A62:$A71,"Empuje",$E62:$E71)</f>
        <v>0</v>
      </c>
      <c r="O27" s="35">
        <f>SUMIF($A62:$A71,"Tracción",$E62:$E71)</f>
        <v>0</v>
      </c>
      <c r="P27" s="35">
        <f>SUMIF($A62:$A71,"Dom. Rodillas",$E62:$E71)</f>
        <v>0</v>
      </c>
      <c r="Q27" s="35">
        <f>SUMIF($A62:$A71,"Dom. Caderas",$E62:$E71)</f>
        <v>0</v>
      </c>
      <c r="R27" s="35">
        <f>SUMIF($A62:$A71,"A. Empuje",$E62:$E71)</f>
        <v>0</v>
      </c>
      <c r="S27" s="35">
        <f>SUMIF($A62:$A71,"A. Tracción",$E62:$E71)</f>
        <v>0</v>
      </c>
      <c r="T27" s="35">
        <f>SUMIF($A62:$A71,"A. Rodillas",$E62:$E71)</f>
        <v>0</v>
      </c>
      <c r="U27" s="35">
        <f>SUMIF($A62:$A71,"A. Cadera",$E62:$E71)</f>
        <v>0</v>
      </c>
    </row>
    <row r="28" ht="14.25" customHeight="1">
      <c r="A28" s="16"/>
      <c r="B28" s="26"/>
      <c r="C28" s="29"/>
      <c r="D28" s="29"/>
      <c r="E28" s="16"/>
      <c r="F28" s="16"/>
      <c r="G28" s="16"/>
      <c r="H28" s="16"/>
      <c r="I28" s="24"/>
      <c r="J28" s="9"/>
      <c r="M28" s="34" t="s">
        <v>7</v>
      </c>
      <c r="N28" s="35" t="str">
        <f>AVERAGEIF($A62:$A71,"Empuje",$G62:$G71)</f>
        <v>#DIV/0!</v>
      </c>
      <c r="O28" s="35" t="str">
        <f>AVERAGEIF($A62:$A71,"Tracción",$G62:$G71)</f>
        <v>#DIV/0!</v>
      </c>
      <c r="P28" s="35" t="str">
        <f>AVERAGEIF($A62:$A71,"Dom. Rodillas",$G62:$G71)</f>
        <v>#DIV/0!</v>
      </c>
      <c r="Q28" s="35" t="str">
        <f>AVERAGEIF($A62:$A71,"Dom. Caderas",$G62:$G71)</f>
        <v>#DIV/0!</v>
      </c>
      <c r="R28" s="35" t="str">
        <f>AVERAGEIF($A62:$A71,"A. Empuje",$G62:$G71)</f>
        <v>#DIV/0!</v>
      </c>
      <c r="S28" s="35" t="str">
        <f>AVERAGEIF($A62:$A71,"A. Tracción",$G62:$G71)</f>
        <v>#DIV/0!</v>
      </c>
      <c r="T28" s="35" t="str">
        <f>AVERAGEIF($A62:$A71,"A. Rodillas",$G62:$G71)</f>
        <v>#DIV/0!</v>
      </c>
      <c r="U28" s="35" t="str">
        <f>AVERAGEIF($A62:$A71,"A. Cadera",$G62:$G71)</f>
        <v>#DIV/0!</v>
      </c>
    </row>
    <row r="29" ht="14.25" customHeight="1">
      <c r="A29" s="16"/>
      <c r="B29" s="58"/>
      <c r="C29" s="8"/>
      <c r="D29" s="9"/>
      <c r="E29" s="16"/>
      <c r="F29" s="16"/>
      <c r="G29" s="16"/>
      <c r="H29" s="16"/>
      <c r="I29" s="24"/>
      <c r="J29" s="9"/>
    </row>
    <row r="30" ht="14.25" customHeight="1">
      <c r="B30" s="26"/>
      <c r="C30" s="29"/>
      <c r="D30" s="29"/>
    </row>
    <row r="31" ht="14.25" customHeight="1"/>
    <row r="32" ht="14.25" customHeight="1">
      <c r="A32" s="2" t="s">
        <v>57</v>
      </c>
      <c r="B32" s="3"/>
      <c r="C32" s="4"/>
      <c r="J32" s="1"/>
    </row>
    <row r="33" ht="14.25" customHeight="1">
      <c r="A33" s="6" t="s">
        <v>3</v>
      </c>
      <c r="B33" s="10" t="s">
        <v>4</v>
      </c>
      <c r="C33" s="8"/>
      <c r="D33" s="9"/>
      <c r="E33" s="6" t="s">
        <v>5</v>
      </c>
      <c r="F33" s="6" t="s">
        <v>6</v>
      </c>
      <c r="G33" s="6" t="s">
        <v>7</v>
      </c>
      <c r="H33" s="6" t="s">
        <v>8</v>
      </c>
      <c r="I33" s="10" t="s">
        <v>9</v>
      </c>
      <c r="J33" s="9"/>
    </row>
    <row r="34" ht="14.25" customHeight="1">
      <c r="A34" s="16"/>
      <c r="B34" s="26"/>
      <c r="C34" s="29"/>
      <c r="D34" s="29"/>
      <c r="E34" s="16"/>
      <c r="F34" s="16"/>
      <c r="G34" s="16"/>
      <c r="H34" s="31"/>
      <c r="I34" s="24"/>
      <c r="J34" s="9"/>
    </row>
    <row r="35" ht="14.25" customHeight="1">
      <c r="A35" s="16"/>
      <c r="B35" s="26"/>
      <c r="C35" s="29"/>
      <c r="D35" s="29"/>
      <c r="E35" s="16"/>
      <c r="F35" s="16"/>
      <c r="G35" s="16"/>
      <c r="H35" s="31"/>
      <c r="I35" s="24"/>
      <c r="J35" s="9"/>
    </row>
    <row r="36" ht="14.25" customHeight="1">
      <c r="A36" s="16"/>
      <c r="B36" s="26"/>
      <c r="C36" s="29"/>
      <c r="D36" s="29"/>
      <c r="E36" s="16"/>
      <c r="F36" s="16"/>
      <c r="G36" s="16"/>
      <c r="H36" s="31"/>
      <c r="I36" s="24"/>
      <c r="J36" s="9"/>
    </row>
    <row r="37" ht="14.25" customHeight="1">
      <c r="A37" s="16"/>
      <c r="B37" s="26"/>
      <c r="C37" s="29"/>
      <c r="D37" s="29"/>
      <c r="E37" s="16"/>
      <c r="F37" s="16"/>
      <c r="G37" s="16"/>
      <c r="H37" s="31"/>
      <c r="I37" s="24"/>
      <c r="J37" s="9"/>
    </row>
    <row r="38" ht="14.25" customHeight="1">
      <c r="A38" s="16"/>
      <c r="B38" s="26"/>
      <c r="C38" s="29"/>
      <c r="D38" s="29"/>
      <c r="E38" s="16"/>
      <c r="F38" s="16"/>
      <c r="G38" s="16"/>
      <c r="H38" s="16"/>
      <c r="I38" s="24"/>
      <c r="J38" s="9"/>
    </row>
    <row r="39" ht="14.25" customHeight="1">
      <c r="A39" s="16"/>
      <c r="B39" s="26"/>
      <c r="C39" s="29"/>
      <c r="D39" s="29"/>
      <c r="E39" s="16"/>
      <c r="F39" s="16"/>
      <c r="G39" s="16"/>
      <c r="H39" s="16"/>
      <c r="I39" s="24"/>
      <c r="J39" s="9"/>
    </row>
    <row r="40" ht="14.25" customHeight="1">
      <c r="A40" s="16"/>
      <c r="B40" s="26"/>
      <c r="C40" s="29"/>
      <c r="D40" s="29"/>
      <c r="E40" s="16"/>
      <c r="F40" s="16"/>
      <c r="G40" s="16"/>
      <c r="H40" s="16"/>
      <c r="I40" s="24"/>
      <c r="J40" s="9"/>
    </row>
    <row r="41" ht="14.25" customHeight="1">
      <c r="A41" s="16"/>
      <c r="B41" s="26"/>
      <c r="C41" s="29"/>
      <c r="D41" s="29"/>
      <c r="E41" s="16"/>
      <c r="F41" s="16"/>
      <c r="G41" s="16"/>
      <c r="H41" s="16"/>
      <c r="I41" s="24"/>
      <c r="J41" s="9"/>
    </row>
    <row r="42" ht="14.25" customHeight="1">
      <c r="A42" s="16"/>
      <c r="B42" s="26"/>
      <c r="C42" s="29"/>
      <c r="D42" s="29"/>
      <c r="E42" s="16"/>
      <c r="F42" s="16"/>
      <c r="G42" s="16"/>
      <c r="H42" s="16"/>
      <c r="I42" s="24"/>
      <c r="J42" s="9"/>
    </row>
    <row r="43" ht="14.25" customHeight="1">
      <c r="A43" s="16"/>
      <c r="B43" s="58"/>
      <c r="C43" s="8"/>
      <c r="D43" s="9"/>
      <c r="E43" s="16"/>
      <c r="F43" s="16"/>
      <c r="G43" s="16"/>
      <c r="H43" s="16"/>
      <c r="I43" s="24"/>
      <c r="J43" s="9"/>
    </row>
    <row r="44" ht="14.25" customHeight="1">
      <c r="B44" s="26"/>
      <c r="C44" s="29"/>
      <c r="D44" s="29"/>
    </row>
    <row r="45" ht="14.25" customHeight="1"/>
    <row r="46" ht="14.25" customHeight="1">
      <c r="A46" s="2" t="s">
        <v>66</v>
      </c>
      <c r="B46" s="3"/>
      <c r="C46" s="4"/>
      <c r="J46" s="1"/>
    </row>
    <row r="47" ht="14.25" customHeight="1">
      <c r="A47" s="6" t="s">
        <v>3</v>
      </c>
      <c r="B47" s="10" t="s">
        <v>4</v>
      </c>
      <c r="C47" s="8"/>
      <c r="D47" s="9"/>
      <c r="E47" s="6" t="s">
        <v>5</v>
      </c>
      <c r="F47" s="6" t="s">
        <v>6</v>
      </c>
      <c r="G47" s="6" t="s">
        <v>7</v>
      </c>
      <c r="H47" s="6" t="s">
        <v>8</v>
      </c>
      <c r="I47" s="10" t="s">
        <v>9</v>
      </c>
      <c r="J47" s="9"/>
    </row>
    <row r="48" ht="14.25" customHeight="1">
      <c r="A48" s="16"/>
      <c r="B48" s="26"/>
      <c r="C48" s="29"/>
      <c r="D48" s="29"/>
      <c r="E48" s="16"/>
      <c r="F48" s="16"/>
      <c r="G48" s="16"/>
      <c r="H48" s="16"/>
      <c r="I48" s="24"/>
      <c r="J48" s="9"/>
    </row>
    <row r="49" ht="14.25" customHeight="1">
      <c r="A49" s="16"/>
      <c r="B49" s="26"/>
      <c r="C49" s="29"/>
      <c r="D49" s="29"/>
      <c r="E49" s="16"/>
      <c r="F49" s="16"/>
      <c r="G49" s="16"/>
      <c r="H49" s="16"/>
      <c r="I49" s="24"/>
      <c r="J49" s="9"/>
    </row>
    <row r="50" ht="14.25" customHeight="1">
      <c r="A50" s="16"/>
      <c r="B50" s="26"/>
      <c r="C50" s="29"/>
      <c r="D50" s="29"/>
      <c r="E50" s="16"/>
      <c r="F50" s="16"/>
      <c r="G50" s="16"/>
      <c r="H50" s="16"/>
      <c r="I50" s="24"/>
      <c r="J50" s="9"/>
    </row>
    <row r="51" ht="14.25" customHeight="1">
      <c r="A51" s="16"/>
      <c r="B51" s="26"/>
      <c r="C51" s="29"/>
      <c r="D51" s="29"/>
      <c r="E51" s="16"/>
      <c r="F51" s="16"/>
      <c r="G51" s="16"/>
      <c r="H51" s="16"/>
      <c r="I51" s="24"/>
      <c r="J51" s="9"/>
    </row>
    <row r="52" ht="14.25" customHeight="1">
      <c r="A52" s="16"/>
      <c r="B52" s="26"/>
      <c r="C52" s="29"/>
      <c r="D52" s="29"/>
      <c r="E52" s="16"/>
      <c r="F52" s="16"/>
      <c r="G52" s="16"/>
      <c r="H52" s="16"/>
      <c r="I52" s="24"/>
      <c r="J52" s="9"/>
    </row>
    <row r="53" ht="14.25" customHeight="1">
      <c r="A53" s="16"/>
      <c r="B53" s="26"/>
      <c r="C53" s="29"/>
      <c r="D53" s="29"/>
      <c r="E53" s="16"/>
      <c r="F53" s="16"/>
      <c r="G53" s="16"/>
      <c r="H53" s="16"/>
      <c r="I53" s="24"/>
      <c r="J53" s="9"/>
    </row>
    <row r="54" ht="14.25" customHeight="1">
      <c r="A54" s="16"/>
      <c r="B54" s="26"/>
      <c r="C54" s="29"/>
      <c r="D54" s="29"/>
      <c r="E54" s="16"/>
      <c r="F54" s="16"/>
      <c r="G54" s="16"/>
      <c r="H54" s="16"/>
      <c r="I54" s="24"/>
      <c r="J54" s="9"/>
    </row>
    <row r="55" ht="14.25" customHeight="1">
      <c r="A55" s="16"/>
      <c r="B55" s="26"/>
      <c r="C55" s="29"/>
      <c r="D55" s="29"/>
      <c r="E55" s="16"/>
      <c r="F55" s="16"/>
      <c r="G55" s="16"/>
      <c r="H55" s="16"/>
      <c r="I55" s="24"/>
      <c r="J55" s="9"/>
    </row>
    <row r="56" ht="14.25" customHeight="1">
      <c r="A56" s="16"/>
      <c r="B56" s="26"/>
      <c r="C56" s="29"/>
      <c r="D56" s="29"/>
      <c r="E56" s="16"/>
      <c r="F56" s="16"/>
      <c r="G56" s="16"/>
      <c r="H56" s="16"/>
      <c r="I56" s="24"/>
      <c r="J56" s="9"/>
    </row>
    <row r="57" ht="14.25" customHeight="1">
      <c r="A57" s="16"/>
      <c r="B57" s="58"/>
      <c r="C57" s="8"/>
      <c r="D57" s="9"/>
      <c r="E57" s="16"/>
      <c r="F57" s="16"/>
      <c r="G57" s="16"/>
      <c r="H57" s="16"/>
      <c r="I57" s="24"/>
      <c r="J57" s="9"/>
    </row>
    <row r="58" ht="14.25" customHeight="1">
      <c r="B58" s="26"/>
      <c r="C58" s="29"/>
      <c r="D58" s="29"/>
    </row>
    <row r="59" ht="14.25" customHeight="1"/>
    <row r="60" ht="14.25" customHeight="1">
      <c r="A60" s="2" t="s">
        <v>76</v>
      </c>
      <c r="B60" s="3"/>
      <c r="C60" s="4"/>
      <c r="J60" s="1"/>
    </row>
    <row r="61" ht="14.25" customHeight="1">
      <c r="A61" s="6" t="s">
        <v>3</v>
      </c>
      <c r="B61" s="10" t="s">
        <v>4</v>
      </c>
      <c r="C61" s="8"/>
      <c r="D61" s="9"/>
      <c r="E61" s="6" t="s">
        <v>5</v>
      </c>
      <c r="F61" s="6" t="s">
        <v>6</v>
      </c>
      <c r="G61" s="6" t="s">
        <v>7</v>
      </c>
      <c r="H61" s="6" t="s">
        <v>8</v>
      </c>
      <c r="I61" s="10" t="s">
        <v>9</v>
      </c>
      <c r="J61" s="9"/>
    </row>
    <row r="62" ht="14.25" customHeight="1">
      <c r="A62" s="16"/>
      <c r="B62" s="26"/>
      <c r="C62" s="29"/>
      <c r="D62" s="29"/>
      <c r="E62" s="16"/>
      <c r="F62" s="16"/>
      <c r="G62" s="16"/>
      <c r="H62" s="16"/>
      <c r="I62" s="24"/>
      <c r="J62" s="9"/>
    </row>
    <row r="63" ht="14.25" customHeight="1">
      <c r="A63" s="16"/>
      <c r="B63" s="26"/>
      <c r="C63" s="29"/>
      <c r="D63" s="29"/>
      <c r="E63" s="16"/>
      <c r="F63" s="16"/>
      <c r="G63" s="16"/>
      <c r="H63" s="16"/>
      <c r="I63" s="24"/>
      <c r="J63" s="9"/>
    </row>
    <row r="64" ht="14.25" customHeight="1">
      <c r="A64" s="16"/>
      <c r="B64" s="26"/>
      <c r="C64" s="29"/>
      <c r="D64" s="29"/>
      <c r="E64" s="16"/>
      <c r="F64" s="16"/>
      <c r="G64" s="16"/>
      <c r="H64" s="16"/>
      <c r="I64" s="24"/>
      <c r="J64" s="9"/>
    </row>
    <row r="65" ht="14.25" customHeight="1">
      <c r="A65" s="16"/>
      <c r="B65" s="26"/>
      <c r="C65" s="29"/>
      <c r="D65" s="29"/>
      <c r="E65" s="16"/>
      <c r="F65" s="16"/>
      <c r="G65" s="16"/>
      <c r="H65" s="16"/>
      <c r="I65" s="24"/>
      <c r="J65" s="9"/>
    </row>
    <row r="66" ht="14.25" customHeight="1">
      <c r="A66" s="16"/>
      <c r="B66" s="26"/>
      <c r="C66" s="29"/>
      <c r="D66" s="29"/>
      <c r="E66" s="16"/>
      <c r="F66" s="16"/>
      <c r="G66" s="16"/>
      <c r="H66" s="16"/>
      <c r="I66" s="24"/>
      <c r="J66" s="9"/>
    </row>
    <row r="67" ht="14.25" customHeight="1">
      <c r="A67" s="16"/>
      <c r="B67" s="26"/>
      <c r="C67" s="29"/>
      <c r="D67" s="29"/>
      <c r="E67" s="16"/>
      <c r="F67" s="16"/>
      <c r="G67" s="16"/>
      <c r="H67" s="16"/>
      <c r="I67" s="24"/>
      <c r="J67" s="9"/>
    </row>
    <row r="68" ht="14.25" customHeight="1">
      <c r="A68" s="16"/>
      <c r="B68" s="26"/>
      <c r="C68" s="29"/>
      <c r="D68" s="29"/>
      <c r="E68" s="16"/>
      <c r="F68" s="16"/>
      <c r="G68" s="16"/>
      <c r="H68" s="16"/>
      <c r="I68" s="24"/>
      <c r="J68" s="9"/>
    </row>
    <row r="69" ht="14.25" customHeight="1">
      <c r="A69" s="16"/>
      <c r="B69" s="26"/>
      <c r="C69" s="29"/>
      <c r="D69" s="29"/>
      <c r="E69" s="16"/>
      <c r="F69" s="16"/>
      <c r="G69" s="16"/>
      <c r="H69" s="16"/>
      <c r="I69" s="24"/>
      <c r="J69" s="9"/>
    </row>
    <row r="70" ht="14.25" customHeight="1">
      <c r="A70" s="16"/>
      <c r="B70" s="26"/>
      <c r="C70" s="29"/>
      <c r="D70" s="29"/>
      <c r="E70" s="16"/>
      <c r="F70" s="16"/>
      <c r="G70" s="16"/>
      <c r="H70" s="16"/>
      <c r="I70" s="24"/>
      <c r="J70" s="9"/>
    </row>
    <row r="71" ht="14.25" customHeight="1">
      <c r="A71" s="16"/>
      <c r="B71" s="58"/>
      <c r="C71" s="8"/>
      <c r="D71" s="9"/>
      <c r="E71" s="16"/>
      <c r="F71" s="16"/>
      <c r="G71" s="16"/>
      <c r="H71" s="16"/>
      <c r="I71" s="24"/>
      <c r="J71" s="9"/>
    </row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5">
    <mergeCell ref="I24:J24"/>
    <mergeCell ref="I25:J25"/>
    <mergeCell ref="I9:J9"/>
    <mergeCell ref="I11:J11"/>
    <mergeCell ref="I19:J19"/>
    <mergeCell ref="I20:J20"/>
    <mergeCell ref="I21:J21"/>
    <mergeCell ref="I22:J22"/>
    <mergeCell ref="I23:J23"/>
    <mergeCell ref="A4:C4"/>
    <mergeCell ref="B5:D5"/>
    <mergeCell ref="I5:J5"/>
    <mergeCell ref="M5:U5"/>
    <mergeCell ref="W5:Y5"/>
    <mergeCell ref="B6:D6"/>
    <mergeCell ref="B7:D7"/>
    <mergeCell ref="I10:J10"/>
    <mergeCell ref="M10:U10"/>
    <mergeCell ref="I6:J6"/>
    <mergeCell ref="I7:J7"/>
    <mergeCell ref="B8:D8"/>
    <mergeCell ref="I8:J8"/>
    <mergeCell ref="B9:D9"/>
    <mergeCell ref="B10:D10"/>
    <mergeCell ref="B11:D11"/>
    <mergeCell ref="I15:J15"/>
    <mergeCell ref="M15:U15"/>
    <mergeCell ref="M20:U20"/>
    <mergeCell ref="B12:D12"/>
    <mergeCell ref="I12:J12"/>
    <mergeCell ref="B13:D13"/>
    <mergeCell ref="I13:J13"/>
    <mergeCell ref="B14:D14"/>
    <mergeCell ref="I14:J14"/>
    <mergeCell ref="B15:D15"/>
    <mergeCell ref="B24:D24"/>
    <mergeCell ref="B25:D25"/>
    <mergeCell ref="M25:U25"/>
    <mergeCell ref="I26:J26"/>
    <mergeCell ref="B16:D16"/>
    <mergeCell ref="A18:C18"/>
    <mergeCell ref="B19:D19"/>
    <mergeCell ref="B20:D20"/>
    <mergeCell ref="B21:D21"/>
    <mergeCell ref="B22:D22"/>
    <mergeCell ref="B23:D23"/>
    <mergeCell ref="B50:D50"/>
    <mergeCell ref="B51:D51"/>
    <mergeCell ref="B52:D52"/>
    <mergeCell ref="B53:D53"/>
    <mergeCell ref="B54:D54"/>
    <mergeCell ref="B55:D55"/>
    <mergeCell ref="B56:D56"/>
    <mergeCell ref="B65:D65"/>
    <mergeCell ref="B66:D66"/>
    <mergeCell ref="B67:D67"/>
    <mergeCell ref="B68:D68"/>
    <mergeCell ref="B69:D69"/>
    <mergeCell ref="B70:D70"/>
    <mergeCell ref="B71:D71"/>
    <mergeCell ref="B57:D57"/>
    <mergeCell ref="B58:D58"/>
    <mergeCell ref="A60:C60"/>
    <mergeCell ref="B61:D61"/>
    <mergeCell ref="B62:D62"/>
    <mergeCell ref="B63:D63"/>
    <mergeCell ref="B64:D64"/>
    <mergeCell ref="I70:J70"/>
    <mergeCell ref="I71:J71"/>
    <mergeCell ref="I63:J63"/>
    <mergeCell ref="I64:J64"/>
    <mergeCell ref="I65:J65"/>
    <mergeCell ref="I66:J66"/>
    <mergeCell ref="I67:J67"/>
    <mergeCell ref="I68:J68"/>
    <mergeCell ref="I69:J69"/>
    <mergeCell ref="B26:D26"/>
    <mergeCell ref="B27:D27"/>
    <mergeCell ref="I27:J27"/>
    <mergeCell ref="B28:D28"/>
    <mergeCell ref="I28:J28"/>
    <mergeCell ref="B29:D29"/>
    <mergeCell ref="I29:J29"/>
    <mergeCell ref="B30:D30"/>
    <mergeCell ref="A32:C32"/>
    <mergeCell ref="B33:D33"/>
    <mergeCell ref="I33:J33"/>
    <mergeCell ref="B34:D34"/>
    <mergeCell ref="I34:J34"/>
    <mergeCell ref="I35:J35"/>
    <mergeCell ref="B35:D35"/>
    <mergeCell ref="B36:D36"/>
    <mergeCell ref="B37:D37"/>
    <mergeCell ref="B38:D38"/>
    <mergeCell ref="B39:D39"/>
    <mergeCell ref="B40:D40"/>
    <mergeCell ref="B41:D41"/>
    <mergeCell ref="I36:J36"/>
    <mergeCell ref="I37:J37"/>
    <mergeCell ref="I38:J38"/>
    <mergeCell ref="I39:J39"/>
    <mergeCell ref="I40:J40"/>
    <mergeCell ref="I41:J41"/>
    <mergeCell ref="I42:J42"/>
    <mergeCell ref="B42:D42"/>
    <mergeCell ref="B43:D43"/>
    <mergeCell ref="B44:D44"/>
    <mergeCell ref="A46:C46"/>
    <mergeCell ref="B47:D47"/>
    <mergeCell ref="B48:D48"/>
    <mergeCell ref="B49:D49"/>
    <mergeCell ref="I43:J43"/>
    <mergeCell ref="I47:J47"/>
    <mergeCell ref="I48:J48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61:J61"/>
    <mergeCell ref="I62:J62"/>
  </mergeCells>
  <dataValidations>
    <dataValidation type="list" allowBlank="1" showErrorMessage="1" sqref="J3 A6:A15 A20:A29 A34:A43 A48:A57 A62:A71">
      <formula1>Datos!$B$2:$B$12</formula1>
    </dataValidation>
    <dataValidation type="list" allowBlank="1" showErrorMessage="1" sqref="J4 J18 J32 J46 J60">
      <formula1>Datos!$D$2:$D$14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7" width="10.71"/>
  </cols>
  <sheetData>
    <row r="1" ht="14.25" customHeight="1"/>
    <row r="2" ht="14.25" customHeight="1"/>
    <row r="3" ht="14.25" customHeight="1">
      <c r="J3" s="1"/>
    </row>
    <row r="4" ht="14.25" customHeight="1">
      <c r="A4" s="2" t="s">
        <v>123</v>
      </c>
      <c r="B4" s="3"/>
      <c r="C4" s="4"/>
      <c r="J4" s="1"/>
      <c r="X4" s="1"/>
      <c r="Y4" s="1"/>
      <c r="Z4" s="1"/>
      <c r="AA4" s="1"/>
    </row>
    <row r="5" ht="14.25" customHeight="1">
      <c r="A5" s="6" t="s">
        <v>3</v>
      </c>
      <c r="B5" s="10" t="s">
        <v>4</v>
      </c>
      <c r="C5" s="8"/>
      <c r="D5" s="9"/>
      <c r="E5" s="6" t="s">
        <v>5</v>
      </c>
      <c r="F5" s="6" t="s">
        <v>6</v>
      </c>
      <c r="G5" s="6" t="s">
        <v>7</v>
      </c>
      <c r="H5" s="6" t="s">
        <v>8</v>
      </c>
      <c r="I5" s="10" t="s">
        <v>9</v>
      </c>
      <c r="J5" s="9"/>
      <c r="M5" s="11" t="s">
        <v>0</v>
      </c>
      <c r="N5" s="12"/>
      <c r="O5" s="12"/>
      <c r="P5" s="12"/>
      <c r="Q5" s="12"/>
      <c r="R5" s="12"/>
      <c r="S5" s="12"/>
      <c r="T5" s="12"/>
      <c r="U5" s="13"/>
      <c r="W5" s="14" t="s">
        <v>11</v>
      </c>
      <c r="X5" s="12"/>
      <c r="Y5" s="13"/>
      <c r="AA5" s="1"/>
    </row>
    <row r="6" ht="14.25" customHeight="1">
      <c r="A6" s="49"/>
      <c r="B6" s="50" t="s">
        <v>125</v>
      </c>
      <c r="C6" s="18"/>
      <c r="D6" s="20"/>
      <c r="E6" s="49">
        <v>2.0</v>
      </c>
      <c r="F6" s="49">
        <v>10.0</v>
      </c>
      <c r="G6" s="49"/>
      <c r="H6" s="67"/>
      <c r="I6" s="51"/>
      <c r="J6" s="9"/>
      <c r="M6" s="25"/>
      <c r="N6" s="28" t="s">
        <v>17</v>
      </c>
      <c r="O6" s="28" t="s">
        <v>19</v>
      </c>
      <c r="P6" s="28" t="s">
        <v>20</v>
      </c>
      <c r="Q6" s="28" t="s">
        <v>21</v>
      </c>
      <c r="R6" s="28" t="s">
        <v>22</v>
      </c>
      <c r="S6" s="28" t="s">
        <v>23</v>
      </c>
      <c r="T6" s="28" t="s">
        <v>24</v>
      </c>
      <c r="U6" s="28" t="s">
        <v>25</v>
      </c>
      <c r="W6" s="28" t="s">
        <v>17</v>
      </c>
      <c r="X6" s="1">
        <f>SUM(N7,N12,N18,N23,N28)</f>
        <v>13</v>
      </c>
      <c r="AA6" s="1"/>
    </row>
    <row r="7" ht="14.25" customHeight="1">
      <c r="A7" s="49"/>
      <c r="B7" s="50" t="s">
        <v>131</v>
      </c>
      <c r="C7" s="18"/>
      <c r="D7" s="20"/>
      <c r="E7" s="49">
        <v>2.0</v>
      </c>
      <c r="F7" s="49">
        <v>12.0</v>
      </c>
      <c r="G7" s="49"/>
      <c r="H7" s="67"/>
      <c r="I7" s="51"/>
      <c r="J7" s="9"/>
      <c r="M7" s="34" t="s">
        <v>36</v>
      </c>
      <c r="N7" s="35">
        <f>SUMIF(A6:A16,"Empuje",E6:E16)</f>
        <v>13</v>
      </c>
      <c r="O7" s="35">
        <f>SUMIF(A6:A16,"Tracción",E6:E16)</f>
        <v>0</v>
      </c>
      <c r="P7" s="35">
        <f>SUMIF($A6:$A16,"Dom. Rodillas",$E6:$E16)</f>
        <v>6</v>
      </c>
      <c r="Q7" s="35">
        <f>SUMIF($A6:$A16,"Dom. Caderas",$E6:$E16)</f>
        <v>0</v>
      </c>
      <c r="R7" s="35">
        <f>SUMIF($A6:$A16,"A. Empuje",$E6:$E16)</f>
        <v>7</v>
      </c>
      <c r="S7" s="36">
        <f>SUMIF(A6:A16,"A. Tracción",E6:E16)</f>
        <v>0</v>
      </c>
      <c r="T7" s="35">
        <f>SUMIF($A6:$A16,"A. Rodillas",$E6:$E16)</f>
        <v>0</v>
      </c>
      <c r="U7" s="35">
        <f>SUMIF($A6:$A16,"A. Cadera",$E6:$E16)</f>
        <v>0</v>
      </c>
      <c r="W7" s="28" t="s">
        <v>19</v>
      </c>
      <c r="X7" s="1">
        <f>SUM(O7,O12,O18,O23,O28)</f>
        <v>11</v>
      </c>
      <c r="AA7" s="1"/>
    </row>
    <row r="8" ht="14.25" customHeight="1">
      <c r="A8" s="49"/>
      <c r="B8" s="50" t="s">
        <v>135</v>
      </c>
      <c r="C8" s="18"/>
      <c r="D8" s="20"/>
      <c r="E8" s="49">
        <v>2.0</v>
      </c>
      <c r="F8" s="49">
        <v>12.0</v>
      </c>
      <c r="G8" s="49"/>
      <c r="H8" s="67"/>
      <c r="I8" s="51"/>
      <c r="J8" s="9"/>
      <c r="M8" s="34" t="s">
        <v>7</v>
      </c>
      <c r="N8" s="35">
        <f>AVERAGEIF($A6:$A16,"Empuje",$G6:$G16)</f>
        <v>8</v>
      </c>
      <c r="O8" s="35" t="str">
        <f>AVERAGEIF($A6:$A16,"Traccion",$G6:$G16)</f>
        <v>#DIV/0!</v>
      </c>
      <c r="P8" s="35" t="str">
        <f>AVERAGEIF($A6:$A16,"Dom. Rodillas",$G6:$G16)</f>
        <v>#DIV/0!</v>
      </c>
      <c r="Q8" s="35" t="str">
        <f>AVERAGEIF($A6:$A16,"Dom. Cadera",$G6:$G16)</f>
        <v>#DIV/0!</v>
      </c>
      <c r="R8" s="35" t="str">
        <f>AVERAGEIF($A6:$A16,"A. Empuje",$G6:$G16)</f>
        <v>#DIV/0!</v>
      </c>
      <c r="S8" s="35" t="str">
        <f>AVERAGEIF($A6:$A16,"A. Tracción",$G6:$G16)</f>
        <v>#DIV/0!</v>
      </c>
      <c r="T8" s="35" t="str">
        <f>AVERAGEIF($A6:$A16,"A. Rodillas",$G6:$G16)</f>
        <v>#DIV/0!</v>
      </c>
      <c r="U8" s="35" t="str">
        <f>AVERAGEIF($A6:$A16,"A. Cadera",$G6:$G16)</f>
        <v>#DIV/0!</v>
      </c>
      <c r="W8" s="28" t="s">
        <v>20</v>
      </c>
      <c r="X8" s="1">
        <f>SUM(P7,P12,P18,P23,P28)</f>
        <v>19</v>
      </c>
      <c r="AA8" s="1"/>
    </row>
    <row r="9" ht="14.25" customHeight="1">
      <c r="A9" s="16" t="s">
        <v>17</v>
      </c>
      <c r="B9" s="26" t="s">
        <v>140</v>
      </c>
      <c r="C9" s="29"/>
      <c r="D9" s="29"/>
      <c r="E9" s="16">
        <v>4.0</v>
      </c>
      <c r="F9" s="16">
        <v>10.0</v>
      </c>
      <c r="G9" s="16">
        <v>8.0</v>
      </c>
      <c r="H9" s="31" t="s">
        <v>141</v>
      </c>
      <c r="I9" s="24"/>
      <c r="J9" s="9"/>
      <c r="M9" s="25"/>
      <c r="N9" s="25"/>
      <c r="O9" s="25"/>
      <c r="P9" s="25"/>
      <c r="Q9" s="25"/>
      <c r="R9" s="25"/>
      <c r="S9" s="25"/>
      <c r="T9" s="25"/>
      <c r="U9" s="25"/>
      <c r="W9" s="28" t="s">
        <v>21</v>
      </c>
      <c r="X9" s="1">
        <f>SUM(Q7,Q12,Q18,Q23,Q28)</f>
        <v>20</v>
      </c>
      <c r="AA9" s="1"/>
    </row>
    <row r="10" ht="14.25" customHeight="1">
      <c r="A10" s="72" t="s">
        <v>17</v>
      </c>
      <c r="B10" s="73" t="s">
        <v>144</v>
      </c>
      <c r="C10" s="18"/>
      <c r="D10" s="20"/>
      <c r="E10" s="72">
        <v>3.0</v>
      </c>
      <c r="F10" s="72">
        <v>12.0</v>
      </c>
      <c r="G10" s="72"/>
      <c r="H10" s="74"/>
      <c r="I10" s="75"/>
      <c r="J10" s="9"/>
      <c r="M10" s="11" t="s">
        <v>45</v>
      </c>
      <c r="N10" s="12"/>
      <c r="O10" s="12"/>
      <c r="P10" s="12"/>
      <c r="Q10" s="12"/>
      <c r="R10" s="12"/>
      <c r="S10" s="12"/>
      <c r="T10" s="12"/>
      <c r="U10" s="13"/>
      <c r="W10" s="28" t="s">
        <v>22</v>
      </c>
      <c r="X10" s="1">
        <f>SUM(R7,R12,R18,R23,R28)</f>
        <v>24</v>
      </c>
      <c r="AA10" s="1"/>
    </row>
    <row r="11" ht="14.25" customHeight="1">
      <c r="A11" s="72" t="s">
        <v>47</v>
      </c>
      <c r="B11" s="73" t="s">
        <v>147</v>
      </c>
      <c r="C11" s="18"/>
      <c r="D11" s="20"/>
      <c r="E11" s="72">
        <v>3.0</v>
      </c>
      <c r="F11" s="72" t="s">
        <v>71</v>
      </c>
      <c r="G11" s="72"/>
      <c r="H11" s="80"/>
      <c r="I11" s="75"/>
      <c r="J11" s="9"/>
      <c r="M11" s="25"/>
      <c r="N11" s="28" t="s">
        <v>17</v>
      </c>
      <c r="O11" s="28" t="s">
        <v>19</v>
      </c>
      <c r="P11" s="28" t="s">
        <v>20</v>
      </c>
      <c r="Q11" s="28" t="s">
        <v>21</v>
      </c>
      <c r="R11" s="28" t="s">
        <v>22</v>
      </c>
      <c r="S11" s="28" t="s">
        <v>23</v>
      </c>
      <c r="T11" s="28" t="s">
        <v>24</v>
      </c>
      <c r="U11" s="28" t="s">
        <v>25</v>
      </c>
      <c r="W11" s="28" t="s">
        <v>23</v>
      </c>
      <c r="X11" s="1">
        <f>SUM(S7,S12,S18,S23,S28)</f>
        <v>40</v>
      </c>
      <c r="AA11" s="1"/>
    </row>
    <row r="12" ht="14.25" customHeight="1">
      <c r="A12" s="16" t="s">
        <v>17</v>
      </c>
      <c r="B12" s="26" t="s">
        <v>152</v>
      </c>
      <c r="C12" s="29"/>
      <c r="D12" s="29"/>
      <c r="E12" s="16">
        <v>3.0</v>
      </c>
      <c r="F12" s="16" t="s">
        <v>153</v>
      </c>
      <c r="G12" s="16"/>
      <c r="H12" s="43"/>
      <c r="I12" s="24"/>
      <c r="J12" s="9"/>
      <c r="M12" s="34" t="s">
        <v>36</v>
      </c>
      <c r="N12" s="35">
        <f>SUMIF($A21:$A31,"Empuje",$E21:$E31)</f>
        <v>0</v>
      </c>
      <c r="O12" s="35">
        <f>SUMIF($A21:$A31,"Tracción",$E21:$E31)</f>
        <v>11</v>
      </c>
      <c r="P12" s="35">
        <f>SUMIF($A21:$A31,"Dom. Rodillas",$E21:$E31)</f>
        <v>0</v>
      </c>
      <c r="Q12" s="35">
        <f>SUMIF($A21:$A31,"Dom. Caderas",$E21:$E31)</f>
        <v>6</v>
      </c>
      <c r="R12" s="35">
        <f>SUMIF($A21:$A31,"A. Empuje",$E21:$E31)</f>
        <v>0</v>
      </c>
      <c r="S12" s="35">
        <f>SUMIF($A21:$A31,"A. Tracción",$E21:$E31)</f>
        <v>10</v>
      </c>
      <c r="T12" s="35">
        <f>SUMIF($A21:$A31,"A. Rodillas",$E21:$E31)</f>
        <v>0</v>
      </c>
      <c r="U12" s="35">
        <f>SUMIF($A21:$A31,"A. Cadera",$E21:$E31)</f>
        <v>0</v>
      </c>
      <c r="W12" s="28" t="s">
        <v>24</v>
      </c>
      <c r="X12" s="1">
        <f>SUM(T7,T12,T18,T23,T28)</f>
        <v>4</v>
      </c>
      <c r="AA12" s="1"/>
    </row>
    <row r="13" ht="14.25" customHeight="1">
      <c r="A13" s="16" t="s">
        <v>47</v>
      </c>
      <c r="B13" s="26" t="s">
        <v>96</v>
      </c>
      <c r="C13" s="29"/>
      <c r="D13" s="29"/>
      <c r="E13" s="16">
        <v>3.0</v>
      </c>
      <c r="F13" s="16">
        <v>12.0</v>
      </c>
      <c r="G13" s="16"/>
      <c r="H13" s="43"/>
      <c r="I13" s="24"/>
      <c r="J13" s="9"/>
      <c r="M13" s="34" t="s">
        <v>7</v>
      </c>
      <c r="N13" s="35" t="str">
        <f>AVERAGEIF($A21:$A31,"Empuje",$G21:$G31)</f>
        <v>#DIV/0!</v>
      </c>
      <c r="O13" s="35" t="str">
        <f>AVERAGEIF($A21:$A31,"Tracción",$G21:$G31)</f>
        <v>#DIV/0!</v>
      </c>
      <c r="P13" s="35" t="str">
        <f>AVERAGEIF($A21:$A31,"Dom. Rodillas",$G21:$G31)</f>
        <v>#DIV/0!</v>
      </c>
      <c r="Q13" s="35" t="str">
        <f>AVERAGEIF($A21:$A31,"Dom.Cadera",$G21:$G31)</f>
        <v>#DIV/0!</v>
      </c>
      <c r="R13" s="35" t="str">
        <f>AVERAGEIF($A21:$A31,"A. Empuje",$G21:$G31)</f>
        <v>#DIV/0!</v>
      </c>
      <c r="S13" s="35" t="str">
        <f>AVERAGEIF($A21:$A31,"A. Tracción",$G21:$G31)</f>
        <v>#DIV/0!</v>
      </c>
      <c r="T13" s="35" t="str">
        <f>AVERAGEIF($A21:$A31,"A. Rodillas",$G21:$G31)</f>
        <v>#DIV/0!</v>
      </c>
      <c r="U13" s="35" t="str">
        <f>AVERAGEIF($A21:$A31,"A. Cadera",$G21:$G31)</f>
        <v>#DIV/0!</v>
      </c>
      <c r="W13" s="28" t="s">
        <v>25</v>
      </c>
      <c r="X13" s="1">
        <f>SUM(U7,U12,U18,U23,U28)</f>
        <v>0</v>
      </c>
      <c r="AA13" s="1"/>
    </row>
    <row r="14" ht="14.25" customHeight="1">
      <c r="A14" s="72" t="s">
        <v>17</v>
      </c>
      <c r="B14" s="73" t="s">
        <v>164</v>
      </c>
      <c r="C14" s="18"/>
      <c r="D14" s="20"/>
      <c r="E14" s="72">
        <v>3.0</v>
      </c>
      <c r="F14" s="72" t="s">
        <v>165</v>
      </c>
      <c r="G14" s="72"/>
      <c r="H14" s="80"/>
      <c r="I14" s="75"/>
      <c r="J14" s="9"/>
      <c r="M14" s="25"/>
      <c r="N14" s="25"/>
      <c r="O14" s="25"/>
      <c r="P14" s="25"/>
      <c r="Q14" s="25"/>
      <c r="R14" s="25"/>
      <c r="S14" s="25"/>
      <c r="T14" s="25"/>
      <c r="U14" s="25"/>
      <c r="W14" s="1"/>
      <c r="X14" s="1"/>
      <c r="AA14" s="1"/>
    </row>
    <row r="15" ht="14.25" customHeight="1">
      <c r="A15" s="72" t="s">
        <v>22</v>
      </c>
      <c r="B15" s="87" t="s">
        <v>167</v>
      </c>
      <c r="C15" s="8"/>
      <c r="D15" s="9"/>
      <c r="E15" s="72">
        <v>3.0</v>
      </c>
      <c r="F15" s="72" t="s">
        <v>168</v>
      </c>
      <c r="G15" s="72"/>
      <c r="H15" s="80"/>
      <c r="I15" s="88"/>
      <c r="J15" s="89"/>
      <c r="M15" s="25"/>
      <c r="N15" s="25"/>
      <c r="O15" s="25"/>
      <c r="P15" s="25"/>
      <c r="Q15" s="25"/>
      <c r="R15" s="25"/>
      <c r="S15" s="25"/>
      <c r="T15" s="25"/>
      <c r="U15" s="25"/>
      <c r="W15" s="1"/>
      <c r="X15" s="1"/>
      <c r="AA15" s="1"/>
    </row>
    <row r="16" ht="14.25" customHeight="1">
      <c r="A16" s="72" t="s">
        <v>22</v>
      </c>
      <c r="B16" s="73" t="s">
        <v>170</v>
      </c>
      <c r="C16" s="18"/>
      <c r="D16" s="20"/>
      <c r="E16" s="72">
        <v>4.0</v>
      </c>
      <c r="F16" s="72" t="s">
        <v>171</v>
      </c>
      <c r="G16" s="72"/>
      <c r="H16" s="72"/>
      <c r="I16" s="75"/>
      <c r="J16" s="9"/>
      <c r="M16" s="11" t="s">
        <v>57</v>
      </c>
      <c r="N16" s="12"/>
      <c r="O16" s="12"/>
      <c r="P16" s="12"/>
      <c r="Q16" s="12"/>
      <c r="R16" s="12"/>
      <c r="S16" s="12"/>
      <c r="T16" s="12"/>
      <c r="U16" s="13"/>
      <c r="W16" s="1"/>
      <c r="X16" s="1"/>
      <c r="AA16" s="1"/>
    </row>
    <row r="17" ht="14.25" customHeight="1">
      <c r="B17" s="26"/>
      <c r="C17" s="29"/>
      <c r="D17" s="29"/>
      <c r="M17" s="25"/>
      <c r="N17" s="28" t="s">
        <v>17</v>
      </c>
      <c r="O17" s="28" t="s">
        <v>19</v>
      </c>
      <c r="P17" s="28" t="s">
        <v>20</v>
      </c>
      <c r="Q17" s="28" t="s">
        <v>21</v>
      </c>
      <c r="R17" s="28" t="s">
        <v>22</v>
      </c>
      <c r="S17" s="28" t="s">
        <v>23</v>
      </c>
      <c r="T17" s="28" t="s">
        <v>24</v>
      </c>
      <c r="U17" s="28" t="s">
        <v>25</v>
      </c>
      <c r="W17" s="1"/>
      <c r="X17" s="1"/>
      <c r="Y17" s="1"/>
      <c r="Z17" s="1"/>
      <c r="AA17" s="1"/>
    </row>
    <row r="18" ht="14.25" customHeight="1">
      <c r="M18" s="34" t="s">
        <v>36</v>
      </c>
      <c r="N18" s="35">
        <f>SUMIF($A36:$A45,"Empuje",$E36:$E45)</f>
        <v>0</v>
      </c>
      <c r="O18" s="35">
        <f>SUMIF($A36:$A45,"Tracción",$E36:$E45)</f>
        <v>0</v>
      </c>
      <c r="P18" s="35">
        <f>SUMIF($A36:$A45,"Dom. Rodillas",$E36:$E45)</f>
        <v>13</v>
      </c>
      <c r="Q18" s="35">
        <f>SUMIF($A36:$A45,"Dom. Caderas",$E36:$E45)</f>
        <v>0</v>
      </c>
      <c r="R18" s="35">
        <f>SUMIF($A36:$A45,"A. Empuje",$E36:$E45)</f>
        <v>11</v>
      </c>
      <c r="S18" s="35">
        <f>SUMIF($A36:$A45,"A. Tracción",$E36:$E45)</f>
        <v>0</v>
      </c>
      <c r="T18" s="35">
        <f>SUMIF($A36:$A45,"A. Rodillas",$E36:$E45)</f>
        <v>0</v>
      </c>
      <c r="U18" s="35">
        <f>SUMIF($A36:$A45,"A. Cadera",$E36:$E45)</f>
        <v>0</v>
      </c>
      <c r="X18" s="1"/>
      <c r="Y18" s="1"/>
      <c r="Z18" s="1"/>
      <c r="AA18" s="1"/>
    </row>
    <row r="19" ht="14.25" customHeight="1">
      <c r="A19" s="2" t="s">
        <v>180</v>
      </c>
      <c r="B19" s="3"/>
      <c r="C19" s="4"/>
      <c r="J19" s="1"/>
      <c r="M19" s="34" t="s">
        <v>7</v>
      </c>
      <c r="N19" s="35" t="str">
        <f>AVERAGEIF($A36:$A45,"Empuje",$G36:$G45)</f>
        <v>#DIV/0!</v>
      </c>
      <c r="O19" s="35" t="str">
        <f>AVERAGEIF($A36:$A45,"Tracción",$G36:$G45)</f>
        <v>#DIV/0!</v>
      </c>
      <c r="P19" s="35" t="str">
        <f>AVERAGEIF($A36:$A45,"Dom. Rodillas",$G36:$G45)</f>
        <v>#DIV/0!</v>
      </c>
      <c r="Q19" s="35" t="str">
        <f>AVERAGEIF($A36:$A45,"Dom. Caderas",$G36:$G45)</f>
        <v>#DIV/0!</v>
      </c>
      <c r="R19" s="35" t="str">
        <f>AVERAGEIF($A36:$A45,"A. Empuje",$G36:$G45)</f>
        <v>#DIV/0!</v>
      </c>
      <c r="S19" s="35" t="str">
        <f>AVERAGEIF($A36:$A45,"A. Tracción",$G36:$G45)</f>
        <v>#DIV/0!</v>
      </c>
      <c r="T19" s="35" t="str">
        <f>AVERAGEIF($A36:$A45,"A. Rodillas",$G36:$G45)</f>
        <v>#DIV/0!</v>
      </c>
      <c r="U19" s="35" t="str">
        <f>AVERAGEIF($A36:$A45,"A. Cadera",$G36:$G45)</f>
        <v>#DIV/0!</v>
      </c>
      <c r="X19" s="1"/>
      <c r="Y19" s="1"/>
      <c r="Z19" s="1"/>
      <c r="AA19" s="1"/>
    </row>
    <row r="20" ht="14.25" customHeight="1">
      <c r="A20" s="6" t="s">
        <v>3</v>
      </c>
      <c r="B20" s="10" t="s">
        <v>4</v>
      </c>
      <c r="C20" s="8"/>
      <c r="D20" s="9"/>
      <c r="E20" s="6" t="s">
        <v>5</v>
      </c>
      <c r="F20" s="6" t="s">
        <v>6</v>
      </c>
      <c r="G20" s="6" t="s">
        <v>7</v>
      </c>
      <c r="H20" s="6" t="s">
        <v>8</v>
      </c>
      <c r="I20" s="10" t="s">
        <v>9</v>
      </c>
      <c r="J20" s="9"/>
      <c r="M20" s="25"/>
      <c r="N20" s="25"/>
      <c r="O20" s="25"/>
      <c r="P20" s="25"/>
      <c r="Q20" s="25"/>
      <c r="R20" s="25"/>
      <c r="S20" s="25"/>
      <c r="T20" s="25"/>
      <c r="U20" s="25"/>
      <c r="X20" s="1"/>
      <c r="Y20" s="1"/>
      <c r="Z20" s="1"/>
      <c r="AA20" s="1"/>
    </row>
    <row r="21" ht="14.25" customHeight="1">
      <c r="A21" s="49"/>
      <c r="B21" s="50" t="s">
        <v>184</v>
      </c>
      <c r="C21" s="18"/>
      <c r="D21" s="20"/>
      <c r="E21" s="49">
        <v>2.0</v>
      </c>
      <c r="F21" s="49">
        <v>10.0</v>
      </c>
      <c r="G21" s="49"/>
      <c r="H21" s="49"/>
      <c r="I21" s="51"/>
      <c r="J21" s="9"/>
      <c r="M21" s="11" t="s">
        <v>66</v>
      </c>
      <c r="N21" s="12"/>
      <c r="O21" s="12"/>
      <c r="P21" s="12"/>
      <c r="Q21" s="12"/>
      <c r="R21" s="12"/>
      <c r="S21" s="12"/>
      <c r="T21" s="12"/>
      <c r="U21" s="13"/>
      <c r="X21" s="1"/>
      <c r="Y21" s="1"/>
      <c r="Z21" s="1"/>
      <c r="AA21" s="1"/>
    </row>
    <row r="22" ht="14.25" customHeight="1">
      <c r="A22" s="49"/>
      <c r="B22" s="50" t="s">
        <v>186</v>
      </c>
      <c r="C22" s="18"/>
      <c r="D22" s="20"/>
      <c r="E22" s="49">
        <v>3.0</v>
      </c>
      <c r="F22" s="49">
        <v>12.0</v>
      </c>
      <c r="G22" s="49"/>
      <c r="H22" s="49"/>
      <c r="I22" s="51"/>
      <c r="J22" s="9"/>
      <c r="M22" s="25"/>
      <c r="N22" s="28" t="s">
        <v>17</v>
      </c>
      <c r="O22" s="28" t="s">
        <v>19</v>
      </c>
      <c r="P22" s="28" t="s">
        <v>20</v>
      </c>
      <c r="Q22" s="28" t="s">
        <v>21</v>
      </c>
      <c r="R22" s="28" t="s">
        <v>22</v>
      </c>
      <c r="S22" s="28" t="s">
        <v>23</v>
      </c>
      <c r="T22" s="28" t="s">
        <v>24</v>
      </c>
      <c r="U22" s="28" t="s">
        <v>25</v>
      </c>
      <c r="X22" s="1"/>
      <c r="Y22" s="1"/>
      <c r="Z22" s="1"/>
      <c r="AA22" s="1"/>
    </row>
    <row r="23" ht="14.25" customHeight="1">
      <c r="A23" s="49"/>
      <c r="B23" s="50" t="s">
        <v>187</v>
      </c>
      <c r="C23" s="18"/>
      <c r="D23" s="20"/>
      <c r="E23" s="49">
        <v>3.0</v>
      </c>
      <c r="F23" s="49" t="s">
        <v>65</v>
      </c>
      <c r="G23" s="49"/>
      <c r="H23" s="49"/>
      <c r="I23" s="51"/>
      <c r="J23" s="9"/>
      <c r="M23" s="34" t="s">
        <v>36</v>
      </c>
      <c r="N23" s="35">
        <f>SUMIF($A50:$A59,"Empuje",$E50:$E59)</f>
        <v>0</v>
      </c>
      <c r="O23" s="35">
        <f>SUMIF($A50:$A59,"Tracción",$E50:$E59)</f>
        <v>0</v>
      </c>
      <c r="P23" s="35">
        <f>SUMIF($A50:$A59,"Dom. Rodillas",$E50:$E59)</f>
        <v>0</v>
      </c>
      <c r="Q23" s="35">
        <f>SUMIF($A50:$A59,"Dom. Caderas",$E50:$E59)</f>
        <v>0</v>
      </c>
      <c r="R23" s="35">
        <f>SUMIF($A50:$A59,"A. Empuje",$E50:$E59)</f>
        <v>6</v>
      </c>
      <c r="S23" s="35">
        <f>SUMIF($A50:$A59,"A. Tracción",$E50:$E59)</f>
        <v>21</v>
      </c>
      <c r="T23" s="35">
        <f>SUMIF($A50:$A59,"A. Rodillas",$E50:$E59)</f>
        <v>0</v>
      </c>
      <c r="U23" s="35">
        <f>SUMIF($A50:$A59,"A. Cadera",$E50:$E59)</f>
        <v>0</v>
      </c>
    </row>
    <row r="24" ht="14.25" customHeight="1">
      <c r="A24" s="16" t="s">
        <v>19</v>
      </c>
      <c r="B24" s="26" t="s">
        <v>82</v>
      </c>
      <c r="C24" s="29"/>
      <c r="D24" s="29"/>
      <c r="E24" s="16">
        <v>4.0</v>
      </c>
      <c r="F24" s="16">
        <v>10.0</v>
      </c>
      <c r="G24" s="16"/>
      <c r="H24" s="16"/>
      <c r="I24" s="24"/>
      <c r="J24" s="9"/>
      <c r="M24" s="34" t="s">
        <v>7</v>
      </c>
      <c r="N24" s="35" t="str">
        <f>AVERAGEIF($A50:$A59,"Empuje",$G50:$G59)</f>
        <v>#DIV/0!</v>
      </c>
      <c r="O24" s="35" t="str">
        <f>AVERAGEIF($A50:$A59,"Tracción",$G50:$G59)</f>
        <v>#DIV/0!</v>
      </c>
      <c r="P24" s="35" t="str">
        <f>AVERAGEIF($A50:$A59,"Dom. Rodillas",$G50:$G59)</f>
        <v>#DIV/0!</v>
      </c>
      <c r="Q24" s="35" t="str">
        <f>AVERAGEIF($A50:$A59,"Dom. Caderas",$G50:$G59)</f>
        <v>#DIV/0!</v>
      </c>
      <c r="R24" s="35" t="str">
        <f>AVERAGEIF($A50:$A59,"A. Empuje",$G50:$G59)</f>
        <v>#DIV/0!</v>
      </c>
      <c r="S24" s="35" t="str">
        <f>AVERAGEIF($A50:$A59,"A. Tracción",$G50:$G59)</f>
        <v>#DIV/0!</v>
      </c>
      <c r="T24" s="35" t="str">
        <f>AVERAGEIF($A50:$A59,"A. Rodillas",$G50:$G59)</f>
        <v>#DIV/0!</v>
      </c>
      <c r="U24" s="35" t="str">
        <f>AVERAGEIF($A50:$A59,"A. Cadera",$G50:$G59)</f>
        <v>#DIV/0!</v>
      </c>
    </row>
    <row r="25" ht="14.25" customHeight="1">
      <c r="A25" s="72" t="s">
        <v>19</v>
      </c>
      <c r="B25" s="73" t="s">
        <v>192</v>
      </c>
      <c r="C25" s="18"/>
      <c r="D25" s="20"/>
      <c r="E25" s="72">
        <v>3.0</v>
      </c>
      <c r="F25" s="72">
        <v>12.0</v>
      </c>
      <c r="G25" s="72"/>
      <c r="H25" s="72"/>
      <c r="I25" s="75"/>
      <c r="J25" s="9"/>
      <c r="M25" s="25"/>
      <c r="N25" s="25"/>
      <c r="O25" s="25"/>
      <c r="P25" s="25"/>
      <c r="Q25" s="25"/>
      <c r="R25" s="25"/>
      <c r="S25" s="25"/>
      <c r="T25" s="25"/>
      <c r="U25" s="25"/>
    </row>
    <row r="26" ht="14.25" customHeight="1">
      <c r="A26" s="72" t="s">
        <v>73</v>
      </c>
      <c r="B26" s="73" t="s">
        <v>193</v>
      </c>
      <c r="C26" s="18"/>
      <c r="D26" s="20"/>
      <c r="E26" s="72">
        <v>3.0</v>
      </c>
      <c r="F26" s="72">
        <v>12.0</v>
      </c>
      <c r="G26" s="72"/>
      <c r="H26" s="72"/>
      <c r="I26" s="75"/>
      <c r="J26" s="9"/>
      <c r="M26" s="11" t="s">
        <v>76</v>
      </c>
      <c r="N26" s="12"/>
      <c r="O26" s="12"/>
      <c r="P26" s="12"/>
      <c r="Q26" s="12"/>
      <c r="R26" s="12"/>
      <c r="S26" s="12"/>
      <c r="T26" s="12"/>
      <c r="U26" s="13"/>
    </row>
    <row r="27" ht="14.25" customHeight="1">
      <c r="A27" s="16" t="s">
        <v>19</v>
      </c>
      <c r="B27" s="26" t="s">
        <v>194</v>
      </c>
      <c r="C27" s="29"/>
      <c r="D27" s="29"/>
      <c r="E27" s="16">
        <v>4.0</v>
      </c>
      <c r="F27" s="16">
        <v>10.0</v>
      </c>
      <c r="G27" s="16"/>
      <c r="H27" s="16"/>
      <c r="I27" s="24"/>
      <c r="J27" s="9"/>
      <c r="M27" s="25"/>
      <c r="N27" s="28" t="s">
        <v>17</v>
      </c>
      <c r="O27" s="28" t="s">
        <v>19</v>
      </c>
      <c r="P27" s="28" t="s">
        <v>20</v>
      </c>
      <c r="Q27" s="28" t="s">
        <v>21</v>
      </c>
      <c r="R27" s="28" t="s">
        <v>22</v>
      </c>
      <c r="S27" s="28" t="s">
        <v>23</v>
      </c>
      <c r="T27" s="28" t="s">
        <v>24</v>
      </c>
      <c r="U27" s="28" t="s">
        <v>25</v>
      </c>
    </row>
    <row r="28" ht="14.25" customHeight="1">
      <c r="A28" s="16" t="s">
        <v>73</v>
      </c>
      <c r="B28" s="26" t="s">
        <v>196</v>
      </c>
      <c r="C28" s="29"/>
      <c r="D28" s="29"/>
      <c r="E28" s="16">
        <v>3.0</v>
      </c>
      <c r="F28" s="16">
        <v>10.0</v>
      </c>
      <c r="G28" s="16"/>
      <c r="H28" s="16"/>
      <c r="I28" s="24"/>
      <c r="J28" s="9"/>
      <c r="M28" s="34" t="s">
        <v>36</v>
      </c>
      <c r="N28" s="35">
        <f>SUMIF($A64:$A74,"Empuje",$E64:$E74)</f>
        <v>0</v>
      </c>
      <c r="O28" s="35">
        <f>SUMIF($A64:$A74,"Tracción",$E64:$E74)</f>
        <v>0</v>
      </c>
      <c r="P28" s="35">
        <f>SUMIF($A64:$A74,"Dom. Rodillas",$E64:$E74)</f>
        <v>0</v>
      </c>
      <c r="Q28" s="35">
        <f>SUMIF($A64:$A74,"Dom. Caderas",$E64:$E74)</f>
        <v>14</v>
      </c>
      <c r="R28" s="35">
        <f>SUMIF($A64:$A74,"A. Empuje",$E64:$E74)</f>
        <v>0</v>
      </c>
      <c r="S28" s="35">
        <f>SUMIF($A64:$A74,"A. Tracción",$E64:$E74)</f>
        <v>9</v>
      </c>
      <c r="T28" s="35">
        <f>SUMIF($A64:$A74,"A. Rodillas",$E64:$E74)</f>
        <v>4</v>
      </c>
      <c r="U28" s="35">
        <f>SUMIF($A64:$A74,"A. Cadera",$E64:$E74)</f>
        <v>0</v>
      </c>
    </row>
    <row r="29" ht="14.25" customHeight="1">
      <c r="A29" s="72" t="s">
        <v>23</v>
      </c>
      <c r="B29" s="73" t="s">
        <v>200</v>
      </c>
      <c r="C29" s="18"/>
      <c r="D29" s="20"/>
      <c r="E29" s="72">
        <v>4.0</v>
      </c>
      <c r="F29" s="72">
        <v>10.0</v>
      </c>
      <c r="G29" s="72"/>
      <c r="H29" s="72"/>
      <c r="I29" s="75"/>
      <c r="J29" s="9"/>
      <c r="M29" s="34" t="s">
        <v>7</v>
      </c>
      <c r="N29" s="35" t="str">
        <f>AVERAGEIF($A64:$A74,"Empuje",$G64:$G74)</f>
        <v>#DIV/0!</v>
      </c>
      <c r="O29" s="35" t="str">
        <f>AVERAGEIF($A64:$A74,"Tracción",$G64:$G74)</f>
        <v>#DIV/0!</v>
      </c>
      <c r="P29" s="35" t="str">
        <f>AVERAGEIF($A64:$A74,"Dom. Rodillas",$G64:$G74)</f>
        <v>#DIV/0!</v>
      </c>
      <c r="Q29" s="35" t="str">
        <f>AVERAGEIF($A64:$A74,"Dom. Caderas",$G64:$G74)</f>
        <v>#DIV/0!</v>
      </c>
      <c r="R29" s="35" t="str">
        <f>AVERAGEIF($A64:$A74,"A. Empuje",$G64:$G74)</f>
        <v>#DIV/0!</v>
      </c>
      <c r="S29" s="35" t="str">
        <f>AVERAGEIF($A64:$A74,"A. Tracción",$G64:$G74)</f>
        <v>#DIV/0!</v>
      </c>
      <c r="T29" s="35" t="str">
        <f>AVERAGEIF($A64:$A74,"A. Rodillas",$G64:$G74)</f>
        <v>#DIV/0!</v>
      </c>
      <c r="U29" s="35" t="str">
        <f>AVERAGEIF($A64:$A74,"A. Cadera",$G64:$G74)</f>
        <v>#DIV/0!</v>
      </c>
    </row>
    <row r="30" ht="14.25" customHeight="1">
      <c r="A30" s="72" t="s">
        <v>23</v>
      </c>
      <c r="B30" s="87" t="s">
        <v>202</v>
      </c>
      <c r="C30" s="8"/>
      <c r="D30" s="9"/>
      <c r="E30" s="72">
        <v>3.0</v>
      </c>
      <c r="F30" s="72" t="s">
        <v>71</v>
      </c>
      <c r="G30" s="72"/>
      <c r="H30" s="72"/>
      <c r="I30" s="88"/>
      <c r="J30" s="89"/>
      <c r="M30" s="65"/>
      <c r="N30" s="25"/>
      <c r="O30" s="25"/>
      <c r="P30" s="25"/>
      <c r="Q30" s="25"/>
      <c r="R30" s="25"/>
      <c r="S30" s="25"/>
      <c r="T30" s="25"/>
      <c r="U30" s="25"/>
    </row>
    <row r="31" ht="14.25" customHeight="1">
      <c r="A31" s="72" t="s">
        <v>23</v>
      </c>
      <c r="B31" s="87" t="s">
        <v>203</v>
      </c>
      <c r="C31" s="8"/>
      <c r="D31" s="9"/>
      <c r="E31" s="72">
        <v>3.0</v>
      </c>
      <c r="F31" s="72" t="s">
        <v>204</v>
      </c>
      <c r="G31" s="72"/>
      <c r="H31" s="72"/>
      <c r="I31" s="75"/>
      <c r="J31" s="9"/>
    </row>
    <row r="32" ht="14.25" customHeight="1">
      <c r="B32" s="26"/>
      <c r="C32" s="29"/>
      <c r="D32" s="29"/>
    </row>
    <row r="33" ht="14.25" customHeight="1"/>
    <row r="34" ht="14.25" customHeight="1">
      <c r="A34" s="2" t="s">
        <v>205</v>
      </c>
      <c r="B34" s="3"/>
      <c r="C34" s="4"/>
      <c r="J34" s="1"/>
    </row>
    <row r="35" ht="14.25" customHeight="1">
      <c r="A35" s="6" t="s">
        <v>3</v>
      </c>
      <c r="B35" s="10" t="s">
        <v>4</v>
      </c>
      <c r="C35" s="8"/>
      <c r="D35" s="9"/>
      <c r="E35" s="6" t="s">
        <v>5</v>
      </c>
      <c r="F35" s="6" t="s">
        <v>6</v>
      </c>
      <c r="G35" s="6" t="s">
        <v>7</v>
      </c>
      <c r="H35" s="6" t="s">
        <v>8</v>
      </c>
      <c r="I35" s="10" t="s">
        <v>9</v>
      </c>
      <c r="J35" s="9"/>
    </row>
    <row r="36" ht="14.25" customHeight="1">
      <c r="A36" s="49"/>
      <c r="B36" s="50" t="s">
        <v>206</v>
      </c>
      <c r="C36" s="18"/>
      <c r="D36" s="20"/>
      <c r="E36" s="49">
        <v>2.0</v>
      </c>
      <c r="F36" s="49" t="s">
        <v>178</v>
      </c>
      <c r="G36" s="49"/>
      <c r="H36" s="67"/>
      <c r="I36" s="51"/>
      <c r="J36" s="9"/>
    </row>
    <row r="37" ht="14.25" customHeight="1">
      <c r="A37" s="49"/>
      <c r="B37" s="50" t="s">
        <v>208</v>
      </c>
      <c r="C37" s="18"/>
      <c r="D37" s="20"/>
      <c r="E37" s="49">
        <v>3.0</v>
      </c>
      <c r="F37" s="49">
        <v>10.0</v>
      </c>
      <c r="G37" s="49"/>
      <c r="H37" s="67"/>
      <c r="I37" s="51"/>
      <c r="J37" s="9"/>
    </row>
    <row r="38" ht="14.25" customHeight="1">
      <c r="A38" s="49"/>
      <c r="B38" s="50" t="s">
        <v>210</v>
      </c>
      <c r="C38" s="18"/>
      <c r="D38" s="20"/>
      <c r="E38" s="49">
        <v>3.0</v>
      </c>
      <c r="F38" s="49">
        <v>10.0</v>
      </c>
      <c r="G38" s="49"/>
      <c r="H38" s="67"/>
      <c r="I38" s="51"/>
      <c r="J38" s="9"/>
    </row>
    <row r="39" ht="14.25" customHeight="1">
      <c r="A39" s="16" t="s">
        <v>47</v>
      </c>
      <c r="B39" s="26" t="s">
        <v>211</v>
      </c>
      <c r="C39" s="29"/>
      <c r="D39" s="29"/>
      <c r="E39" s="16">
        <v>4.0</v>
      </c>
      <c r="F39" s="16">
        <v>10.0</v>
      </c>
      <c r="G39" s="16"/>
      <c r="H39" s="31"/>
      <c r="I39" s="24"/>
      <c r="J39" s="9"/>
    </row>
    <row r="40" ht="14.25" customHeight="1">
      <c r="A40" s="72" t="s">
        <v>22</v>
      </c>
      <c r="B40" s="73" t="s">
        <v>212</v>
      </c>
      <c r="C40" s="18"/>
      <c r="D40" s="20"/>
      <c r="E40" s="72">
        <v>3.0</v>
      </c>
      <c r="F40" s="72">
        <v>12.0</v>
      </c>
      <c r="G40" s="72"/>
      <c r="H40" s="72"/>
      <c r="I40" s="75"/>
      <c r="J40" s="9"/>
    </row>
    <row r="41" ht="14.25" customHeight="1">
      <c r="A41" s="72" t="s">
        <v>47</v>
      </c>
      <c r="B41" s="73" t="s">
        <v>214</v>
      </c>
      <c r="C41" s="18"/>
      <c r="D41" s="20"/>
      <c r="E41" s="72">
        <v>3.0</v>
      </c>
      <c r="F41" s="72" t="s">
        <v>215</v>
      </c>
      <c r="G41" s="72"/>
      <c r="H41" s="72"/>
      <c r="I41" s="75"/>
      <c r="J41" s="9"/>
    </row>
    <row r="42" ht="14.25" customHeight="1">
      <c r="A42" s="16" t="s">
        <v>22</v>
      </c>
      <c r="B42" s="26" t="s">
        <v>216</v>
      </c>
      <c r="C42" s="29"/>
      <c r="D42" s="29"/>
      <c r="E42" s="16">
        <v>4.0</v>
      </c>
      <c r="F42" s="16">
        <v>10.0</v>
      </c>
      <c r="G42" s="16"/>
      <c r="H42" s="16"/>
      <c r="I42" s="24"/>
      <c r="J42" s="9"/>
    </row>
    <row r="43" ht="14.25" customHeight="1">
      <c r="A43" s="16" t="s">
        <v>47</v>
      </c>
      <c r="B43" s="26" t="s">
        <v>217</v>
      </c>
      <c r="C43" s="29"/>
      <c r="D43" s="29"/>
      <c r="E43" s="16">
        <v>3.0</v>
      </c>
      <c r="F43" s="16" t="s">
        <v>218</v>
      </c>
      <c r="G43" s="16"/>
      <c r="H43" s="16"/>
      <c r="I43" s="24"/>
      <c r="J43" s="9"/>
    </row>
    <row r="44" ht="14.25" customHeight="1">
      <c r="A44" s="72" t="s">
        <v>22</v>
      </c>
      <c r="B44" s="73" t="s">
        <v>220</v>
      </c>
      <c r="C44" s="18"/>
      <c r="D44" s="20"/>
      <c r="E44" s="72">
        <v>4.0</v>
      </c>
      <c r="F44" s="72">
        <v>10.0</v>
      </c>
      <c r="G44" s="72"/>
      <c r="H44" s="72"/>
      <c r="I44" s="75"/>
      <c r="J44" s="9"/>
    </row>
    <row r="45" ht="14.25" customHeight="1">
      <c r="A45" s="72" t="s">
        <v>47</v>
      </c>
      <c r="B45" s="87" t="s">
        <v>96</v>
      </c>
      <c r="C45" s="8"/>
      <c r="D45" s="9"/>
      <c r="E45" s="72">
        <v>3.0</v>
      </c>
      <c r="F45" s="72">
        <v>15.0</v>
      </c>
      <c r="G45" s="72"/>
      <c r="H45" s="72"/>
      <c r="I45" s="87"/>
      <c r="J45" s="9"/>
    </row>
    <row r="46" ht="14.25" customHeight="1">
      <c r="B46" s="26"/>
      <c r="C46" s="29"/>
      <c r="D46" s="29"/>
    </row>
    <row r="47" ht="14.25" customHeight="1"/>
    <row r="48" ht="14.25" customHeight="1">
      <c r="A48" s="2" t="s">
        <v>223</v>
      </c>
      <c r="B48" s="3"/>
      <c r="C48" s="4"/>
      <c r="J48" s="1"/>
    </row>
    <row r="49" ht="14.25" customHeight="1">
      <c r="A49" s="6" t="s">
        <v>3</v>
      </c>
      <c r="B49" s="10" t="s">
        <v>4</v>
      </c>
      <c r="C49" s="8"/>
      <c r="D49" s="9"/>
      <c r="E49" s="6" t="s">
        <v>5</v>
      </c>
      <c r="F49" s="6" t="s">
        <v>6</v>
      </c>
      <c r="G49" s="6" t="s">
        <v>7</v>
      </c>
      <c r="H49" s="6" t="s">
        <v>8</v>
      </c>
      <c r="I49" s="10" t="s">
        <v>9</v>
      </c>
      <c r="J49" s="9"/>
    </row>
    <row r="50" ht="14.25" customHeight="1">
      <c r="A50" s="15"/>
      <c r="B50" s="17" t="s">
        <v>225</v>
      </c>
      <c r="C50" s="18"/>
      <c r="D50" s="20"/>
      <c r="E50" s="15"/>
      <c r="F50" s="15"/>
      <c r="G50" s="15"/>
      <c r="H50" s="15"/>
      <c r="I50" s="23"/>
      <c r="J50" s="9"/>
    </row>
    <row r="51" ht="14.25" customHeight="1">
      <c r="A51" s="15"/>
      <c r="B51" s="17" t="s">
        <v>229</v>
      </c>
      <c r="C51" s="18"/>
      <c r="D51" s="20"/>
      <c r="E51" s="15"/>
      <c r="F51" s="15"/>
      <c r="G51" s="15"/>
      <c r="H51" s="15"/>
      <c r="I51" s="23"/>
      <c r="J51" s="9"/>
    </row>
    <row r="52" ht="14.25" customHeight="1">
      <c r="A52" s="99" t="s">
        <v>23</v>
      </c>
      <c r="B52" s="100" t="s">
        <v>135</v>
      </c>
      <c r="C52" s="18"/>
      <c r="D52" s="20"/>
      <c r="E52" s="99">
        <v>4.0</v>
      </c>
      <c r="F52" s="99">
        <v>12.0</v>
      </c>
      <c r="G52" s="99"/>
      <c r="H52" s="99"/>
      <c r="I52" s="101"/>
      <c r="J52" s="9"/>
    </row>
    <row r="53" ht="14.25" customHeight="1">
      <c r="A53" s="16" t="s">
        <v>23</v>
      </c>
      <c r="B53" s="100" t="s">
        <v>232</v>
      </c>
      <c r="C53" s="18"/>
      <c r="D53" s="20"/>
      <c r="E53" s="99">
        <v>3.0</v>
      </c>
      <c r="F53" s="99">
        <v>10.0</v>
      </c>
      <c r="G53" s="99"/>
      <c r="H53" s="99"/>
      <c r="I53" s="101"/>
      <c r="J53" s="9"/>
    </row>
    <row r="54" ht="14.25" customHeight="1">
      <c r="A54" s="16" t="s">
        <v>22</v>
      </c>
      <c r="B54" s="100" t="s">
        <v>234</v>
      </c>
      <c r="C54" s="18"/>
      <c r="D54" s="20"/>
      <c r="E54" s="99">
        <v>3.0</v>
      </c>
      <c r="F54" s="99">
        <v>12.0</v>
      </c>
      <c r="G54" s="99"/>
      <c r="H54" s="99"/>
      <c r="I54" s="101"/>
      <c r="J54" s="9"/>
    </row>
    <row r="55" ht="14.25" customHeight="1">
      <c r="A55" s="16" t="s">
        <v>23</v>
      </c>
      <c r="B55" s="100" t="s">
        <v>236</v>
      </c>
      <c r="C55" s="18"/>
      <c r="D55" s="20"/>
      <c r="E55" s="99">
        <v>4.0</v>
      </c>
      <c r="F55" s="99">
        <v>10.0</v>
      </c>
      <c r="G55" s="99"/>
      <c r="H55" s="99"/>
      <c r="I55" s="101"/>
      <c r="J55" s="9"/>
    </row>
    <row r="56" ht="14.25" customHeight="1">
      <c r="A56" s="16" t="s">
        <v>22</v>
      </c>
      <c r="B56" s="100" t="s">
        <v>237</v>
      </c>
      <c r="C56" s="18"/>
      <c r="D56" s="20"/>
      <c r="E56" s="99">
        <v>3.0</v>
      </c>
      <c r="F56" s="99">
        <v>15.0</v>
      </c>
      <c r="G56" s="99"/>
      <c r="H56" s="99"/>
      <c r="I56" s="101"/>
      <c r="J56" s="9"/>
      <c r="M56" s="82">
        <v>0.0</v>
      </c>
    </row>
    <row r="57" ht="14.25" customHeight="1">
      <c r="A57" s="16" t="s">
        <v>23</v>
      </c>
      <c r="B57" s="100" t="s">
        <v>238</v>
      </c>
      <c r="C57" s="18"/>
      <c r="D57" s="20"/>
      <c r="E57" s="99">
        <v>3.0</v>
      </c>
      <c r="F57" s="99" t="s">
        <v>178</v>
      </c>
      <c r="G57" s="99"/>
      <c r="H57" s="99"/>
      <c r="I57" s="101"/>
      <c r="J57" s="9"/>
    </row>
    <row r="58" ht="14.25" customHeight="1">
      <c r="A58" s="16" t="s">
        <v>23</v>
      </c>
      <c r="B58" s="100" t="s">
        <v>93</v>
      </c>
      <c r="C58" s="18"/>
      <c r="D58" s="20"/>
      <c r="E58" s="99">
        <v>4.0</v>
      </c>
      <c r="F58" s="99">
        <v>10.0</v>
      </c>
      <c r="G58" s="99"/>
      <c r="H58" s="99"/>
      <c r="I58" s="101"/>
      <c r="J58" s="9"/>
    </row>
    <row r="59" ht="14.25" customHeight="1">
      <c r="A59" s="16" t="s">
        <v>23</v>
      </c>
      <c r="B59" s="102" t="s">
        <v>239</v>
      </c>
      <c r="C59" s="8"/>
      <c r="D59" s="9"/>
      <c r="E59" s="99">
        <v>3.0</v>
      </c>
      <c r="F59" s="99" t="s">
        <v>178</v>
      </c>
      <c r="G59" s="99"/>
      <c r="H59" s="99"/>
      <c r="I59" s="101"/>
      <c r="J59" s="9"/>
    </row>
    <row r="60" ht="14.25" customHeight="1">
      <c r="B60" s="26"/>
      <c r="C60" s="29"/>
      <c r="D60" s="29"/>
    </row>
    <row r="61" ht="14.25" customHeight="1"/>
    <row r="62" ht="14.25" customHeight="1">
      <c r="A62" s="2" t="s">
        <v>240</v>
      </c>
      <c r="B62" s="3"/>
      <c r="C62" s="4"/>
      <c r="J62" s="1"/>
    </row>
    <row r="63" ht="14.25" customHeight="1">
      <c r="A63" s="6" t="s">
        <v>3</v>
      </c>
      <c r="B63" s="10" t="s">
        <v>4</v>
      </c>
      <c r="C63" s="8"/>
      <c r="D63" s="9"/>
      <c r="E63" s="6" t="s">
        <v>5</v>
      </c>
      <c r="F63" s="6" t="s">
        <v>6</v>
      </c>
      <c r="G63" s="6" t="s">
        <v>7</v>
      </c>
      <c r="H63" s="6" t="s">
        <v>8</v>
      </c>
      <c r="I63" s="10" t="s">
        <v>9</v>
      </c>
      <c r="J63" s="9"/>
    </row>
    <row r="64" ht="14.25" customHeight="1">
      <c r="A64" s="72"/>
      <c r="B64" s="73" t="s">
        <v>241</v>
      </c>
      <c r="C64" s="18"/>
      <c r="D64" s="20"/>
      <c r="E64" s="72">
        <v>2.0</v>
      </c>
      <c r="F64" s="72">
        <v>12.0</v>
      </c>
      <c r="G64" s="72"/>
      <c r="H64" s="72"/>
      <c r="I64" s="75"/>
      <c r="J64" s="9"/>
    </row>
    <row r="65" ht="14.25" customHeight="1">
      <c r="A65" s="72"/>
      <c r="B65" s="73" t="s">
        <v>242</v>
      </c>
      <c r="C65" s="18"/>
      <c r="D65" s="20"/>
      <c r="E65" s="72">
        <v>2.0</v>
      </c>
      <c r="F65" s="72">
        <v>12.0</v>
      </c>
      <c r="G65" s="72"/>
      <c r="H65" s="72"/>
      <c r="I65" s="75"/>
      <c r="J65" s="9"/>
    </row>
    <row r="66" ht="14.25" customHeight="1">
      <c r="A66" s="72"/>
      <c r="B66" s="73" t="s">
        <v>243</v>
      </c>
      <c r="C66" s="18"/>
      <c r="D66" s="20"/>
      <c r="E66" s="72">
        <v>3.0</v>
      </c>
      <c r="F66" s="72">
        <v>10.0</v>
      </c>
      <c r="G66" s="72"/>
      <c r="H66" s="72"/>
      <c r="I66" s="75"/>
      <c r="J66" s="9"/>
    </row>
    <row r="67" ht="14.25" customHeight="1">
      <c r="A67" s="16" t="s">
        <v>73</v>
      </c>
      <c r="B67" s="26" t="s">
        <v>244</v>
      </c>
      <c r="C67" s="29"/>
      <c r="D67" s="29"/>
      <c r="E67" s="16">
        <v>4.0</v>
      </c>
      <c r="F67" s="16">
        <v>10.0</v>
      </c>
      <c r="G67" s="16"/>
      <c r="H67" s="16"/>
      <c r="I67" s="24"/>
      <c r="J67" s="9"/>
    </row>
    <row r="68" ht="14.25" customHeight="1">
      <c r="A68" s="72" t="s">
        <v>23</v>
      </c>
      <c r="B68" s="73" t="s">
        <v>245</v>
      </c>
      <c r="C68" s="18"/>
      <c r="D68" s="20"/>
      <c r="E68" s="72">
        <v>3.0</v>
      </c>
      <c r="F68" s="72">
        <v>15.0</v>
      </c>
      <c r="G68" s="72"/>
      <c r="H68" s="72"/>
      <c r="I68" s="75"/>
      <c r="J68" s="9"/>
    </row>
    <row r="69" ht="14.25" customHeight="1">
      <c r="A69" s="72" t="s">
        <v>73</v>
      </c>
      <c r="B69" s="73" t="s">
        <v>246</v>
      </c>
      <c r="C69" s="18"/>
      <c r="D69" s="20"/>
      <c r="E69" s="72">
        <v>4.0</v>
      </c>
      <c r="F69" s="72">
        <v>10.0</v>
      </c>
      <c r="G69" s="72"/>
      <c r="H69" s="72"/>
      <c r="I69" s="75"/>
      <c r="J69" s="9"/>
    </row>
    <row r="70" ht="14.25" customHeight="1">
      <c r="A70" s="99" t="s">
        <v>23</v>
      </c>
      <c r="B70" s="100" t="s">
        <v>247</v>
      </c>
      <c r="C70" s="18"/>
      <c r="D70" s="20"/>
      <c r="E70" s="99">
        <v>3.0</v>
      </c>
      <c r="F70" s="99">
        <v>10.0</v>
      </c>
      <c r="G70" s="99"/>
      <c r="H70" s="99"/>
      <c r="I70" s="101"/>
      <c r="J70" s="9"/>
    </row>
    <row r="71" ht="14.25" customHeight="1">
      <c r="A71" s="99" t="s">
        <v>73</v>
      </c>
      <c r="B71" s="100" t="s">
        <v>248</v>
      </c>
      <c r="C71" s="18"/>
      <c r="D71" s="20"/>
      <c r="E71" s="99">
        <v>3.0</v>
      </c>
      <c r="F71" s="99" t="s">
        <v>178</v>
      </c>
      <c r="G71" s="99"/>
      <c r="H71" s="99"/>
      <c r="I71" s="101"/>
      <c r="J71" s="9"/>
    </row>
    <row r="72" ht="14.25" customHeight="1">
      <c r="A72" s="16" t="s">
        <v>23</v>
      </c>
      <c r="B72" s="26" t="s">
        <v>249</v>
      </c>
      <c r="C72" s="29"/>
      <c r="D72" s="29"/>
      <c r="E72" s="16">
        <v>3.0</v>
      </c>
      <c r="F72" s="16">
        <v>12.0</v>
      </c>
      <c r="G72" s="16"/>
      <c r="H72" s="16"/>
      <c r="I72" s="24"/>
      <c r="J72" s="9"/>
    </row>
    <row r="73" ht="14.25" customHeight="1">
      <c r="A73" s="16" t="s">
        <v>24</v>
      </c>
      <c r="B73" s="58" t="s">
        <v>250</v>
      </c>
      <c r="C73" s="8"/>
      <c r="D73" s="9"/>
      <c r="E73" s="16">
        <v>4.0</v>
      </c>
      <c r="F73" s="16">
        <v>12.0</v>
      </c>
      <c r="G73" s="16"/>
      <c r="H73" s="16"/>
      <c r="I73" s="24"/>
      <c r="J73" s="103"/>
    </row>
    <row r="74" ht="14.25" customHeight="1">
      <c r="A74" s="99" t="s">
        <v>73</v>
      </c>
      <c r="B74" s="102" t="s">
        <v>251</v>
      </c>
      <c r="C74" s="8"/>
      <c r="D74" s="9"/>
      <c r="E74" s="99">
        <v>3.0</v>
      </c>
      <c r="F74" s="99">
        <v>10.0</v>
      </c>
      <c r="G74" s="99"/>
      <c r="H74" s="99"/>
      <c r="I74" s="101"/>
      <c r="J74" s="9"/>
    </row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8">
    <mergeCell ref="I25:J25"/>
    <mergeCell ref="I26:J26"/>
    <mergeCell ref="I9:J9"/>
    <mergeCell ref="I11:J11"/>
    <mergeCell ref="I20:J20"/>
    <mergeCell ref="I21:J21"/>
    <mergeCell ref="I22:J22"/>
    <mergeCell ref="I23:J23"/>
    <mergeCell ref="I24:J24"/>
    <mergeCell ref="A4:C4"/>
    <mergeCell ref="B5:D5"/>
    <mergeCell ref="I5:J5"/>
    <mergeCell ref="M5:U5"/>
    <mergeCell ref="W5:Y5"/>
    <mergeCell ref="B6:D6"/>
    <mergeCell ref="B7:D7"/>
    <mergeCell ref="I10:J10"/>
    <mergeCell ref="M10:U10"/>
    <mergeCell ref="I6:J6"/>
    <mergeCell ref="I7:J7"/>
    <mergeCell ref="B8:D8"/>
    <mergeCell ref="I8:J8"/>
    <mergeCell ref="B9:D9"/>
    <mergeCell ref="B10:D10"/>
    <mergeCell ref="B11:D11"/>
    <mergeCell ref="I14:J14"/>
    <mergeCell ref="I16:J16"/>
    <mergeCell ref="M16:U16"/>
    <mergeCell ref="M21:U21"/>
    <mergeCell ref="B12:D12"/>
    <mergeCell ref="I12:J12"/>
    <mergeCell ref="B13:D13"/>
    <mergeCell ref="I13:J13"/>
    <mergeCell ref="B14:D14"/>
    <mergeCell ref="B15:D15"/>
    <mergeCell ref="B16:D16"/>
    <mergeCell ref="B25:D25"/>
    <mergeCell ref="B26:D26"/>
    <mergeCell ref="M26:U26"/>
    <mergeCell ref="I27:J27"/>
    <mergeCell ref="B17:D17"/>
    <mergeCell ref="A19:C19"/>
    <mergeCell ref="B20:D20"/>
    <mergeCell ref="B21:D21"/>
    <mergeCell ref="B22:D22"/>
    <mergeCell ref="B23:D23"/>
    <mergeCell ref="B24:D24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B59:D59"/>
    <mergeCell ref="B60:D60"/>
    <mergeCell ref="A62:C62"/>
    <mergeCell ref="B63:D63"/>
    <mergeCell ref="B71:D71"/>
    <mergeCell ref="B72:D72"/>
    <mergeCell ref="B73:D73"/>
    <mergeCell ref="B74:D74"/>
    <mergeCell ref="B64:D64"/>
    <mergeCell ref="B65:D65"/>
    <mergeCell ref="B66:D66"/>
    <mergeCell ref="B67:D67"/>
    <mergeCell ref="B68:D68"/>
    <mergeCell ref="B69:D69"/>
    <mergeCell ref="B70:D70"/>
    <mergeCell ref="I69:J69"/>
    <mergeCell ref="I70:J70"/>
    <mergeCell ref="I71:J71"/>
    <mergeCell ref="I72:J72"/>
    <mergeCell ref="I74:J74"/>
    <mergeCell ref="I59:J59"/>
    <mergeCell ref="I63:J63"/>
    <mergeCell ref="I64:J64"/>
    <mergeCell ref="I65:J65"/>
    <mergeCell ref="I66:J66"/>
    <mergeCell ref="I67:J67"/>
    <mergeCell ref="I68:J68"/>
    <mergeCell ref="B27:D27"/>
    <mergeCell ref="B28:D28"/>
    <mergeCell ref="I28:J28"/>
    <mergeCell ref="B29:D29"/>
    <mergeCell ref="I29:J29"/>
    <mergeCell ref="B30:D30"/>
    <mergeCell ref="I31:J31"/>
    <mergeCell ref="I36:J36"/>
    <mergeCell ref="I37:J37"/>
    <mergeCell ref="B31:D31"/>
    <mergeCell ref="B32:D32"/>
    <mergeCell ref="A34:C34"/>
    <mergeCell ref="B35:D35"/>
    <mergeCell ref="I35:J35"/>
    <mergeCell ref="B36:D36"/>
    <mergeCell ref="B37:D37"/>
    <mergeCell ref="B38:D38"/>
    <mergeCell ref="I38:J38"/>
    <mergeCell ref="B39:D39"/>
    <mergeCell ref="I39:J39"/>
    <mergeCell ref="B40:D40"/>
    <mergeCell ref="I40:J40"/>
    <mergeCell ref="I41:J41"/>
    <mergeCell ref="B41:D41"/>
    <mergeCell ref="B42:D42"/>
    <mergeCell ref="B43:D43"/>
    <mergeCell ref="B44:D44"/>
    <mergeCell ref="B45:D45"/>
    <mergeCell ref="B46:D46"/>
    <mergeCell ref="A48:C48"/>
    <mergeCell ref="I42:J42"/>
    <mergeCell ref="I43:J43"/>
    <mergeCell ref="I44:J44"/>
    <mergeCell ref="I45:J45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</mergeCells>
  <dataValidations>
    <dataValidation type="list" allowBlank="1" showErrorMessage="1" sqref="J3 A6:A16 A21:A31 A36:A45 A50:A59 A64:A74">
      <formula1>Datos!$B$2:$B$12</formula1>
    </dataValidation>
    <dataValidation type="list" allowBlank="1" showErrorMessage="1" sqref="J4 J19 J34 J48 J62">
      <formula1>Datos!$D$2:$D$14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7" width="10.71"/>
  </cols>
  <sheetData>
    <row r="1" ht="14.25" customHeight="1"/>
    <row r="2" ht="14.25" customHeight="1"/>
    <row r="3" ht="14.25" customHeight="1">
      <c r="J3" s="1"/>
    </row>
    <row r="4" ht="14.25" customHeight="1">
      <c r="A4" s="2" t="s">
        <v>0</v>
      </c>
      <c r="B4" s="3"/>
      <c r="C4" s="4"/>
      <c r="J4" s="1"/>
      <c r="X4" s="1"/>
      <c r="Y4" s="1"/>
      <c r="Z4" s="1"/>
      <c r="AA4" s="1"/>
    </row>
    <row r="5" ht="14.25" customHeight="1">
      <c r="A5" s="6" t="s">
        <v>3</v>
      </c>
      <c r="B5" s="10" t="s">
        <v>4</v>
      </c>
      <c r="C5" s="8"/>
      <c r="D5" s="9"/>
      <c r="E5" s="6" t="s">
        <v>5</v>
      </c>
      <c r="F5" s="6" t="s">
        <v>6</v>
      </c>
      <c r="G5" s="6" t="s">
        <v>7</v>
      </c>
      <c r="H5" s="6" t="s">
        <v>8</v>
      </c>
      <c r="I5" s="10" t="s">
        <v>9</v>
      </c>
      <c r="J5" s="9"/>
      <c r="M5" s="11" t="s">
        <v>0</v>
      </c>
      <c r="N5" s="12"/>
      <c r="O5" s="12"/>
      <c r="P5" s="12"/>
      <c r="Q5" s="12"/>
      <c r="R5" s="12"/>
      <c r="S5" s="12"/>
      <c r="T5" s="12"/>
      <c r="U5" s="13"/>
      <c r="W5" s="14" t="s">
        <v>11</v>
      </c>
      <c r="X5" s="12"/>
      <c r="Y5" s="13"/>
      <c r="AA5" s="1"/>
    </row>
    <row r="6" ht="14.25" customHeight="1">
      <c r="A6" s="68"/>
      <c r="B6" s="69" t="s">
        <v>130</v>
      </c>
      <c r="C6" s="18"/>
      <c r="D6" s="20"/>
      <c r="E6" s="68"/>
      <c r="F6" s="68"/>
      <c r="G6" s="68"/>
      <c r="H6" s="70"/>
      <c r="I6" s="71"/>
      <c r="J6" s="9"/>
      <c r="M6" s="25"/>
      <c r="N6" s="28" t="s">
        <v>17</v>
      </c>
      <c r="O6" s="28" t="s">
        <v>19</v>
      </c>
      <c r="P6" s="28" t="s">
        <v>20</v>
      </c>
      <c r="Q6" s="28" t="s">
        <v>21</v>
      </c>
      <c r="R6" s="28" t="s">
        <v>22</v>
      </c>
      <c r="S6" s="28" t="s">
        <v>23</v>
      </c>
      <c r="T6" s="28" t="s">
        <v>24</v>
      </c>
      <c r="U6" s="28" t="s">
        <v>25</v>
      </c>
      <c r="W6" s="28" t="s">
        <v>17</v>
      </c>
      <c r="X6" s="1">
        <f>SUM(N7,N12,N18,N23,N28)</f>
        <v>11</v>
      </c>
      <c r="AA6" s="1"/>
    </row>
    <row r="7" ht="14.25" customHeight="1">
      <c r="A7" s="68" t="s">
        <v>22</v>
      </c>
      <c r="B7" s="69" t="s">
        <v>133</v>
      </c>
      <c r="C7" s="18"/>
      <c r="D7" s="20"/>
      <c r="E7" s="68"/>
      <c r="F7" s="68"/>
      <c r="G7" s="68"/>
      <c r="H7" s="70"/>
      <c r="I7" s="71"/>
      <c r="J7" s="9"/>
      <c r="M7" s="34" t="s">
        <v>36</v>
      </c>
      <c r="N7" s="35">
        <f>SUMIF(A6:A15,"Empuje",E6:E15)</f>
        <v>7</v>
      </c>
      <c r="O7" s="35">
        <f>SUMIF(A6:A15,"Tracción",E6:E15)</f>
        <v>0</v>
      </c>
      <c r="P7" s="35">
        <f>SUMIF($A6:$A15,"Dom. Rodillas",$E6:$E15)</f>
        <v>8</v>
      </c>
      <c r="Q7" s="35">
        <f>SUMIF($A6:$A15,"Dom. Caderas",$E6:$E15)</f>
        <v>0</v>
      </c>
      <c r="R7" s="35">
        <f>SUMIF($A6:$A15,"A. Empuje",$E6:$E15)</f>
        <v>9</v>
      </c>
      <c r="S7" s="36">
        <f>SUMIF(A6:A15,"A. Tracción",E6:E15)</f>
        <v>0</v>
      </c>
      <c r="T7" s="35">
        <f>SUMIF($A6:$A15,"A. Rodillas",$E6:$E15)</f>
        <v>0</v>
      </c>
      <c r="U7" s="35">
        <f>SUMIF($A6:$A15,"A. Cadera",$E6:$E15)</f>
        <v>0</v>
      </c>
      <c r="W7" s="28" t="s">
        <v>19</v>
      </c>
      <c r="X7" s="1">
        <f>SUM(O7,O12,O18,O23,O28)</f>
        <v>11</v>
      </c>
      <c r="AA7" s="1"/>
    </row>
    <row r="8" ht="14.25" customHeight="1">
      <c r="A8" s="68" t="s">
        <v>22</v>
      </c>
      <c r="B8" s="69" t="s">
        <v>138</v>
      </c>
      <c r="C8" s="18"/>
      <c r="D8" s="20"/>
      <c r="E8" s="68"/>
      <c r="F8" s="68"/>
      <c r="G8" s="68"/>
      <c r="H8" s="70"/>
      <c r="I8" s="71"/>
      <c r="J8" s="9"/>
      <c r="M8" s="34" t="s">
        <v>7</v>
      </c>
      <c r="N8" s="35" t="str">
        <f>AVERAGEIF($A6:$A15,"Empuje",$G6:$G15)</f>
        <v>#DIV/0!</v>
      </c>
      <c r="O8" s="35" t="str">
        <f>AVERAGEIF($A6:$A15,"Traccion",$G6:$G15)</f>
        <v>#DIV/0!</v>
      </c>
      <c r="P8" s="35" t="str">
        <f>AVERAGEIF($A6:$A15,"Dom. Rodillas",$G6:$G15)</f>
        <v>#DIV/0!</v>
      </c>
      <c r="Q8" s="35" t="str">
        <f>AVERAGEIF($A6:$A15,"Dom. Cadera",$G6:$G15)</f>
        <v>#DIV/0!</v>
      </c>
      <c r="R8" s="35" t="str">
        <f>AVERAGEIF($A6:$A15,"A. Empuje",$G6:$G15)</f>
        <v>#DIV/0!</v>
      </c>
      <c r="S8" s="35" t="str">
        <f>AVERAGEIF($A6:$A15,"A. Tracción",$G6:$G15)</f>
        <v>#DIV/0!</v>
      </c>
      <c r="T8" s="35" t="str">
        <f>AVERAGEIF($A6:$A15,"A. Rodillas",$G6:$G15)</f>
        <v>#DIV/0!</v>
      </c>
      <c r="U8" s="35" t="str">
        <f>AVERAGEIF($A6:$A15,"A. Cadera",$G6:$G15)</f>
        <v>#DIV/0!</v>
      </c>
      <c r="W8" s="28" t="s">
        <v>20</v>
      </c>
      <c r="X8" s="1">
        <f>SUM(P7,P12,P18,P23,P28)</f>
        <v>15</v>
      </c>
      <c r="AA8" s="1"/>
    </row>
    <row r="9" ht="14.25" customHeight="1">
      <c r="A9" s="76" t="s">
        <v>17</v>
      </c>
      <c r="B9" s="77" t="s">
        <v>146</v>
      </c>
      <c r="C9" s="18"/>
      <c r="D9" s="20"/>
      <c r="E9" s="76">
        <v>4.0</v>
      </c>
      <c r="F9" s="76">
        <v>8.0</v>
      </c>
      <c r="G9" s="76"/>
      <c r="H9" s="78"/>
      <c r="I9" s="79"/>
      <c r="J9" s="9"/>
      <c r="M9" s="25"/>
      <c r="N9" s="25"/>
      <c r="O9" s="25"/>
      <c r="P9" s="25"/>
      <c r="Q9" s="25"/>
      <c r="R9" s="25"/>
      <c r="S9" s="25"/>
      <c r="T9" s="25"/>
      <c r="U9" s="25"/>
      <c r="W9" s="28" t="s">
        <v>21</v>
      </c>
      <c r="X9" s="1">
        <f>SUM(Q7,Q12,Q18,Q23,Q28)</f>
        <v>10</v>
      </c>
      <c r="AA9" s="1"/>
    </row>
    <row r="10" ht="14.25" customHeight="1">
      <c r="A10" s="76" t="s">
        <v>17</v>
      </c>
      <c r="B10" s="77" t="s">
        <v>150</v>
      </c>
      <c r="C10" s="18"/>
      <c r="D10" s="20"/>
      <c r="E10" s="76">
        <v>3.0</v>
      </c>
      <c r="F10" s="76">
        <v>10.0</v>
      </c>
      <c r="G10" s="76"/>
      <c r="H10" s="78"/>
      <c r="I10" s="79"/>
      <c r="J10" s="9"/>
      <c r="M10" s="11" t="s">
        <v>45</v>
      </c>
      <c r="N10" s="12"/>
      <c r="O10" s="12"/>
      <c r="P10" s="12"/>
      <c r="Q10" s="12"/>
      <c r="R10" s="12"/>
      <c r="S10" s="12"/>
      <c r="T10" s="12"/>
      <c r="U10" s="13"/>
      <c r="W10" s="28" t="s">
        <v>22</v>
      </c>
      <c r="X10" s="1">
        <f>SUM(R7,R12,R18,R23,R28)</f>
        <v>15</v>
      </c>
      <c r="AA10" s="1"/>
    </row>
    <row r="11" ht="14.25" customHeight="1">
      <c r="A11" s="49" t="s">
        <v>47</v>
      </c>
      <c r="B11" s="50" t="s">
        <v>157</v>
      </c>
      <c r="C11" s="18"/>
      <c r="D11" s="20"/>
      <c r="E11" s="49">
        <v>4.0</v>
      </c>
      <c r="F11" s="49">
        <v>12.0</v>
      </c>
      <c r="G11" s="49"/>
      <c r="H11" s="81"/>
      <c r="I11" s="51"/>
      <c r="J11" s="9"/>
      <c r="M11" s="25"/>
      <c r="N11" s="28" t="s">
        <v>17</v>
      </c>
      <c r="O11" s="28" t="s">
        <v>19</v>
      </c>
      <c r="P11" s="28" t="s">
        <v>20</v>
      </c>
      <c r="Q11" s="28" t="s">
        <v>21</v>
      </c>
      <c r="R11" s="28" t="s">
        <v>22</v>
      </c>
      <c r="S11" s="28" t="s">
        <v>23</v>
      </c>
      <c r="T11" s="28" t="s">
        <v>24</v>
      </c>
      <c r="U11" s="28" t="s">
        <v>25</v>
      </c>
      <c r="W11" s="28" t="s">
        <v>23</v>
      </c>
      <c r="X11" s="1">
        <f>SUM(S7,S12,S18,S23,S28)</f>
        <v>16</v>
      </c>
      <c r="AA11" s="1"/>
    </row>
    <row r="12" ht="14.25" customHeight="1">
      <c r="A12" s="49" t="s">
        <v>22</v>
      </c>
      <c r="B12" s="50" t="s">
        <v>159</v>
      </c>
      <c r="C12" s="18"/>
      <c r="D12" s="20"/>
      <c r="E12" s="49">
        <v>3.0</v>
      </c>
      <c r="F12" s="49">
        <v>12.0</v>
      </c>
      <c r="G12" s="49"/>
      <c r="H12" s="81"/>
      <c r="I12" s="51"/>
      <c r="J12" s="9"/>
      <c r="M12" s="34" t="s">
        <v>36</v>
      </c>
      <c r="N12" s="35">
        <f>SUMIF($A21:$A32,"Empuje",$E21:$E32)</f>
        <v>0</v>
      </c>
      <c r="O12" s="35">
        <f>SUMIF($A21:$A32,"Tracción",$E21:$E32)</f>
        <v>7</v>
      </c>
      <c r="P12" s="35">
        <f>SUMIF($A21:$A32,"Dom. Rodillas",$E21:$E32)</f>
        <v>0</v>
      </c>
      <c r="Q12" s="35">
        <f>SUMIF($A21:$A32,"Dom. Caderas",$E21:$E32)</f>
        <v>10</v>
      </c>
      <c r="R12" s="35">
        <f>SUMIF($A21:$A32,"A. Empuje",$E21:$E32)</f>
        <v>0</v>
      </c>
      <c r="S12" s="35">
        <f>SUMIF($A21:$A32,"A. Tracción",$E21:$E32)</f>
        <v>13</v>
      </c>
      <c r="T12" s="35">
        <f>SUMIF($A21:$A32,"A. Rodillas",$E21:$E32)</f>
        <v>0</v>
      </c>
      <c r="U12" s="35">
        <f>SUMIF($A21:$A32,"A. Cadera",$E21:$E32)</f>
        <v>0</v>
      </c>
      <c r="W12" s="28" t="s">
        <v>24</v>
      </c>
      <c r="X12" s="1">
        <f>SUM(T7,T12,T18,T23,T28)</f>
        <v>0</v>
      </c>
      <c r="AA12" s="1"/>
    </row>
    <row r="13" ht="14.25" customHeight="1">
      <c r="A13" s="76" t="s">
        <v>22</v>
      </c>
      <c r="B13" s="77" t="s">
        <v>162</v>
      </c>
      <c r="C13" s="18"/>
      <c r="D13" s="20"/>
      <c r="E13" s="76">
        <v>3.0</v>
      </c>
      <c r="F13" s="76">
        <v>12.0</v>
      </c>
      <c r="G13" s="76"/>
      <c r="H13" s="84"/>
      <c r="I13" s="79"/>
      <c r="J13" s="9"/>
      <c r="M13" s="34" t="s">
        <v>7</v>
      </c>
      <c r="N13" s="35" t="str">
        <f>AVERAGEIF($A21:$A32,"Empuje",$G21:$G32)</f>
        <v>#DIV/0!</v>
      </c>
      <c r="O13" s="35" t="str">
        <f>AVERAGEIF($A21:$A32,"Tracción",$G21:$G32)</f>
        <v>#DIV/0!</v>
      </c>
      <c r="P13" s="35" t="str">
        <f>AVERAGEIF($A21:$A32,"Dom. Rodillas",$G21:$G32)</f>
        <v>#DIV/0!</v>
      </c>
      <c r="Q13" s="35" t="str">
        <f>AVERAGEIF($A21:$A32,"Dom.Cadera",$G21:$G32)</f>
        <v>#DIV/0!</v>
      </c>
      <c r="R13" s="35" t="str">
        <f>AVERAGEIF($A21:$A32,"A. Empuje",$G21:$G32)</f>
        <v>#DIV/0!</v>
      </c>
      <c r="S13" s="35" t="str">
        <f>AVERAGEIF($A21:$A32,"A. Tracción",$G21:$G32)</f>
        <v>#DIV/0!</v>
      </c>
      <c r="T13" s="35" t="str">
        <f>AVERAGEIF($A21:$A32,"A. Rodillas",$G21:$G32)</f>
        <v>#DIV/0!</v>
      </c>
      <c r="U13" s="35" t="str">
        <f>AVERAGEIF($A21:$A32,"A. Cadera",$G21:$G32)</f>
        <v>#DIV/0!</v>
      </c>
      <c r="W13" s="28" t="s">
        <v>25</v>
      </c>
      <c r="X13" s="1">
        <f>SUM(U7,U12,U18,U23,U28)</f>
        <v>3</v>
      </c>
      <c r="AA13" s="1"/>
    </row>
    <row r="14" ht="14.25" customHeight="1">
      <c r="A14" s="49" t="s">
        <v>47</v>
      </c>
      <c r="B14" s="50" t="s">
        <v>172</v>
      </c>
      <c r="C14" s="18"/>
      <c r="D14" s="20"/>
      <c r="E14" s="49">
        <v>4.0</v>
      </c>
      <c r="F14" s="49">
        <v>10.0</v>
      </c>
      <c r="G14" s="49"/>
      <c r="H14" s="81"/>
      <c r="I14" s="51"/>
      <c r="J14" s="9"/>
      <c r="M14" s="25"/>
      <c r="N14" s="25"/>
      <c r="O14" s="25"/>
      <c r="P14" s="25"/>
      <c r="Q14" s="25"/>
      <c r="R14" s="25"/>
      <c r="S14" s="25"/>
      <c r="T14" s="25"/>
      <c r="U14" s="25"/>
      <c r="W14" s="1"/>
      <c r="X14" s="1"/>
      <c r="AA14" s="1"/>
    </row>
    <row r="15" ht="14.25" customHeight="1">
      <c r="A15" s="49" t="s">
        <v>22</v>
      </c>
      <c r="B15" s="50" t="s">
        <v>174</v>
      </c>
      <c r="C15" s="18"/>
      <c r="D15" s="20"/>
      <c r="E15" s="90">
        <v>3.0</v>
      </c>
      <c r="F15" s="90" t="s">
        <v>175</v>
      </c>
      <c r="G15" s="49"/>
      <c r="H15" s="49"/>
      <c r="I15" s="51"/>
      <c r="J15" s="9"/>
      <c r="M15" s="11" t="s">
        <v>57</v>
      </c>
      <c r="N15" s="12"/>
      <c r="O15" s="12"/>
      <c r="P15" s="12"/>
      <c r="Q15" s="12"/>
      <c r="R15" s="12"/>
      <c r="S15" s="12"/>
      <c r="T15" s="12"/>
      <c r="U15" s="13"/>
      <c r="W15" s="1"/>
      <c r="X15" s="1"/>
      <c r="AA15" s="1"/>
    </row>
    <row r="16" ht="14.25" customHeight="1">
      <c r="A16" s="91" t="s">
        <v>22</v>
      </c>
      <c r="B16" s="66" t="s">
        <v>177</v>
      </c>
      <c r="C16" s="8"/>
      <c r="D16" s="9"/>
      <c r="E16" s="92">
        <v>3.0</v>
      </c>
      <c r="F16" s="92" t="s">
        <v>178</v>
      </c>
      <c r="G16" s="93"/>
      <c r="H16" s="93"/>
      <c r="I16" s="91"/>
      <c r="J16" s="93"/>
      <c r="M16" s="94"/>
      <c r="N16" s="1"/>
      <c r="O16" s="1"/>
      <c r="P16" s="1"/>
      <c r="Q16" s="1"/>
      <c r="R16" s="1"/>
      <c r="S16" s="1"/>
      <c r="T16" s="1"/>
      <c r="U16" s="1"/>
      <c r="W16" s="1"/>
      <c r="X16" s="1"/>
      <c r="AA16" s="1"/>
    </row>
    <row r="17" ht="14.25" customHeight="1">
      <c r="B17" s="25"/>
      <c r="M17" s="25"/>
      <c r="N17" s="28" t="s">
        <v>17</v>
      </c>
      <c r="O17" s="28" t="s">
        <v>19</v>
      </c>
      <c r="P17" s="28" t="s">
        <v>20</v>
      </c>
      <c r="Q17" s="28" t="s">
        <v>21</v>
      </c>
      <c r="R17" s="28" t="s">
        <v>22</v>
      </c>
      <c r="S17" s="28" t="s">
        <v>23</v>
      </c>
      <c r="T17" s="28" t="s">
        <v>24</v>
      </c>
      <c r="U17" s="28" t="s">
        <v>25</v>
      </c>
      <c r="W17" s="1"/>
      <c r="X17" s="1"/>
      <c r="Y17" s="1"/>
      <c r="Z17" s="1"/>
      <c r="AA17" s="1"/>
    </row>
    <row r="18" ht="14.25" customHeight="1">
      <c r="M18" s="34" t="s">
        <v>36</v>
      </c>
      <c r="N18" s="35">
        <f>SUMIF($A37:$A47,"Empuje",$E37:$E47)</f>
        <v>4</v>
      </c>
      <c r="O18" s="35">
        <f>SUMIF($A37:$A47,"Tracción",$E37:$E47)</f>
        <v>4</v>
      </c>
      <c r="P18" s="35">
        <f>SUMIF($A37:$A47,"Dom. Rodillas",$E37:$E47)</f>
        <v>7</v>
      </c>
      <c r="Q18" s="35">
        <f>SUMIF($A37:$A47,"Dom. Caderas",$E37:$E47)</f>
        <v>0</v>
      </c>
      <c r="R18" s="35">
        <f>SUMIF($A37:$A47,"A. Empuje",$E37:$E47)</f>
        <v>6</v>
      </c>
      <c r="S18" s="35">
        <f>SUMIF($A37:$A47,"A. Tracción",$E37:$E47)</f>
        <v>3</v>
      </c>
      <c r="T18" s="35">
        <f>SUMIF($A37:$A47,"A. Rodillas",$E37:$E47)</f>
        <v>0</v>
      </c>
      <c r="U18" s="35">
        <f>SUMIF($A37:$A47,"A. Cadera",$E37:$E47)</f>
        <v>3</v>
      </c>
      <c r="X18" s="1"/>
      <c r="Y18" s="1"/>
      <c r="Z18" s="1"/>
      <c r="AA18" s="1"/>
    </row>
    <row r="19" ht="14.25" customHeight="1">
      <c r="A19" s="2" t="s">
        <v>45</v>
      </c>
      <c r="B19" s="3"/>
      <c r="C19" s="4"/>
      <c r="J19" s="1"/>
      <c r="M19" s="34" t="s">
        <v>7</v>
      </c>
      <c r="N19" s="35" t="str">
        <f>AVERAGEIF($A37:$A47,"Empuje",$G37:$G47)</f>
        <v>#DIV/0!</v>
      </c>
      <c r="O19" s="35" t="str">
        <f>AVERAGEIF($A37:$A47,"Tracción",$G37:$G47)</f>
        <v>#DIV/0!</v>
      </c>
      <c r="P19" s="35" t="str">
        <f>AVERAGEIF($A37:$A47,"Dom. Rodillas",$G37:$G47)</f>
        <v>#DIV/0!</v>
      </c>
      <c r="Q19" s="35" t="str">
        <f>AVERAGEIF($A37:$A47,"Dom. Caderas",$G37:$G47)</f>
        <v>#DIV/0!</v>
      </c>
      <c r="R19" s="35" t="str">
        <f>AVERAGEIF($A37:$A47,"A. Empuje",$G37:$G47)</f>
        <v>#DIV/0!</v>
      </c>
      <c r="S19" s="35" t="str">
        <f>AVERAGEIF($A37:$A47,"A. Tracción",$G37:$G47)</f>
        <v>#DIV/0!</v>
      </c>
      <c r="T19" s="35" t="str">
        <f>AVERAGEIF($A37:$A47,"A. Rodillas",$G37:$G47)</f>
        <v>#DIV/0!</v>
      </c>
      <c r="U19" s="35" t="str">
        <f>AVERAGEIF($A37:$A47,"A. Cadera",$G37:$G47)</f>
        <v>#DIV/0!</v>
      </c>
      <c r="X19" s="1"/>
      <c r="Y19" s="1"/>
      <c r="Z19" s="1"/>
      <c r="AA19" s="1"/>
    </row>
    <row r="20" ht="14.25" customHeight="1">
      <c r="A20" s="6" t="s">
        <v>3</v>
      </c>
      <c r="B20" s="10" t="s">
        <v>4</v>
      </c>
      <c r="C20" s="8"/>
      <c r="D20" s="9"/>
      <c r="E20" s="6" t="s">
        <v>5</v>
      </c>
      <c r="F20" s="6" t="s">
        <v>6</v>
      </c>
      <c r="G20" s="6" t="s">
        <v>7</v>
      </c>
      <c r="H20" s="6" t="s">
        <v>8</v>
      </c>
      <c r="I20" s="10" t="s">
        <v>9</v>
      </c>
      <c r="J20" s="9"/>
      <c r="M20" s="25"/>
      <c r="N20" s="25"/>
      <c r="O20" s="25"/>
      <c r="P20" s="25"/>
      <c r="Q20" s="25"/>
      <c r="R20" s="25"/>
      <c r="S20" s="25"/>
      <c r="T20" s="25"/>
      <c r="U20" s="25"/>
      <c r="X20" s="1"/>
      <c r="Y20" s="1"/>
      <c r="Z20" s="1"/>
      <c r="AA20" s="1"/>
    </row>
    <row r="21" ht="14.25" customHeight="1">
      <c r="A21" s="68"/>
      <c r="B21" s="69" t="s">
        <v>188</v>
      </c>
      <c r="C21" s="18"/>
      <c r="D21" s="20"/>
      <c r="E21" s="68">
        <v>3.0</v>
      </c>
      <c r="F21" s="68">
        <v>10.0</v>
      </c>
      <c r="G21" s="68"/>
      <c r="H21" s="68"/>
      <c r="I21" s="71"/>
      <c r="J21" s="9"/>
      <c r="M21" s="11" t="s">
        <v>66</v>
      </c>
      <c r="N21" s="12"/>
      <c r="O21" s="12"/>
      <c r="P21" s="12"/>
      <c r="Q21" s="12"/>
      <c r="R21" s="12"/>
      <c r="S21" s="12"/>
      <c r="T21" s="12"/>
      <c r="U21" s="13"/>
      <c r="X21" s="1"/>
      <c r="Y21" s="1"/>
      <c r="Z21" s="1"/>
      <c r="AA21" s="1"/>
    </row>
    <row r="22" ht="14.25" customHeight="1">
      <c r="A22" s="68"/>
      <c r="B22" s="69" t="s">
        <v>189</v>
      </c>
      <c r="C22" s="18"/>
      <c r="D22" s="20"/>
      <c r="E22" s="68">
        <v>3.0</v>
      </c>
      <c r="F22" s="68">
        <v>10.0</v>
      </c>
      <c r="G22" s="68"/>
      <c r="H22" s="68"/>
      <c r="I22" s="71"/>
      <c r="J22" s="9"/>
      <c r="M22" s="25"/>
      <c r="N22" s="28" t="s">
        <v>17</v>
      </c>
      <c r="O22" s="28" t="s">
        <v>19</v>
      </c>
      <c r="P22" s="28" t="s">
        <v>20</v>
      </c>
      <c r="Q22" s="28" t="s">
        <v>21</v>
      </c>
      <c r="R22" s="28" t="s">
        <v>22</v>
      </c>
      <c r="S22" s="28" t="s">
        <v>23</v>
      </c>
      <c r="T22" s="28" t="s">
        <v>24</v>
      </c>
      <c r="U22" s="28" t="s">
        <v>25</v>
      </c>
      <c r="X22" s="1"/>
      <c r="Y22" s="1"/>
      <c r="Z22" s="1"/>
      <c r="AA22" s="1"/>
    </row>
    <row r="23" ht="14.25" customHeight="1">
      <c r="A23" s="68"/>
      <c r="B23" s="69" t="s">
        <v>190</v>
      </c>
      <c r="C23" s="18"/>
      <c r="D23" s="20"/>
      <c r="E23" s="68">
        <v>4.0</v>
      </c>
      <c r="F23" s="68">
        <v>12.0</v>
      </c>
      <c r="G23" s="68"/>
      <c r="H23" s="68"/>
      <c r="I23" s="71"/>
      <c r="J23" s="9"/>
      <c r="M23" s="34" t="s">
        <v>36</v>
      </c>
      <c r="N23" s="35">
        <f>SUMIF($A52:$A61,"Empuje",$E52:$E61)</f>
        <v>0</v>
      </c>
      <c r="O23" s="35">
        <f>SUMIF($A52:$A61,"Tracción",$E52:$E61)</f>
        <v>0</v>
      </c>
      <c r="P23" s="35">
        <f>SUMIF($A52:$A61,"Dom. Rodillas",$E52:$E61)</f>
        <v>0</v>
      </c>
      <c r="Q23" s="35">
        <f>SUMIF($A52:$A61,"Dom. Caderas",$E52:$E61)</f>
        <v>0</v>
      </c>
      <c r="R23" s="35">
        <f>SUMIF($A52:$A61,"A. Empuje",$E52:$E61)</f>
        <v>0</v>
      </c>
      <c r="S23" s="35">
        <f>SUMIF($A52:$A61,"A. Tracción",$E52:$E61)</f>
        <v>0</v>
      </c>
      <c r="T23" s="35">
        <f>SUMIF($A52:$A61,"A. Rodillas",$E52:$E61)</f>
        <v>0</v>
      </c>
      <c r="U23" s="35">
        <f>SUMIF($A52:$A61,"A. Cadera",$E52:$E61)</f>
        <v>0</v>
      </c>
    </row>
    <row r="24" ht="14.25" customHeight="1">
      <c r="A24" s="49" t="s">
        <v>19</v>
      </c>
      <c r="B24" s="50" t="s">
        <v>191</v>
      </c>
      <c r="C24" s="18"/>
      <c r="D24" s="20"/>
      <c r="E24" s="49">
        <v>4.0</v>
      </c>
      <c r="F24" s="49">
        <v>10.0</v>
      </c>
      <c r="G24" s="49"/>
      <c r="H24" s="49"/>
      <c r="I24" s="51"/>
      <c r="J24" s="9"/>
      <c r="M24" s="34" t="s">
        <v>7</v>
      </c>
      <c r="N24" s="35" t="str">
        <f>AVERAGEIF($A52:$A61,"Empuje",$G52:$G61)</f>
        <v>#DIV/0!</v>
      </c>
      <c r="O24" s="35" t="str">
        <f>AVERAGEIF($A52:$A61,"Tracción",$G52:$G61)</f>
        <v>#DIV/0!</v>
      </c>
      <c r="P24" s="35" t="str">
        <f>AVERAGEIF($A52:$A61,"Dom. Rodillas",$G52:$G61)</f>
        <v>#DIV/0!</v>
      </c>
      <c r="Q24" s="35" t="str">
        <f>AVERAGEIF($A52:$A61,"Dom. Caderas",$G52:$G61)</f>
        <v>#DIV/0!</v>
      </c>
      <c r="R24" s="35" t="str">
        <f>AVERAGEIF($A52:$A61,"A. Empuje",$G52:$G61)</f>
        <v>#DIV/0!</v>
      </c>
      <c r="S24" s="35" t="str">
        <f>AVERAGEIF($A52:$A61,"A. Tracción",$G52:$G61)</f>
        <v>#DIV/0!</v>
      </c>
      <c r="T24" s="35" t="str">
        <f>AVERAGEIF($A52:$A61,"A. Rodillas",$G52:$G61)</f>
        <v>#DIV/0!</v>
      </c>
      <c r="U24" s="35" t="str">
        <f>AVERAGEIF($A52:$A61,"A. Cadera",$G52:$G61)</f>
        <v>#DIV/0!</v>
      </c>
    </row>
    <row r="25" ht="14.25" customHeight="1">
      <c r="A25" s="49" t="s">
        <v>19</v>
      </c>
      <c r="B25" s="50" t="s">
        <v>195</v>
      </c>
      <c r="C25" s="18"/>
      <c r="D25" s="20"/>
      <c r="E25" s="49">
        <v>3.0</v>
      </c>
      <c r="F25" s="49">
        <v>12.0</v>
      </c>
      <c r="G25" s="49"/>
      <c r="H25" s="49"/>
      <c r="I25" s="51"/>
      <c r="J25" s="9"/>
      <c r="M25" s="25"/>
      <c r="N25" s="25"/>
      <c r="O25" s="25"/>
      <c r="P25" s="25"/>
      <c r="Q25" s="25"/>
      <c r="R25" s="25"/>
      <c r="S25" s="25"/>
      <c r="T25" s="25"/>
      <c r="U25" s="25"/>
    </row>
    <row r="26" ht="14.25" customHeight="1">
      <c r="A26" s="16" t="s">
        <v>23</v>
      </c>
      <c r="B26" s="26" t="s">
        <v>197</v>
      </c>
      <c r="C26" s="29"/>
      <c r="D26" s="29"/>
      <c r="E26" s="16">
        <v>3.0</v>
      </c>
      <c r="F26" s="16" t="s">
        <v>178</v>
      </c>
      <c r="G26" s="16"/>
      <c r="H26" s="16"/>
      <c r="I26" s="24"/>
      <c r="J26" s="9"/>
      <c r="M26" s="11" t="s">
        <v>76</v>
      </c>
      <c r="N26" s="12"/>
      <c r="O26" s="12"/>
      <c r="P26" s="12"/>
      <c r="Q26" s="12"/>
      <c r="R26" s="12"/>
      <c r="S26" s="12"/>
      <c r="T26" s="12"/>
      <c r="U26" s="13"/>
    </row>
    <row r="27" ht="14.25" customHeight="1">
      <c r="A27" s="16" t="s">
        <v>73</v>
      </c>
      <c r="B27" s="26" t="s">
        <v>198</v>
      </c>
      <c r="C27" s="29"/>
      <c r="D27" s="29"/>
      <c r="E27" s="16">
        <v>3.0</v>
      </c>
      <c r="F27" s="16">
        <v>12.0</v>
      </c>
      <c r="G27" s="16"/>
      <c r="H27" s="16"/>
      <c r="I27" s="24"/>
      <c r="J27" s="9"/>
      <c r="M27" s="25"/>
      <c r="N27" s="28" t="s">
        <v>17</v>
      </c>
      <c r="O27" s="28" t="s">
        <v>19</v>
      </c>
      <c r="P27" s="28" t="s">
        <v>20</v>
      </c>
      <c r="Q27" s="28" t="s">
        <v>21</v>
      </c>
      <c r="R27" s="28" t="s">
        <v>22</v>
      </c>
      <c r="S27" s="28" t="s">
        <v>23</v>
      </c>
      <c r="T27" s="28" t="s">
        <v>24</v>
      </c>
      <c r="U27" s="28" t="s">
        <v>25</v>
      </c>
    </row>
    <row r="28" ht="14.25" customHeight="1">
      <c r="A28" s="49" t="s">
        <v>23</v>
      </c>
      <c r="B28" s="50" t="s">
        <v>199</v>
      </c>
      <c r="C28" s="18"/>
      <c r="D28" s="20"/>
      <c r="E28" s="49">
        <v>4.0</v>
      </c>
      <c r="F28" s="49">
        <v>10.0</v>
      </c>
      <c r="G28" s="49"/>
      <c r="H28" s="49"/>
      <c r="I28" s="51"/>
      <c r="J28" s="9"/>
      <c r="M28" s="34" t="s">
        <v>36</v>
      </c>
      <c r="N28" s="35">
        <f>SUMIF($A66:$A75,"Empuje",$E66:$E75)</f>
        <v>0</v>
      </c>
      <c r="O28" s="35">
        <f>SUMIF($A66:$A75,"Tracción",$E66:$E75)</f>
        <v>0</v>
      </c>
      <c r="P28" s="35">
        <f>SUMIF($A66:$A75,"Dom. Rodillas",$E66:$E75)</f>
        <v>0</v>
      </c>
      <c r="Q28" s="35">
        <f>SUMIF($A66:$A75,"Dom. Caderas",$E66:$E75)</f>
        <v>0</v>
      </c>
      <c r="R28" s="35">
        <f>SUMIF($A66:$A75,"A. Empuje",$E66:$E75)</f>
        <v>0</v>
      </c>
      <c r="S28" s="35">
        <f>SUMIF($A66:$A75,"A. Tracción",$E66:$E75)</f>
        <v>0</v>
      </c>
      <c r="T28" s="35">
        <f>SUMIF($A66:$A75,"A. Rodillas",$E66:$E75)</f>
        <v>0</v>
      </c>
      <c r="U28" s="35">
        <f>SUMIF($A66:$A75,"A. Cadera",$E66:$E75)</f>
        <v>0</v>
      </c>
    </row>
    <row r="29" ht="14.25" customHeight="1">
      <c r="A29" s="49" t="s">
        <v>23</v>
      </c>
      <c r="B29" s="50" t="s">
        <v>201</v>
      </c>
      <c r="C29" s="18"/>
      <c r="D29" s="20"/>
      <c r="E29" s="49">
        <v>3.0</v>
      </c>
      <c r="F29" s="49">
        <v>12.0</v>
      </c>
      <c r="G29" s="49"/>
      <c r="H29" s="49"/>
      <c r="I29" s="51"/>
      <c r="J29" s="9"/>
      <c r="M29" s="34" t="s">
        <v>7</v>
      </c>
      <c r="N29" s="35" t="str">
        <f>AVERAGEIF($A66:$A75,"Empuje",$G66:$G75)</f>
        <v>#DIV/0!</v>
      </c>
      <c r="O29" s="35" t="str">
        <f>AVERAGEIF($A66:$A75,"Tracción",$G66:$G75)</f>
        <v>#DIV/0!</v>
      </c>
      <c r="P29" s="35" t="str">
        <f>AVERAGEIF($A66:$A75,"Dom. Rodillas",$G66:$G75)</f>
        <v>#DIV/0!</v>
      </c>
      <c r="Q29" s="35" t="str">
        <f>AVERAGEIF($A66:$A75,"Dom. Caderas",$G66:$G75)</f>
        <v>#DIV/0!</v>
      </c>
      <c r="R29" s="35" t="str">
        <f>AVERAGEIF($A66:$A75,"A. Empuje",$G66:$G75)</f>
        <v>#DIV/0!</v>
      </c>
      <c r="S29" s="35" t="str">
        <f>AVERAGEIF($A66:$A75,"A. Tracción",$G66:$G75)</f>
        <v>#DIV/0!</v>
      </c>
      <c r="T29" s="35" t="str">
        <f>AVERAGEIF($A66:$A75,"A. Rodillas",$G66:$G75)</f>
        <v>#DIV/0!</v>
      </c>
      <c r="U29" s="35" t="str">
        <f>AVERAGEIF($A66:$A75,"A. Cadera",$G66:$G75)</f>
        <v>#DIV/0!</v>
      </c>
    </row>
    <row r="30" ht="14.25" customHeight="1">
      <c r="A30" s="95" t="s">
        <v>73</v>
      </c>
      <c r="B30" s="66" t="s">
        <v>207</v>
      </c>
      <c r="C30" s="8"/>
      <c r="D30" s="9"/>
      <c r="E30" s="64">
        <v>4.0</v>
      </c>
      <c r="F30" s="49">
        <v>12.0</v>
      </c>
      <c r="G30" s="49"/>
      <c r="H30" s="49"/>
      <c r="I30" s="63"/>
      <c r="J30" s="64"/>
      <c r="M30" s="65"/>
      <c r="N30" s="25"/>
      <c r="O30" s="25"/>
      <c r="P30" s="25"/>
      <c r="Q30" s="25"/>
      <c r="R30" s="25"/>
      <c r="S30" s="25"/>
      <c r="T30" s="25"/>
      <c r="U30" s="25"/>
    </row>
    <row r="31" ht="14.25" customHeight="1">
      <c r="A31" s="40" t="s">
        <v>23</v>
      </c>
      <c r="B31" s="96" t="s">
        <v>209</v>
      </c>
      <c r="C31" s="8"/>
      <c r="D31" s="9"/>
      <c r="E31" s="40">
        <v>3.0</v>
      </c>
      <c r="F31" s="40">
        <v>15.0</v>
      </c>
      <c r="G31" s="40"/>
      <c r="H31" s="40"/>
      <c r="I31" s="97"/>
      <c r="J31" s="98"/>
      <c r="M31" s="65"/>
      <c r="N31" s="25"/>
      <c r="O31" s="25"/>
      <c r="P31" s="25"/>
      <c r="Q31" s="25"/>
      <c r="R31" s="25"/>
      <c r="S31" s="25"/>
      <c r="T31" s="25"/>
      <c r="U31" s="25"/>
    </row>
    <row r="32" ht="14.25" customHeight="1">
      <c r="A32" s="40" t="s">
        <v>73</v>
      </c>
      <c r="B32" s="96" t="s">
        <v>213</v>
      </c>
      <c r="C32" s="8"/>
      <c r="D32" s="9"/>
      <c r="E32" s="40">
        <v>3.0</v>
      </c>
      <c r="F32" s="40">
        <v>12.0</v>
      </c>
      <c r="G32" s="40"/>
      <c r="H32" s="40"/>
      <c r="I32" s="42"/>
      <c r="J32" s="9"/>
    </row>
    <row r="33" ht="14.25" customHeight="1">
      <c r="B33" s="26"/>
      <c r="C33" s="29"/>
      <c r="D33" s="29"/>
    </row>
    <row r="34" ht="14.25" customHeight="1"/>
    <row r="35" ht="14.25" customHeight="1">
      <c r="A35" s="2" t="s">
        <v>57</v>
      </c>
      <c r="B35" s="3"/>
      <c r="C35" s="4"/>
      <c r="J35" s="1"/>
    </row>
    <row r="36" ht="14.25" customHeight="1">
      <c r="A36" s="6" t="s">
        <v>3</v>
      </c>
      <c r="B36" s="10" t="s">
        <v>4</v>
      </c>
      <c r="C36" s="8"/>
      <c r="D36" s="9"/>
      <c r="E36" s="6" t="s">
        <v>5</v>
      </c>
      <c r="F36" s="6" t="s">
        <v>6</v>
      </c>
      <c r="G36" s="6" t="s">
        <v>7</v>
      </c>
      <c r="H36" s="6" t="s">
        <v>8</v>
      </c>
      <c r="I36" s="10" t="s">
        <v>9</v>
      </c>
      <c r="J36" s="9"/>
    </row>
    <row r="37" ht="14.25" customHeight="1">
      <c r="A37" s="68"/>
      <c r="B37" s="69" t="s">
        <v>219</v>
      </c>
      <c r="C37" s="18"/>
      <c r="D37" s="20"/>
      <c r="E37" s="68">
        <v>2.0</v>
      </c>
      <c r="F37" s="68">
        <v>10.0</v>
      </c>
      <c r="G37" s="68"/>
      <c r="H37" s="70"/>
      <c r="I37" s="71"/>
      <c r="J37" s="9"/>
    </row>
    <row r="38" ht="14.25" customHeight="1">
      <c r="A38" s="68"/>
      <c r="B38" s="69" t="s">
        <v>221</v>
      </c>
      <c r="C38" s="18"/>
      <c r="D38" s="20"/>
      <c r="E38" s="68">
        <v>3.0</v>
      </c>
      <c r="F38" s="68">
        <v>12.0</v>
      </c>
      <c r="G38" s="68"/>
      <c r="H38" s="70"/>
      <c r="I38" s="71"/>
      <c r="J38" s="9"/>
    </row>
    <row r="39" ht="14.25" customHeight="1">
      <c r="A39" s="68"/>
      <c r="B39" s="69" t="s">
        <v>222</v>
      </c>
      <c r="C39" s="18"/>
      <c r="D39" s="20"/>
      <c r="E39" s="68">
        <v>3.0</v>
      </c>
      <c r="F39" s="68">
        <v>12.0</v>
      </c>
      <c r="G39" s="68"/>
      <c r="H39" s="70"/>
      <c r="I39" s="71"/>
      <c r="J39" s="9"/>
    </row>
    <row r="40" ht="14.25" customHeight="1">
      <c r="A40" s="16" t="s">
        <v>47</v>
      </c>
      <c r="B40" s="26" t="s">
        <v>224</v>
      </c>
      <c r="C40" s="29"/>
      <c r="D40" s="29"/>
      <c r="E40" s="16">
        <v>4.0</v>
      </c>
      <c r="F40" s="16">
        <v>10.0</v>
      </c>
      <c r="G40" s="16"/>
      <c r="H40" s="31"/>
      <c r="I40" s="24"/>
      <c r="J40" s="9"/>
    </row>
    <row r="41" ht="14.25" customHeight="1">
      <c r="A41" s="16" t="s">
        <v>17</v>
      </c>
      <c r="B41" s="26" t="s">
        <v>226</v>
      </c>
      <c r="C41" s="29"/>
      <c r="D41" s="29"/>
      <c r="E41" s="16">
        <v>4.0</v>
      </c>
      <c r="F41" s="16" t="s">
        <v>227</v>
      </c>
      <c r="G41" s="16"/>
      <c r="H41" s="16"/>
      <c r="I41" s="24"/>
      <c r="J41" s="9"/>
    </row>
    <row r="42" ht="14.25" customHeight="1">
      <c r="A42" s="49" t="s">
        <v>47</v>
      </c>
      <c r="B42" s="50" t="s">
        <v>228</v>
      </c>
      <c r="C42" s="18"/>
      <c r="D42" s="20"/>
      <c r="E42" s="49">
        <v>3.0</v>
      </c>
      <c r="F42" s="49" t="s">
        <v>178</v>
      </c>
      <c r="G42" s="49"/>
      <c r="H42" s="49"/>
      <c r="I42" s="51"/>
      <c r="J42" s="9"/>
    </row>
    <row r="43" ht="14.25" customHeight="1">
      <c r="A43" s="49" t="s">
        <v>19</v>
      </c>
      <c r="B43" s="50" t="s">
        <v>121</v>
      </c>
      <c r="C43" s="18"/>
      <c r="D43" s="20"/>
      <c r="E43" s="49">
        <v>4.0</v>
      </c>
      <c r="F43" s="49">
        <v>10.0</v>
      </c>
      <c r="G43" s="49"/>
      <c r="H43" s="49"/>
      <c r="I43" s="51"/>
      <c r="J43" s="9"/>
    </row>
    <row r="44" ht="14.25" customHeight="1">
      <c r="A44" s="16" t="s">
        <v>22</v>
      </c>
      <c r="B44" s="26" t="s">
        <v>230</v>
      </c>
      <c r="C44" s="29"/>
      <c r="D44" s="29"/>
      <c r="E44" s="16">
        <v>3.0</v>
      </c>
      <c r="F44" s="16">
        <v>15.0</v>
      </c>
      <c r="G44" s="16"/>
      <c r="H44" s="16"/>
      <c r="I44" s="24"/>
      <c r="J44" s="9"/>
    </row>
    <row r="45" ht="14.25" customHeight="1">
      <c r="A45" s="16" t="s">
        <v>25</v>
      </c>
      <c r="B45" s="26" t="s">
        <v>231</v>
      </c>
      <c r="C45" s="29"/>
      <c r="D45" s="29"/>
      <c r="E45" s="16">
        <v>3.0</v>
      </c>
      <c r="F45" s="16">
        <v>10.0</v>
      </c>
      <c r="G45" s="16"/>
      <c r="H45" s="16"/>
      <c r="I45" s="24"/>
      <c r="J45" s="9"/>
    </row>
    <row r="46" ht="14.25" customHeight="1">
      <c r="A46" s="49" t="s">
        <v>23</v>
      </c>
      <c r="B46" s="66" t="s">
        <v>233</v>
      </c>
      <c r="C46" s="8"/>
      <c r="D46" s="9"/>
      <c r="E46" s="49">
        <v>3.0</v>
      </c>
      <c r="F46" s="49" t="s">
        <v>178</v>
      </c>
      <c r="G46" s="49"/>
      <c r="H46" s="49"/>
      <c r="I46" s="63"/>
      <c r="J46" s="64"/>
    </row>
    <row r="47" ht="14.25" customHeight="1">
      <c r="A47" s="49" t="s">
        <v>22</v>
      </c>
      <c r="B47" s="66" t="s">
        <v>235</v>
      </c>
      <c r="C47" s="8"/>
      <c r="D47" s="9"/>
      <c r="E47" s="49">
        <v>3.0</v>
      </c>
      <c r="F47" s="49">
        <v>12.0</v>
      </c>
      <c r="G47" s="49"/>
      <c r="H47" s="49"/>
      <c r="I47" s="51"/>
      <c r="J47" s="9"/>
    </row>
    <row r="48" ht="14.25" customHeight="1">
      <c r="B48" s="26"/>
      <c r="C48" s="29"/>
      <c r="D48" s="29"/>
    </row>
    <row r="49" ht="14.25" customHeight="1"/>
    <row r="50" ht="14.25" customHeight="1">
      <c r="A50" s="2" t="s">
        <v>66</v>
      </c>
      <c r="B50" s="3"/>
      <c r="C50" s="4"/>
      <c r="J50" s="1"/>
    </row>
    <row r="51" ht="14.25" customHeight="1">
      <c r="A51" s="6" t="s">
        <v>3</v>
      </c>
      <c r="B51" s="10" t="s">
        <v>4</v>
      </c>
      <c r="C51" s="8"/>
      <c r="D51" s="9"/>
      <c r="E51" s="6" t="s">
        <v>5</v>
      </c>
      <c r="F51" s="6" t="s">
        <v>6</v>
      </c>
      <c r="G51" s="6" t="s">
        <v>7</v>
      </c>
      <c r="H51" s="6" t="s">
        <v>8</v>
      </c>
      <c r="I51" s="10" t="s">
        <v>9</v>
      </c>
      <c r="J51" s="9"/>
    </row>
    <row r="52" ht="14.25" customHeight="1">
      <c r="A52" s="16"/>
      <c r="B52" s="26"/>
      <c r="C52" s="29"/>
      <c r="D52" s="29"/>
      <c r="E52" s="16"/>
      <c r="F52" s="16"/>
      <c r="G52" s="16"/>
      <c r="H52" s="16"/>
      <c r="I52" s="24"/>
      <c r="J52" s="9"/>
    </row>
    <row r="53" ht="14.25" customHeight="1">
      <c r="A53" s="16"/>
      <c r="B53" s="26"/>
      <c r="C53" s="29"/>
      <c r="D53" s="29"/>
      <c r="E53" s="16"/>
      <c r="F53" s="16"/>
      <c r="G53" s="16"/>
      <c r="H53" s="16"/>
      <c r="I53" s="24"/>
      <c r="J53" s="9"/>
    </row>
    <row r="54" ht="14.25" customHeight="1">
      <c r="A54" s="16"/>
      <c r="B54" s="26"/>
      <c r="C54" s="29"/>
      <c r="D54" s="29"/>
      <c r="E54" s="16"/>
      <c r="F54" s="16"/>
      <c r="G54" s="16"/>
      <c r="H54" s="16"/>
      <c r="I54" s="24"/>
      <c r="J54" s="9"/>
    </row>
    <row r="55" ht="14.25" customHeight="1">
      <c r="A55" s="16"/>
      <c r="B55" s="26"/>
      <c r="C55" s="29"/>
      <c r="D55" s="29"/>
      <c r="E55" s="16"/>
      <c r="F55" s="16"/>
      <c r="G55" s="16"/>
      <c r="H55" s="16"/>
      <c r="I55" s="24"/>
      <c r="J55" s="9"/>
    </row>
    <row r="56" ht="14.25" customHeight="1">
      <c r="A56" s="16"/>
      <c r="B56" s="26"/>
      <c r="C56" s="29"/>
      <c r="D56" s="29"/>
      <c r="E56" s="16"/>
      <c r="F56" s="16"/>
      <c r="G56" s="16"/>
      <c r="H56" s="16"/>
      <c r="I56" s="24"/>
      <c r="J56" s="9"/>
    </row>
    <row r="57" ht="14.25" customHeight="1">
      <c r="A57" s="16"/>
      <c r="B57" s="26"/>
      <c r="C57" s="29"/>
      <c r="D57" s="29"/>
      <c r="E57" s="16"/>
      <c r="F57" s="16"/>
      <c r="G57" s="16"/>
      <c r="H57" s="16"/>
      <c r="I57" s="24"/>
      <c r="J57" s="9"/>
    </row>
    <row r="58" ht="14.25" customHeight="1">
      <c r="A58" s="16"/>
      <c r="B58" s="26"/>
      <c r="C58" s="29"/>
      <c r="D58" s="29"/>
      <c r="E58" s="16"/>
      <c r="F58" s="16"/>
      <c r="G58" s="16"/>
      <c r="H58" s="16"/>
      <c r="I58" s="24"/>
      <c r="J58" s="9"/>
    </row>
    <row r="59" ht="14.25" customHeight="1">
      <c r="A59" s="16"/>
      <c r="B59" s="26"/>
      <c r="C59" s="29"/>
      <c r="D59" s="29"/>
      <c r="E59" s="16"/>
      <c r="F59" s="16"/>
      <c r="G59" s="16"/>
      <c r="H59" s="16"/>
      <c r="I59" s="24"/>
      <c r="J59" s="9"/>
    </row>
    <row r="60" ht="14.25" customHeight="1">
      <c r="A60" s="16"/>
      <c r="B60" s="26"/>
      <c r="C60" s="29"/>
      <c r="D60" s="29"/>
      <c r="E60" s="16"/>
      <c r="F60" s="16"/>
      <c r="G60" s="16"/>
      <c r="H60" s="16"/>
      <c r="I60" s="24"/>
      <c r="J60" s="9"/>
    </row>
    <row r="61" ht="14.25" customHeight="1">
      <c r="A61" s="16"/>
      <c r="B61" s="58"/>
      <c r="C61" s="8"/>
      <c r="D61" s="9"/>
      <c r="E61" s="16"/>
      <c r="F61" s="16"/>
      <c r="G61" s="16"/>
      <c r="H61" s="16"/>
      <c r="I61" s="24"/>
      <c r="J61" s="9"/>
    </row>
    <row r="62" ht="14.25" customHeight="1">
      <c r="B62" s="26"/>
      <c r="C62" s="29"/>
      <c r="D62" s="29"/>
    </row>
    <row r="63" ht="14.25" customHeight="1"/>
    <row r="64" ht="14.25" customHeight="1">
      <c r="A64" s="2" t="s">
        <v>76</v>
      </c>
      <c r="B64" s="3"/>
      <c r="C64" s="4"/>
      <c r="J64" s="1"/>
    </row>
    <row r="65" ht="14.25" customHeight="1">
      <c r="A65" s="6" t="s">
        <v>3</v>
      </c>
      <c r="B65" s="10" t="s">
        <v>4</v>
      </c>
      <c r="C65" s="8"/>
      <c r="D65" s="9"/>
      <c r="E65" s="6" t="s">
        <v>5</v>
      </c>
      <c r="F65" s="6" t="s">
        <v>6</v>
      </c>
      <c r="G65" s="6" t="s">
        <v>7</v>
      </c>
      <c r="H65" s="6" t="s">
        <v>8</v>
      </c>
      <c r="I65" s="10" t="s">
        <v>9</v>
      </c>
      <c r="J65" s="9"/>
    </row>
    <row r="66" ht="14.25" customHeight="1">
      <c r="A66" s="16"/>
      <c r="B66" s="26"/>
      <c r="C66" s="29"/>
      <c r="D66" s="29"/>
      <c r="E66" s="16"/>
      <c r="F66" s="16"/>
      <c r="G66" s="16"/>
      <c r="H66" s="16"/>
      <c r="I66" s="24"/>
      <c r="J66" s="9"/>
    </row>
    <row r="67" ht="14.25" customHeight="1">
      <c r="A67" s="16"/>
      <c r="B67" s="26"/>
      <c r="C67" s="29"/>
      <c r="D67" s="29"/>
      <c r="E67" s="16"/>
      <c r="F67" s="16"/>
      <c r="G67" s="16"/>
      <c r="H67" s="16"/>
      <c r="I67" s="24"/>
      <c r="J67" s="9"/>
    </row>
    <row r="68" ht="14.25" customHeight="1">
      <c r="A68" s="16"/>
      <c r="B68" s="26"/>
      <c r="C68" s="29"/>
      <c r="D68" s="29"/>
      <c r="E68" s="16"/>
      <c r="F68" s="16"/>
      <c r="G68" s="16"/>
      <c r="H68" s="16"/>
      <c r="I68" s="24"/>
      <c r="J68" s="9"/>
    </row>
    <row r="69" ht="14.25" customHeight="1">
      <c r="A69" s="16"/>
      <c r="B69" s="26"/>
      <c r="C69" s="29"/>
      <c r="D69" s="29"/>
      <c r="E69" s="16"/>
      <c r="F69" s="16"/>
      <c r="G69" s="16"/>
      <c r="H69" s="16"/>
      <c r="I69" s="24"/>
      <c r="J69" s="9"/>
    </row>
    <row r="70" ht="14.25" customHeight="1">
      <c r="A70" s="16"/>
      <c r="B70" s="26"/>
      <c r="C70" s="29"/>
      <c r="D70" s="29"/>
      <c r="E70" s="16"/>
      <c r="F70" s="16"/>
      <c r="G70" s="16"/>
      <c r="H70" s="16"/>
      <c r="I70" s="24"/>
      <c r="J70" s="9"/>
    </row>
    <row r="71" ht="14.25" customHeight="1">
      <c r="A71" s="16"/>
      <c r="B71" s="26"/>
      <c r="C71" s="29"/>
      <c r="D71" s="29"/>
      <c r="E71" s="16"/>
      <c r="F71" s="16"/>
      <c r="G71" s="16"/>
      <c r="H71" s="16"/>
      <c r="I71" s="24"/>
      <c r="J71" s="9"/>
    </row>
    <row r="72" ht="14.25" customHeight="1">
      <c r="A72" s="16"/>
      <c r="B72" s="26"/>
      <c r="C72" s="29"/>
      <c r="D72" s="29"/>
      <c r="E72" s="16"/>
      <c r="F72" s="16"/>
      <c r="G72" s="16"/>
      <c r="H72" s="16"/>
      <c r="I72" s="24"/>
      <c r="J72" s="9"/>
    </row>
    <row r="73" ht="14.25" customHeight="1">
      <c r="A73" s="16"/>
      <c r="B73" s="26"/>
      <c r="C73" s="29"/>
      <c r="D73" s="29"/>
      <c r="E73" s="16"/>
      <c r="F73" s="16"/>
      <c r="G73" s="16"/>
      <c r="H73" s="16"/>
      <c r="I73" s="24"/>
      <c r="J73" s="9"/>
    </row>
    <row r="74" ht="14.25" customHeight="1">
      <c r="A74" s="16"/>
      <c r="B74" s="26"/>
      <c r="C74" s="29"/>
      <c r="D74" s="29"/>
      <c r="E74" s="16"/>
      <c r="F74" s="16"/>
      <c r="G74" s="16"/>
      <c r="H74" s="16"/>
      <c r="I74" s="24"/>
      <c r="J74" s="9"/>
    </row>
    <row r="75" ht="14.25" customHeight="1">
      <c r="A75" s="16"/>
      <c r="B75" s="58"/>
      <c r="C75" s="8"/>
      <c r="D75" s="9"/>
      <c r="E75" s="16"/>
      <c r="F75" s="16"/>
      <c r="G75" s="16"/>
      <c r="H75" s="16"/>
      <c r="I75" s="24"/>
      <c r="J75" s="9"/>
    </row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9">
    <mergeCell ref="I25:J25"/>
    <mergeCell ref="I26:J26"/>
    <mergeCell ref="I9:J9"/>
    <mergeCell ref="I11:J11"/>
    <mergeCell ref="I20:J20"/>
    <mergeCell ref="I21:J21"/>
    <mergeCell ref="I22:J22"/>
    <mergeCell ref="I23:J23"/>
    <mergeCell ref="I24:J24"/>
    <mergeCell ref="A4:C4"/>
    <mergeCell ref="B5:D5"/>
    <mergeCell ref="I5:J5"/>
    <mergeCell ref="M5:U5"/>
    <mergeCell ref="W5:Y5"/>
    <mergeCell ref="B6:D6"/>
    <mergeCell ref="B7:D7"/>
    <mergeCell ref="I10:J10"/>
    <mergeCell ref="M10:U10"/>
    <mergeCell ref="I6:J6"/>
    <mergeCell ref="I7:J7"/>
    <mergeCell ref="B8:D8"/>
    <mergeCell ref="I8:J8"/>
    <mergeCell ref="B9:D9"/>
    <mergeCell ref="B10:D10"/>
    <mergeCell ref="B11:D11"/>
    <mergeCell ref="I15:J15"/>
    <mergeCell ref="M15:U15"/>
    <mergeCell ref="M21:U21"/>
    <mergeCell ref="B12:D12"/>
    <mergeCell ref="I12:J12"/>
    <mergeCell ref="B13:D13"/>
    <mergeCell ref="I13:J13"/>
    <mergeCell ref="B14:D14"/>
    <mergeCell ref="I14:J14"/>
    <mergeCell ref="B15:D15"/>
    <mergeCell ref="B24:D24"/>
    <mergeCell ref="B25:D25"/>
    <mergeCell ref="B26:D26"/>
    <mergeCell ref="M26:U26"/>
    <mergeCell ref="I27:J27"/>
    <mergeCell ref="B16:D16"/>
    <mergeCell ref="B17:D17"/>
    <mergeCell ref="A19:C19"/>
    <mergeCell ref="B20:D20"/>
    <mergeCell ref="B21:D21"/>
    <mergeCell ref="B22:D22"/>
    <mergeCell ref="B23:D23"/>
    <mergeCell ref="B52:D52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62:D62"/>
    <mergeCell ref="A64:C64"/>
    <mergeCell ref="B65:D65"/>
    <mergeCell ref="B66:D66"/>
    <mergeCell ref="B74:D74"/>
    <mergeCell ref="B75:D75"/>
    <mergeCell ref="B67:D67"/>
    <mergeCell ref="B68:D68"/>
    <mergeCell ref="B69:D69"/>
    <mergeCell ref="B70:D70"/>
    <mergeCell ref="B71:D71"/>
    <mergeCell ref="B72:D72"/>
    <mergeCell ref="B73:D73"/>
    <mergeCell ref="I73:J73"/>
    <mergeCell ref="I74:J74"/>
    <mergeCell ref="I75:J75"/>
    <mergeCell ref="I66:J66"/>
    <mergeCell ref="I67:J67"/>
    <mergeCell ref="I68:J68"/>
    <mergeCell ref="I69:J69"/>
    <mergeCell ref="I70:J70"/>
    <mergeCell ref="I71:J71"/>
    <mergeCell ref="I72:J72"/>
    <mergeCell ref="B27:D27"/>
    <mergeCell ref="B28:D28"/>
    <mergeCell ref="I28:J28"/>
    <mergeCell ref="B29:D29"/>
    <mergeCell ref="I29:J29"/>
    <mergeCell ref="B30:D30"/>
    <mergeCell ref="B31:D31"/>
    <mergeCell ref="B32:D32"/>
    <mergeCell ref="I32:J32"/>
    <mergeCell ref="B33:D33"/>
    <mergeCell ref="A35:C35"/>
    <mergeCell ref="B36:D36"/>
    <mergeCell ref="I36:J36"/>
    <mergeCell ref="I37:J37"/>
    <mergeCell ref="B37:D37"/>
    <mergeCell ref="B38:D38"/>
    <mergeCell ref="B39:D39"/>
    <mergeCell ref="B40:D40"/>
    <mergeCell ref="B41:D41"/>
    <mergeCell ref="B42:D42"/>
    <mergeCell ref="B43:D43"/>
    <mergeCell ref="I38:J38"/>
    <mergeCell ref="I39:J39"/>
    <mergeCell ref="I40:J40"/>
    <mergeCell ref="I41:J41"/>
    <mergeCell ref="I42:J42"/>
    <mergeCell ref="I43:J43"/>
    <mergeCell ref="I44:J44"/>
    <mergeCell ref="B44:D44"/>
    <mergeCell ref="B45:D45"/>
    <mergeCell ref="B46:D46"/>
    <mergeCell ref="B47:D47"/>
    <mergeCell ref="B48:D48"/>
    <mergeCell ref="A50:C50"/>
    <mergeCell ref="B51:D51"/>
    <mergeCell ref="I45:J45"/>
    <mergeCell ref="I47:J47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60:J60"/>
    <mergeCell ref="I61:J61"/>
    <mergeCell ref="I65:J65"/>
  </mergeCells>
  <dataValidations>
    <dataValidation type="list" allowBlank="1" showErrorMessage="1" sqref="J3 A6:A16 A21:A32 A37:A47 A52:A61 A66:A75">
      <formula1>Datos!$B$2:$B$12</formula1>
    </dataValidation>
    <dataValidation type="list" allowBlank="1" showErrorMessage="1" sqref="J4 J19 J35 J50 J64">
      <formula1>Datos!$D$2:$D$14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7" width="10.71"/>
  </cols>
  <sheetData>
    <row r="1" ht="14.25" customHeight="1"/>
    <row r="2" ht="14.25" customHeight="1"/>
    <row r="3" ht="14.25" customHeight="1">
      <c r="J3" s="1"/>
    </row>
    <row r="4" ht="14.25" customHeight="1">
      <c r="A4" s="2" t="s">
        <v>0</v>
      </c>
      <c r="B4" s="3"/>
      <c r="C4" s="4"/>
      <c r="J4" s="1"/>
      <c r="X4" s="1"/>
      <c r="Y4" s="1"/>
      <c r="Z4" s="1"/>
      <c r="AA4" s="1"/>
    </row>
    <row r="5" ht="14.25" customHeight="1">
      <c r="A5" s="6" t="s">
        <v>3</v>
      </c>
      <c r="B5" s="10" t="s">
        <v>4</v>
      </c>
      <c r="C5" s="8"/>
      <c r="D5" s="9"/>
      <c r="E5" s="6" t="s">
        <v>5</v>
      </c>
      <c r="F5" s="6" t="s">
        <v>6</v>
      </c>
      <c r="G5" s="6" t="s">
        <v>7</v>
      </c>
      <c r="H5" s="6" t="s">
        <v>8</v>
      </c>
      <c r="I5" s="10" t="s">
        <v>9</v>
      </c>
      <c r="J5" s="9"/>
      <c r="M5" s="11" t="s">
        <v>0</v>
      </c>
      <c r="N5" s="12"/>
      <c r="O5" s="12"/>
      <c r="P5" s="12"/>
      <c r="Q5" s="12"/>
      <c r="R5" s="12"/>
      <c r="S5" s="12"/>
      <c r="T5" s="12"/>
      <c r="U5" s="13"/>
      <c r="W5" s="14" t="s">
        <v>11</v>
      </c>
      <c r="X5" s="12"/>
      <c r="Y5" s="13"/>
      <c r="AA5" s="1"/>
    </row>
    <row r="6" ht="14.25" customHeight="1">
      <c r="A6" s="16"/>
      <c r="B6" s="26"/>
      <c r="C6" s="29"/>
      <c r="D6" s="29"/>
      <c r="E6" s="16"/>
      <c r="F6" s="16"/>
      <c r="G6" s="16"/>
      <c r="H6" s="31"/>
      <c r="I6" s="24"/>
      <c r="J6" s="9"/>
      <c r="M6" s="25"/>
      <c r="N6" s="28" t="s">
        <v>17</v>
      </c>
      <c r="O6" s="28" t="s">
        <v>19</v>
      </c>
      <c r="P6" s="28" t="s">
        <v>20</v>
      </c>
      <c r="Q6" s="28" t="s">
        <v>21</v>
      </c>
      <c r="R6" s="28" t="s">
        <v>22</v>
      </c>
      <c r="S6" s="28" t="s">
        <v>23</v>
      </c>
      <c r="T6" s="28" t="s">
        <v>24</v>
      </c>
      <c r="U6" s="28" t="s">
        <v>25</v>
      </c>
      <c r="W6" s="28" t="s">
        <v>17</v>
      </c>
      <c r="X6" s="1">
        <f>SUM(N7,N12,N17,N22,N27)</f>
        <v>0</v>
      </c>
      <c r="AA6" s="1"/>
    </row>
    <row r="7" ht="14.25" customHeight="1">
      <c r="A7" s="16"/>
      <c r="B7" s="26"/>
      <c r="C7" s="29"/>
      <c r="D7" s="29"/>
      <c r="E7" s="16"/>
      <c r="F7" s="16"/>
      <c r="G7" s="16"/>
      <c r="H7" s="31"/>
      <c r="I7" s="24"/>
      <c r="J7" s="9"/>
      <c r="M7" s="34" t="s">
        <v>36</v>
      </c>
      <c r="N7" s="35">
        <f>SUMIF(A6:A15,"Empuje",E6:E15)</f>
        <v>0</v>
      </c>
      <c r="O7" s="35">
        <f>SUMIF(A6:A15,"Tracción",E6:E15)</f>
        <v>0</v>
      </c>
      <c r="P7" s="35">
        <f>SUMIF($A6:$A15,"Dom. Rodillas",$E6:$E15)</f>
        <v>0</v>
      </c>
      <c r="Q7" s="35">
        <f>SUMIF($A6:$A15,"Dom. Caderas",$E6:$E15)</f>
        <v>0</v>
      </c>
      <c r="R7" s="35">
        <f>SUMIF($A6:$A15,"A. Empuje",$E6:$E15)</f>
        <v>0</v>
      </c>
      <c r="S7" s="36">
        <f>SUMIF(A6:A15,"A. Tracción",E6:E15)</f>
        <v>0</v>
      </c>
      <c r="T7" s="35">
        <f>SUMIF($A6:$A15,"A. Rodillas",$E6:$E15)</f>
        <v>0</v>
      </c>
      <c r="U7" s="35">
        <f>SUMIF($A6:$A15,"A. Cadera",$E6:$E15)</f>
        <v>0</v>
      </c>
      <c r="W7" s="28" t="s">
        <v>19</v>
      </c>
      <c r="X7" s="1">
        <f>SUM(O7,O12,O17,O22,O27)</f>
        <v>0</v>
      </c>
      <c r="AA7" s="1"/>
    </row>
    <row r="8" ht="14.25" customHeight="1">
      <c r="A8" s="16"/>
      <c r="B8" s="26"/>
      <c r="C8" s="29"/>
      <c r="D8" s="29"/>
      <c r="E8" s="16"/>
      <c r="F8" s="16"/>
      <c r="G8" s="16"/>
      <c r="H8" s="31"/>
      <c r="I8" s="24"/>
      <c r="J8" s="9"/>
      <c r="M8" s="34" t="s">
        <v>7</v>
      </c>
      <c r="N8" s="35" t="str">
        <f>AVERAGEIF($A6:$A15,"Empuje",$G6:$G15)</f>
        <v>#DIV/0!</v>
      </c>
      <c r="O8" s="35" t="str">
        <f>AVERAGEIF($A6:$A15,"Traccion",$G6:$G15)</f>
        <v>#DIV/0!</v>
      </c>
      <c r="P8" s="35" t="str">
        <f>AVERAGEIF($A6:$A15,"Dom. Rodillas",$G6:$G15)</f>
        <v>#DIV/0!</v>
      </c>
      <c r="Q8" s="35" t="str">
        <f>AVERAGEIF($A6:$A15,"Dom. Cadera",$G6:$G15)</f>
        <v>#DIV/0!</v>
      </c>
      <c r="R8" s="35" t="str">
        <f>AVERAGEIF($A6:$A15,"A. Empuje",$G6:$G15)</f>
        <v>#DIV/0!</v>
      </c>
      <c r="S8" s="35" t="str">
        <f>AVERAGEIF($A6:$A15,"A. Tracción",$G6:$G15)</f>
        <v>#DIV/0!</v>
      </c>
      <c r="T8" s="35" t="str">
        <f>AVERAGEIF($A6:$A15,"A. Rodillas",$G6:$G15)</f>
        <v>#DIV/0!</v>
      </c>
      <c r="U8" s="35" t="str">
        <f>AVERAGEIF($A6:$A15,"A. Cadera",$G6:$G15)</f>
        <v>#DIV/0!</v>
      </c>
      <c r="W8" s="28" t="s">
        <v>20</v>
      </c>
      <c r="X8" s="1">
        <f>SUM(P7,P12,P17,P22,P27)</f>
        <v>0</v>
      </c>
      <c r="AA8" s="1"/>
    </row>
    <row r="9" ht="14.25" customHeight="1">
      <c r="A9" s="16"/>
      <c r="B9" s="26"/>
      <c r="C9" s="29"/>
      <c r="D9" s="29"/>
      <c r="E9" s="16"/>
      <c r="F9" s="16"/>
      <c r="G9" s="16"/>
      <c r="H9" s="31"/>
      <c r="I9" s="24"/>
      <c r="J9" s="9"/>
      <c r="M9" s="25"/>
      <c r="N9" s="25"/>
      <c r="O9" s="25"/>
      <c r="P9" s="25"/>
      <c r="Q9" s="25"/>
      <c r="R9" s="25"/>
      <c r="S9" s="25"/>
      <c r="T9" s="25"/>
      <c r="U9" s="25"/>
      <c r="W9" s="28" t="s">
        <v>21</v>
      </c>
      <c r="X9" s="1">
        <f>SUM(Q7,Q12,Q17,Q22,Q27)</f>
        <v>0</v>
      </c>
      <c r="AA9" s="1"/>
    </row>
    <row r="10" ht="14.25" customHeight="1">
      <c r="A10" s="16"/>
      <c r="B10" s="26"/>
      <c r="C10" s="29"/>
      <c r="D10" s="29"/>
      <c r="E10" s="16"/>
      <c r="F10" s="16"/>
      <c r="G10" s="16"/>
      <c r="H10" s="31"/>
      <c r="I10" s="24"/>
      <c r="J10" s="9"/>
      <c r="M10" s="11" t="s">
        <v>45</v>
      </c>
      <c r="N10" s="12"/>
      <c r="O10" s="12"/>
      <c r="P10" s="12"/>
      <c r="Q10" s="12"/>
      <c r="R10" s="12"/>
      <c r="S10" s="12"/>
      <c r="T10" s="12"/>
      <c r="U10" s="13"/>
      <c r="W10" s="28" t="s">
        <v>22</v>
      </c>
      <c r="X10" s="1">
        <f>SUM(R7,R12,R17,R22,R27)</f>
        <v>0</v>
      </c>
      <c r="AA10" s="1"/>
    </row>
    <row r="11" ht="14.25" customHeight="1">
      <c r="A11" s="16"/>
      <c r="B11" s="26"/>
      <c r="C11" s="29"/>
      <c r="D11" s="29"/>
      <c r="E11" s="16"/>
      <c r="F11" s="16"/>
      <c r="G11" s="16"/>
      <c r="H11" s="43"/>
      <c r="I11" s="24"/>
      <c r="J11" s="9"/>
      <c r="M11" s="25"/>
      <c r="N11" s="28" t="s">
        <v>17</v>
      </c>
      <c r="O11" s="28" t="s">
        <v>19</v>
      </c>
      <c r="P11" s="28" t="s">
        <v>20</v>
      </c>
      <c r="Q11" s="28" t="s">
        <v>21</v>
      </c>
      <c r="R11" s="28" t="s">
        <v>22</v>
      </c>
      <c r="S11" s="28" t="s">
        <v>23</v>
      </c>
      <c r="T11" s="28" t="s">
        <v>24</v>
      </c>
      <c r="U11" s="28" t="s">
        <v>25</v>
      </c>
      <c r="W11" s="28" t="s">
        <v>23</v>
      </c>
      <c r="X11" s="1">
        <f>SUM(S7,S12,S17,S22,S27)</f>
        <v>0</v>
      </c>
      <c r="AA11" s="1"/>
    </row>
    <row r="12" ht="14.25" customHeight="1">
      <c r="A12" s="16"/>
      <c r="B12" s="26"/>
      <c r="C12" s="29"/>
      <c r="D12" s="29"/>
      <c r="E12" s="16"/>
      <c r="F12" s="16"/>
      <c r="G12" s="16"/>
      <c r="H12" s="43"/>
      <c r="I12" s="24"/>
      <c r="J12" s="9"/>
      <c r="M12" s="34" t="s">
        <v>36</v>
      </c>
      <c r="N12" s="35">
        <f>SUMIF($A20:$A29,"Empuje",$E20:$E29)</f>
        <v>0</v>
      </c>
      <c r="O12" s="35">
        <f>SUMIF($A20:$A29,"Tracción",$E20:$E29)</f>
        <v>0</v>
      </c>
      <c r="P12" s="35">
        <f>SUMIF($A20:$A29,"Dom. Rodillas",$E20:$E29)</f>
        <v>0</v>
      </c>
      <c r="Q12" s="35">
        <f>SUMIF($A20:$A29,"Dom. Caderas",$E20:$E29)</f>
        <v>0</v>
      </c>
      <c r="R12" s="35">
        <f>SUMIF($A20:$A29,"A. Empuje",$E20:$E29)</f>
        <v>0</v>
      </c>
      <c r="S12" s="35">
        <f>SUMIF($A20:$A29,"A. Tracción",$E20:$E29)</f>
        <v>0</v>
      </c>
      <c r="T12" s="35">
        <f>SUMIF($A20:$A29,"A. Rodillas",$E20:$E29)</f>
        <v>0</v>
      </c>
      <c r="U12" s="35">
        <f>SUMIF($A20:$A29,"A. Cadera",$E20:$E29)</f>
        <v>0</v>
      </c>
      <c r="W12" s="28" t="s">
        <v>24</v>
      </c>
      <c r="X12" s="1">
        <f>SUM(T7,T12,T17,T22,T27)</f>
        <v>0</v>
      </c>
      <c r="AA12" s="1"/>
    </row>
    <row r="13" ht="14.25" customHeight="1">
      <c r="A13" s="16"/>
      <c r="B13" s="26"/>
      <c r="C13" s="29"/>
      <c r="D13" s="29"/>
      <c r="E13" s="16"/>
      <c r="F13" s="16"/>
      <c r="G13" s="16"/>
      <c r="H13" s="43"/>
      <c r="I13" s="24"/>
      <c r="J13" s="9"/>
      <c r="M13" s="34" t="s">
        <v>7</v>
      </c>
      <c r="N13" s="35" t="str">
        <f>AVERAGEIF($A20:$A29,"Empuje",$G20:$G29)</f>
        <v>#DIV/0!</v>
      </c>
      <c r="O13" s="35" t="str">
        <f>AVERAGEIF($A20:$A29,"Tracción",$G20:$G29)</f>
        <v>#DIV/0!</v>
      </c>
      <c r="P13" s="35" t="str">
        <f>AVERAGEIF($A20:$A29,"Dom. Rodillas",$G20:$G29)</f>
        <v>#DIV/0!</v>
      </c>
      <c r="Q13" s="35" t="str">
        <f>AVERAGEIF($A20:$A29,"Dom.Cadera",$G20:$G29)</f>
        <v>#DIV/0!</v>
      </c>
      <c r="R13" s="35" t="str">
        <f>AVERAGEIF($A20:$A29,"A. Empuje",$G20:$G29)</f>
        <v>#DIV/0!</v>
      </c>
      <c r="S13" s="35" t="str">
        <f>AVERAGEIF($A20:$A29,"A. Tracción",$G20:$G29)</f>
        <v>#DIV/0!</v>
      </c>
      <c r="T13" s="35" t="str">
        <f>AVERAGEIF($A20:$A29,"A. Rodillas",$G20:$G29)</f>
        <v>#DIV/0!</v>
      </c>
      <c r="U13" s="35" t="str">
        <f>AVERAGEIF($A20:$A29,"A. Cadera",$G20:$G29)</f>
        <v>#DIV/0!</v>
      </c>
      <c r="W13" s="28" t="s">
        <v>25</v>
      </c>
      <c r="X13" s="1">
        <f>SUM(U7,U12,U17,U22,U27)</f>
        <v>0</v>
      </c>
      <c r="AA13" s="1"/>
    </row>
    <row r="14" ht="14.25" customHeight="1">
      <c r="A14" s="16"/>
      <c r="B14" s="26"/>
      <c r="C14" s="29"/>
      <c r="D14" s="29"/>
      <c r="E14" s="16"/>
      <c r="F14" s="16"/>
      <c r="G14" s="16"/>
      <c r="H14" s="43"/>
      <c r="I14" s="24"/>
      <c r="J14" s="9"/>
      <c r="M14" s="25"/>
      <c r="N14" s="25"/>
      <c r="O14" s="25"/>
      <c r="P14" s="25"/>
      <c r="Q14" s="25"/>
      <c r="R14" s="25"/>
      <c r="S14" s="25"/>
      <c r="T14" s="25"/>
      <c r="U14" s="25"/>
      <c r="W14" s="1"/>
      <c r="X14" s="1"/>
      <c r="AA14" s="1"/>
    </row>
    <row r="15" ht="14.25" customHeight="1">
      <c r="A15" s="16"/>
      <c r="B15" s="26"/>
      <c r="C15" s="29"/>
      <c r="D15" s="29"/>
      <c r="E15" s="16"/>
      <c r="F15" s="16"/>
      <c r="G15" s="16"/>
      <c r="H15" s="16"/>
      <c r="I15" s="24"/>
      <c r="J15" s="9"/>
      <c r="M15" s="11" t="s">
        <v>57</v>
      </c>
      <c r="N15" s="12"/>
      <c r="O15" s="12"/>
      <c r="P15" s="12"/>
      <c r="Q15" s="12"/>
      <c r="R15" s="12"/>
      <c r="S15" s="12"/>
      <c r="T15" s="12"/>
      <c r="U15" s="13"/>
      <c r="W15" s="1"/>
      <c r="X15" s="1"/>
      <c r="AA15" s="1"/>
    </row>
    <row r="16" ht="14.25" customHeight="1">
      <c r="B16" s="26"/>
      <c r="C16" s="29"/>
      <c r="D16" s="29"/>
      <c r="M16" s="25"/>
      <c r="N16" s="28" t="s">
        <v>17</v>
      </c>
      <c r="O16" s="28" t="s">
        <v>19</v>
      </c>
      <c r="P16" s="28" t="s">
        <v>20</v>
      </c>
      <c r="Q16" s="28" t="s">
        <v>21</v>
      </c>
      <c r="R16" s="28" t="s">
        <v>22</v>
      </c>
      <c r="S16" s="28" t="s">
        <v>23</v>
      </c>
      <c r="T16" s="28" t="s">
        <v>24</v>
      </c>
      <c r="U16" s="28" t="s">
        <v>25</v>
      </c>
      <c r="W16" s="1"/>
      <c r="X16" s="1"/>
      <c r="Y16" s="1"/>
      <c r="Z16" s="1"/>
      <c r="AA16" s="1"/>
    </row>
    <row r="17" ht="14.25" customHeight="1">
      <c r="M17" s="34" t="s">
        <v>36</v>
      </c>
      <c r="N17" s="35">
        <f>SUMIF($A34:$A43,"Empuje",$E34:$E43)</f>
        <v>0</v>
      </c>
      <c r="O17" s="35">
        <f>SUMIF($A34:$A43,"Tracción",$E34:$E43)</f>
        <v>0</v>
      </c>
      <c r="P17" s="35">
        <f>SUMIF($A34:$A43,"Dom. Rodillas",$E34:$E43)</f>
        <v>0</v>
      </c>
      <c r="Q17" s="35">
        <f>SUMIF($A34:$A43,"Dom. Caderas",$E34:$E43)</f>
        <v>0</v>
      </c>
      <c r="R17" s="35">
        <f>SUMIF($A34:$A43,"A. Empuje",$E34:$E43)</f>
        <v>0</v>
      </c>
      <c r="S17" s="35">
        <f>SUMIF($A34:$A43,"A. Tracción",$E34:$E43)</f>
        <v>0</v>
      </c>
      <c r="T17" s="35">
        <f>SUMIF($A34:$A43,"A. Rodillas",$E34:$E43)</f>
        <v>0</v>
      </c>
      <c r="U17" s="35">
        <f>SUMIF($A34:$A43,"A. Cadera",$E34:$E43)</f>
        <v>0</v>
      </c>
      <c r="X17" s="1"/>
      <c r="Y17" s="1"/>
      <c r="Z17" s="1"/>
      <c r="AA17" s="1"/>
    </row>
    <row r="18" ht="14.25" customHeight="1">
      <c r="A18" s="2" t="s">
        <v>45</v>
      </c>
      <c r="B18" s="3"/>
      <c r="C18" s="4"/>
      <c r="J18" s="1"/>
      <c r="M18" s="34" t="s">
        <v>7</v>
      </c>
      <c r="N18" s="35" t="str">
        <f>AVERAGEIF($A34:$A43,"Empuje",$G34:$G43)</f>
        <v>#DIV/0!</v>
      </c>
      <c r="O18" s="35" t="str">
        <f>AVERAGEIF($A34:$A43,"Tracción",$G34:$G43)</f>
        <v>#DIV/0!</v>
      </c>
      <c r="P18" s="35" t="str">
        <f>AVERAGEIF($A34:$A43,"Dom. Rodillas",$G34:$G43)</f>
        <v>#DIV/0!</v>
      </c>
      <c r="Q18" s="35" t="str">
        <f>AVERAGEIF($A34:$A43,"Dom. Caderas",$G34:$G43)</f>
        <v>#DIV/0!</v>
      </c>
      <c r="R18" s="35" t="str">
        <f>AVERAGEIF($A34:$A43,"A. Empuje",$G34:$G43)</f>
        <v>#DIV/0!</v>
      </c>
      <c r="S18" s="35" t="str">
        <f>AVERAGEIF($A34:$A43,"A. Tracción",$G34:$G43)</f>
        <v>#DIV/0!</v>
      </c>
      <c r="T18" s="35" t="str">
        <f>AVERAGEIF($A34:$A43,"A. Rodillas",$G34:$G43)</f>
        <v>#DIV/0!</v>
      </c>
      <c r="U18" s="35" t="str">
        <f>AVERAGEIF($A34:$A43,"A. Cadera",$G34:$G43)</f>
        <v>#DIV/0!</v>
      </c>
      <c r="X18" s="1"/>
      <c r="Y18" s="1"/>
      <c r="Z18" s="1"/>
      <c r="AA18" s="1"/>
    </row>
    <row r="19" ht="14.25" customHeight="1">
      <c r="A19" s="6" t="s">
        <v>3</v>
      </c>
      <c r="B19" s="10" t="s">
        <v>4</v>
      </c>
      <c r="C19" s="8"/>
      <c r="D19" s="9"/>
      <c r="E19" s="6" t="s">
        <v>5</v>
      </c>
      <c r="F19" s="6" t="s">
        <v>6</v>
      </c>
      <c r="G19" s="6" t="s">
        <v>7</v>
      </c>
      <c r="H19" s="6" t="s">
        <v>8</v>
      </c>
      <c r="I19" s="10" t="s">
        <v>9</v>
      </c>
      <c r="J19" s="9"/>
      <c r="M19" s="25"/>
      <c r="N19" s="25"/>
      <c r="O19" s="25"/>
      <c r="P19" s="25"/>
      <c r="Q19" s="25"/>
      <c r="R19" s="25"/>
      <c r="S19" s="25"/>
      <c r="T19" s="25"/>
      <c r="U19" s="25"/>
      <c r="X19" s="1"/>
      <c r="Y19" s="1"/>
      <c r="Z19" s="1"/>
      <c r="AA19" s="1"/>
    </row>
    <row r="20" ht="14.25" customHeight="1">
      <c r="A20" s="16"/>
      <c r="B20" s="26"/>
      <c r="C20" s="29"/>
      <c r="D20" s="29"/>
      <c r="E20" s="16"/>
      <c r="F20" s="16"/>
      <c r="G20" s="16"/>
      <c r="H20" s="16"/>
      <c r="I20" s="24"/>
      <c r="J20" s="9"/>
      <c r="M20" s="11" t="s">
        <v>66</v>
      </c>
      <c r="N20" s="12"/>
      <c r="O20" s="12"/>
      <c r="P20" s="12"/>
      <c r="Q20" s="12"/>
      <c r="R20" s="12"/>
      <c r="S20" s="12"/>
      <c r="T20" s="12"/>
      <c r="U20" s="13"/>
      <c r="X20" s="1"/>
      <c r="Y20" s="1"/>
      <c r="Z20" s="1"/>
      <c r="AA20" s="1"/>
    </row>
    <row r="21" ht="14.25" customHeight="1">
      <c r="A21" s="16"/>
      <c r="B21" s="26"/>
      <c r="C21" s="29"/>
      <c r="D21" s="29"/>
      <c r="E21" s="16"/>
      <c r="F21" s="16"/>
      <c r="G21" s="16"/>
      <c r="H21" s="16"/>
      <c r="I21" s="24"/>
      <c r="J21" s="9"/>
      <c r="M21" s="25"/>
      <c r="N21" s="28" t="s">
        <v>17</v>
      </c>
      <c r="O21" s="28" t="s">
        <v>19</v>
      </c>
      <c r="P21" s="28" t="s">
        <v>20</v>
      </c>
      <c r="Q21" s="28" t="s">
        <v>21</v>
      </c>
      <c r="R21" s="28" t="s">
        <v>22</v>
      </c>
      <c r="S21" s="28" t="s">
        <v>23</v>
      </c>
      <c r="T21" s="28" t="s">
        <v>24</v>
      </c>
      <c r="U21" s="28" t="s">
        <v>25</v>
      </c>
      <c r="X21" s="1"/>
      <c r="Y21" s="1"/>
      <c r="Z21" s="1"/>
      <c r="AA21" s="1"/>
    </row>
    <row r="22" ht="14.25" customHeight="1">
      <c r="A22" s="16"/>
      <c r="B22" s="26"/>
      <c r="C22" s="29"/>
      <c r="D22" s="29"/>
      <c r="E22" s="16"/>
      <c r="F22" s="16"/>
      <c r="G22" s="16"/>
      <c r="H22" s="16"/>
      <c r="I22" s="24"/>
      <c r="J22" s="9"/>
      <c r="M22" s="34" t="s">
        <v>36</v>
      </c>
      <c r="N22" s="35">
        <f>SUMIF($A48:$A57,"Empuje",$E48:$E57)</f>
        <v>0</v>
      </c>
      <c r="O22" s="35">
        <f>SUMIF($A48:$A57,"Tracción",$E48:$E57)</f>
        <v>0</v>
      </c>
      <c r="P22" s="35">
        <f>SUMIF($A48:$A57,"Dom. Rodillas",$E48:$E57)</f>
        <v>0</v>
      </c>
      <c r="Q22" s="35">
        <f>SUMIF($A48:$A57,"Dom. Caderas",$E48:$E57)</f>
        <v>0</v>
      </c>
      <c r="R22" s="35">
        <f>SUMIF($A48:$A57,"A. Empuje",$E48:$E57)</f>
        <v>0</v>
      </c>
      <c r="S22" s="35">
        <f>SUMIF($A48:$A57,"A. Tracción",$E48:$E57)</f>
        <v>0</v>
      </c>
      <c r="T22" s="35">
        <f>SUMIF($A48:$A57,"A. Rodillas",$E48:$E57)</f>
        <v>0</v>
      </c>
      <c r="U22" s="35">
        <f>SUMIF($A48:$A57,"A. Cadera",$E48:$E57)</f>
        <v>0</v>
      </c>
    </row>
    <row r="23" ht="14.25" customHeight="1">
      <c r="A23" s="16"/>
      <c r="B23" s="26"/>
      <c r="C23" s="29"/>
      <c r="D23" s="29"/>
      <c r="E23" s="16"/>
      <c r="F23" s="16"/>
      <c r="G23" s="16"/>
      <c r="H23" s="16"/>
      <c r="I23" s="24"/>
      <c r="J23" s="9"/>
      <c r="M23" s="34" t="s">
        <v>7</v>
      </c>
      <c r="N23" s="35" t="str">
        <f>AVERAGEIF($A48:$A57,"Empuje",$G48:$G57)</f>
        <v>#DIV/0!</v>
      </c>
      <c r="O23" s="35" t="str">
        <f>AVERAGEIF($A48:$A57,"Tracción",$G48:$G57)</f>
        <v>#DIV/0!</v>
      </c>
      <c r="P23" s="35" t="str">
        <f>AVERAGEIF($A48:$A57,"Dom. Rodillas",$G48:$G57)</f>
        <v>#DIV/0!</v>
      </c>
      <c r="Q23" s="35" t="str">
        <f>AVERAGEIF($A48:$A57,"Dom. Caderas",$G48:$G57)</f>
        <v>#DIV/0!</v>
      </c>
      <c r="R23" s="35" t="str">
        <f>AVERAGEIF($A48:$A57,"A. Empuje",$G48:$G57)</f>
        <v>#DIV/0!</v>
      </c>
      <c r="S23" s="35" t="str">
        <f>AVERAGEIF($A48:$A57,"A. Tracción",$G48:$G57)</f>
        <v>#DIV/0!</v>
      </c>
      <c r="T23" s="35" t="str">
        <f>AVERAGEIF($A48:$A57,"A. Rodillas",$G48:$G57)</f>
        <v>#DIV/0!</v>
      </c>
      <c r="U23" s="35" t="str">
        <f>AVERAGEIF($A48:$A57,"A. Cadera",$G48:$G57)</f>
        <v>#DIV/0!</v>
      </c>
    </row>
    <row r="24" ht="14.25" customHeight="1">
      <c r="A24" s="16"/>
      <c r="B24" s="26"/>
      <c r="C24" s="29"/>
      <c r="D24" s="29"/>
      <c r="E24" s="16"/>
      <c r="F24" s="16"/>
      <c r="G24" s="16"/>
      <c r="H24" s="16"/>
      <c r="I24" s="24"/>
      <c r="J24" s="9"/>
      <c r="M24" s="25"/>
      <c r="N24" s="25"/>
      <c r="O24" s="25"/>
      <c r="P24" s="25"/>
      <c r="Q24" s="25"/>
      <c r="R24" s="25"/>
      <c r="S24" s="25"/>
      <c r="T24" s="25"/>
      <c r="U24" s="25"/>
    </row>
    <row r="25" ht="14.25" customHeight="1">
      <c r="A25" s="16"/>
      <c r="B25" s="26"/>
      <c r="C25" s="29"/>
      <c r="D25" s="29"/>
      <c r="E25" s="16"/>
      <c r="F25" s="16"/>
      <c r="G25" s="16"/>
      <c r="H25" s="16"/>
      <c r="I25" s="24"/>
      <c r="J25" s="9"/>
      <c r="M25" s="11" t="s">
        <v>76</v>
      </c>
      <c r="N25" s="12"/>
      <c r="O25" s="12"/>
      <c r="P25" s="12"/>
      <c r="Q25" s="12"/>
      <c r="R25" s="12"/>
      <c r="S25" s="12"/>
      <c r="T25" s="12"/>
      <c r="U25" s="13"/>
    </row>
    <row r="26" ht="14.25" customHeight="1">
      <c r="A26" s="16"/>
      <c r="B26" s="26"/>
      <c r="C26" s="29"/>
      <c r="D26" s="29"/>
      <c r="E26" s="16"/>
      <c r="F26" s="16"/>
      <c r="G26" s="16"/>
      <c r="H26" s="16"/>
      <c r="I26" s="24"/>
      <c r="J26" s="9"/>
      <c r="M26" s="25"/>
      <c r="N26" s="28" t="s">
        <v>17</v>
      </c>
      <c r="O26" s="28" t="s">
        <v>19</v>
      </c>
      <c r="P26" s="28" t="s">
        <v>20</v>
      </c>
      <c r="Q26" s="28" t="s">
        <v>21</v>
      </c>
      <c r="R26" s="28" t="s">
        <v>22</v>
      </c>
      <c r="S26" s="28" t="s">
        <v>23</v>
      </c>
      <c r="T26" s="28" t="s">
        <v>24</v>
      </c>
      <c r="U26" s="28" t="s">
        <v>25</v>
      </c>
    </row>
    <row r="27" ht="14.25" customHeight="1">
      <c r="A27" s="16"/>
      <c r="B27" s="26"/>
      <c r="C27" s="29"/>
      <c r="D27" s="29"/>
      <c r="E27" s="16"/>
      <c r="F27" s="16"/>
      <c r="G27" s="16"/>
      <c r="H27" s="16"/>
      <c r="I27" s="24"/>
      <c r="J27" s="9"/>
      <c r="M27" s="34" t="s">
        <v>36</v>
      </c>
      <c r="N27" s="35">
        <f>SUMIF($A62:$A71,"Empuje",$E62:$E71)</f>
        <v>0</v>
      </c>
      <c r="O27" s="35">
        <f>SUMIF($A62:$A71,"Tracción",$E62:$E71)</f>
        <v>0</v>
      </c>
      <c r="P27" s="35">
        <f>SUMIF($A62:$A71,"Dom. Rodillas",$E62:$E71)</f>
        <v>0</v>
      </c>
      <c r="Q27" s="35">
        <f>SUMIF($A62:$A71,"Dom. Caderas",$E62:$E71)</f>
        <v>0</v>
      </c>
      <c r="R27" s="35">
        <f>SUMIF($A62:$A71,"A. Empuje",$E62:$E71)</f>
        <v>0</v>
      </c>
      <c r="S27" s="35">
        <f>SUMIF($A62:$A71,"A. Tracción",$E62:$E71)</f>
        <v>0</v>
      </c>
      <c r="T27" s="35">
        <f>SUMIF($A62:$A71,"A. Rodillas",$E62:$E71)</f>
        <v>0</v>
      </c>
      <c r="U27" s="35">
        <f>SUMIF($A62:$A71,"A. Cadera",$E62:$E71)</f>
        <v>0</v>
      </c>
    </row>
    <row r="28" ht="14.25" customHeight="1">
      <c r="A28" s="16"/>
      <c r="B28" s="26"/>
      <c r="C28" s="29"/>
      <c r="D28" s="29"/>
      <c r="E28" s="16"/>
      <c r="F28" s="16"/>
      <c r="G28" s="16"/>
      <c r="H28" s="16"/>
      <c r="I28" s="24"/>
      <c r="J28" s="9"/>
      <c r="M28" s="34" t="s">
        <v>7</v>
      </c>
      <c r="N28" s="35" t="str">
        <f>AVERAGEIF($A62:$A71,"Empuje",$G62:$G71)</f>
        <v>#DIV/0!</v>
      </c>
      <c r="O28" s="35" t="str">
        <f>AVERAGEIF($A62:$A71,"Tracción",$G62:$G71)</f>
        <v>#DIV/0!</v>
      </c>
      <c r="P28" s="35" t="str">
        <f>AVERAGEIF($A62:$A71,"Dom. Rodillas",$G62:$G71)</f>
        <v>#DIV/0!</v>
      </c>
      <c r="Q28" s="35" t="str">
        <f>AVERAGEIF($A62:$A71,"Dom. Caderas",$G62:$G71)</f>
        <v>#DIV/0!</v>
      </c>
      <c r="R28" s="35" t="str">
        <f>AVERAGEIF($A62:$A71,"A. Empuje",$G62:$G71)</f>
        <v>#DIV/0!</v>
      </c>
      <c r="S28" s="35" t="str">
        <f>AVERAGEIF($A62:$A71,"A. Tracción",$G62:$G71)</f>
        <v>#DIV/0!</v>
      </c>
      <c r="T28" s="35" t="str">
        <f>AVERAGEIF($A62:$A71,"A. Rodillas",$G62:$G71)</f>
        <v>#DIV/0!</v>
      </c>
      <c r="U28" s="35" t="str">
        <f>AVERAGEIF($A62:$A71,"A. Cadera",$G62:$G71)</f>
        <v>#DIV/0!</v>
      </c>
    </row>
    <row r="29" ht="14.25" customHeight="1">
      <c r="A29" s="16"/>
      <c r="B29" s="58"/>
      <c r="C29" s="8"/>
      <c r="D29" s="9"/>
      <c r="E29" s="16"/>
      <c r="F29" s="16"/>
      <c r="G29" s="16"/>
      <c r="H29" s="16"/>
      <c r="I29" s="24"/>
      <c r="J29" s="9"/>
    </row>
    <row r="30" ht="14.25" customHeight="1">
      <c r="B30" s="26"/>
      <c r="C30" s="29"/>
      <c r="D30" s="29"/>
    </row>
    <row r="31" ht="14.25" customHeight="1"/>
    <row r="32" ht="14.25" customHeight="1">
      <c r="A32" s="2" t="s">
        <v>57</v>
      </c>
      <c r="B32" s="3"/>
      <c r="C32" s="4"/>
      <c r="J32" s="1"/>
    </row>
    <row r="33" ht="14.25" customHeight="1">
      <c r="A33" s="6" t="s">
        <v>3</v>
      </c>
      <c r="B33" s="10" t="s">
        <v>4</v>
      </c>
      <c r="C33" s="8"/>
      <c r="D33" s="9"/>
      <c r="E33" s="6" t="s">
        <v>5</v>
      </c>
      <c r="F33" s="6" t="s">
        <v>6</v>
      </c>
      <c r="G33" s="6" t="s">
        <v>7</v>
      </c>
      <c r="H33" s="6" t="s">
        <v>8</v>
      </c>
      <c r="I33" s="10" t="s">
        <v>9</v>
      </c>
      <c r="J33" s="9"/>
    </row>
    <row r="34" ht="14.25" customHeight="1">
      <c r="A34" s="16"/>
      <c r="B34" s="26"/>
      <c r="C34" s="29"/>
      <c r="D34" s="29"/>
      <c r="E34" s="16"/>
      <c r="F34" s="16"/>
      <c r="G34" s="16"/>
      <c r="H34" s="31"/>
      <c r="I34" s="24"/>
      <c r="J34" s="9"/>
    </row>
    <row r="35" ht="14.25" customHeight="1">
      <c r="A35" s="16"/>
      <c r="B35" s="26"/>
      <c r="C35" s="29"/>
      <c r="D35" s="29"/>
      <c r="E35" s="16"/>
      <c r="F35" s="16"/>
      <c r="G35" s="16"/>
      <c r="H35" s="31"/>
      <c r="I35" s="24"/>
      <c r="J35" s="9"/>
    </row>
    <row r="36" ht="14.25" customHeight="1">
      <c r="A36" s="16"/>
      <c r="B36" s="26"/>
      <c r="C36" s="29"/>
      <c r="D36" s="29"/>
      <c r="E36" s="16"/>
      <c r="F36" s="16"/>
      <c r="G36" s="16"/>
      <c r="H36" s="31"/>
      <c r="I36" s="24"/>
      <c r="J36" s="9"/>
    </row>
    <row r="37" ht="14.25" customHeight="1">
      <c r="A37" s="16"/>
      <c r="B37" s="26"/>
      <c r="C37" s="29"/>
      <c r="D37" s="29"/>
      <c r="E37" s="16"/>
      <c r="F37" s="16"/>
      <c r="G37" s="16"/>
      <c r="H37" s="31"/>
      <c r="I37" s="24"/>
      <c r="J37" s="9"/>
    </row>
    <row r="38" ht="14.25" customHeight="1">
      <c r="A38" s="16"/>
      <c r="B38" s="26"/>
      <c r="C38" s="29"/>
      <c r="D38" s="29"/>
      <c r="E38" s="16"/>
      <c r="F38" s="16"/>
      <c r="G38" s="16"/>
      <c r="H38" s="16"/>
      <c r="I38" s="24"/>
      <c r="J38" s="9"/>
    </row>
    <row r="39" ht="14.25" customHeight="1">
      <c r="A39" s="16"/>
      <c r="B39" s="26"/>
      <c r="C39" s="29"/>
      <c r="D39" s="29"/>
      <c r="E39" s="16"/>
      <c r="F39" s="16"/>
      <c r="G39" s="16"/>
      <c r="H39" s="16"/>
      <c r="I39" s="24"/>
      <c r="J39" s="9"/>
    </row>
    <row r="40" ht="14.25" customHeight="1">
      <c r="A40" s="16"/>
      <c r="B40" s="26"/>
      <c r="C40" s="29"/>
      <c r="D40" s="29"/>
      <c r="E40" s="16"/>
      <c r="F40" s="16"/>
      <c r="G40" s="16"/>
      <c r="H40" s="16"/>
      <c r="I40" s="24"/>
      <c r="J40" s="9"/>
    </row>
    <row r="41" ht="14.25" customHeight="1">
      <c r="A41" s="16"/>
      <c r="B41" s="26"/>
      <c r="C41" s="29"/>
      <c r="D41" s="29"/>
      <c r="E41" s="16"/>
      <c r="F41" s="16"/>
      <c r="G41" s="16"/>
      <c r="H41" s="16"/>
      <c r="I41" s="24"/>
      <c r="J41" s="9"/>
    </row>
    <row r="42" ht="14.25" customHeight="1">
      <c r="A42" s="16"/>
      <c r="B42" s="26"/>
      <c r="C42" s="29"/>
      <c r="D42" s="29"/>
      <c r="E42" s="16"/>
      <c r="F42" s="16"/>
      <c r="G42" s="16"/>
      <c r="H42" s="16"/>
      <c r="I42" s="24"/>
      <c r="J42" s="9"/>
    </row>
    <row r="43" ht="14.25" customHeight="1">
      <c r="A43" s="16"/>
      <c r="B43" s="58"/>
      <c r="C43" s="8"/>
      <c r="D43" s="9"/>
      <c r="E43" s="16"/>
      <c r="F43" s="16"/>
      <c r="G43" s="16"/>
      <c r="H43" s="16"/>
      <c r="I43" s="24"/>
      <c r="J43" s="9"/>
    </row>
    <row r="44" ht="14.25" customHeight="1">
      <c r="B44" s="26"/>
      <c r="C44" s="29"/>
      <c r="D44" s="29"/>
    </row>
    <row r="45" ht="14.25" customHeight="1"/>
    <row r="46" ht="14.25" customHeight="1">
      <c r="A46" s="2" t="s">
        <v>66</v>
      </c>
      <c r="B46" s="3"/>
      <c r="C46" s="4"/>
      <c r="J46" s="1"/>
    </row>
    <row r="47" ht="14.25" customHeight="1">
      <c r="A47" s="6" t="s">
        <v>3</v>
      </c>
      <c r="B47" s="10" t="s">
        <v>4</v>
      </c>
      <c r="C47" s="8"/>
      <c r="D47" s="9"/>
      <c r="E47" s="6" t="s">
        <v>5</v>
      </c>
      <c r="F47" s="6" t="s">
        <v>6</v>
      </c>
      <c r="G47" s="6" t="s">
        <v>7</v>
      </c>
      <c r="H47" s="6" t="s">
        <v>8</v>
      </c>
      <c r="I47" s="10" t="s">
        <v>9</v>
      </c>
      <c r="J47" s="9"/>
    </row>
    <row r="48" ht="14.25" customHeight="1">
      <c r="A48" s="16"/>
      <c r="B48" s="26"/>
      <c r="C48" s="29"/>
      <c r="D48" s="29"/>
      <c r="E48" s="16"/>
      <c r="F48" s="16"/>
      <c r="G48" s="16"/>
      <c r="H48" s="16"/>
      <c r="I48" s="24"/>
      <c r="J48" s="9"/>
    </row>
    <row r="49" ht="14.25" customHeight="1">
      <c r="A49" s="16"/>
      <c r="B49" s="26"/>
      <c r="C49" s="29"/>
      <c r="D49" s="29"/>
      <c r="E49" s="16"/>
      <c r="F49" s="16"/>
      <c r="G49" s="16"/>
      <c r="H49" s="16"/>
      <c r="I49" s="24"/>
      <c r="J49" s="9"/>
    </row>
    <row r="50" ht="14.25" customHeight="1">
      <c r="A50" s="16"/>
      <c r="B50" s="26"/>
      <c r="C50" s="29"/>
      <c r="D50" s="29"/>
      <c r="E50" s="16"/>
      <c r="F50" s="16"/>
      <c r="G50" s="16"/>
      <c r="H50" s="16"/>
      <c r="I50" s="24"/>
      <c r="J50" s="9"/>
    </row>
    <row r="51" ht="14.25" customHeight="1">
      <c r="A51" s="16"/>
      <c r="B51" s="26"/>
      <c r="C51" s="29"/>
      <c r="D51" s="29"/>
      <c r="E51" s="16"/>
      <c r="F51" s="16"/>
      <c r="G51" s="16"/>
      <c r="H51" s="16"/>
      <c r="I51" s="24"/>
      <c r="J51" s="9"/>
    </row>
    <row r="52" ht="14.25" customHeight="1">
      <c r="A52" s="16"/>
      <c r="B52" s="26"/>
      <c r="C52" s="29"/>
      <c r="D52" s="29"/>
      <c r="E52" s="16"/>
      <c r="F52" s="16"/>
      <c r="G52" s="16"/>
      <c r="H52" s="16"/>
      <c r="I52" s="24"/>
      <c r="J52" s="9"/>
    </row>
    <row r="53" ht="14.25" customHeight="1">
      <c r="A53" s="16"/>
      <c r="B53" s="26"/>
      <c r="C53" s="29"/>
      <c r="D53" s="29"/>
      <c r="E53" s="16"/>
      <c r="F53" s="16"/>
      <c r="G53" s="16"/>
      <c r="H53" s="16"/>
      <c r="I53" s="24"/>
      <c r="J53" s="9"/>
    </row>
    <row r="54" ht="14.25" customHeight="1">
      <c r="A54" s="16"/>
      <c r="B54" s="26"/>
      <c r="C54" s="29"/>
      <c r="D54" s="29"/>
      <c r="E54" s="16"/>
      <c r="F54" s="16"/>
      <c r="G54" s="16"/>
      <c r="H54" s="16"/>
      <c r="I54" s="24"/>
      <c r="J54" s="9"/>
    </row>
    <row r="55" ht="14.25" customHeight="1">
      <c r="A55" s="16"/>
      <c r="B55" s="26"/>
      <c r="C55" s="29"/>
      <c r="D55" s="29"/>
      <c r="E55" s="16"/>
      <c r="F55" s="16"/>
      <c r="G55" s="16"/>
      <c r="H55" s="16"/>
      <c r="I55" s="24"/>
      <c r="J55" s="9"/>
    </row>
    <row r="56" ht="14.25" customHeight="1">
      <c r="A56" s="16"/>
      <c r="B56" s="26"/>
      <c r="C56" s="29"/>
      <c r="D56" s="29"/>
      <c r="E56" s="16"/>
      <c r="F56" s="16"/>
      <c r="G56" s="16"/>
      <c r="H56" s="16"/>
      <c r="I56" s="24"/>
      <c r="J56" s="9"/>
    </row>
    <row r="57" ht="14.25" customHeight="1">
      <c r="A57" s="16"/>
      <c r="B57" s="58"/>
      <c r="C57" s="8"/>
      <c r="D57" s="9"/>
      <c r="E57" s="16"/>
      <c r="F57" s="16"/>
      <c r="G57" s="16"/>
      <c r="H57" s="16"/>
      <c r="I57" s="24"/>
      <c r="J57" s="9"/>
    </row>
    <row r="58" ht="14.25" customHeight="1">
      <c r="B58" s="26"/>
      <c r="C58" s="29"/>
      <c r="D58" s="29"/>
    </row>
    <row r="59" ht="14.25" customHeight="1"/>
    <row r="60" ht="14.25" customHeight="1">
      <c r="A60" s="2" t="s">
        <v>76</v>
      </c>
      <c r="B60" s="3"/>
      <c r="C60" s="4"/>
      <c r="J60" s="1"/>
    </row>
    <row r="61" ht="14.25" customHeight="1">
      <c r="A61" s="6" t="s">
        <v>3</v>
      </c>
      <c r="B61" s="10" t="s">
        <v>4</v>
      </c>
      <c r="C61" s="8"/>
      <c r="D61" s="9"/>
      <c r="E61" s="6" t="s">
        <v>5</v>
      </c>
      <c r="F61" s="6" t="s">
        <v>6</v>
      </c>
      <c r="G61" s="6" t="s">
        <v>7</v>
      </c>
      <c r="H61" s="6" t="s">
        <v>8</v>
      </c>
      <c r="I61" s="10" t="s">
        <v>9</v>
      </c>
      <c r="J61" s="9"/>
    </row>
    <row r="62" ht="14.25" customHeight="1">
      <c r="A62" s="16"/>
      <c r="B62" s="26"/>
      <c r="C62" s="29"/>
      <c r="D62" s="29"/>
      <c r="E62" s="16"/>
      <c r="F62" s="16"/>
      <c r="G62" s="16"/>
      <c r="H62" s="16"/>
      <c r="I62" s="24"/>
      <c r="J62" s="9"/>
    </row>
    <row r="63" ht="14.25" customHeight="1">
      <c r="A63" s="16"/>
      <c r="B63" s="26"/>
      <c r="C63" s="29"/>
      <c r="D63" s="29"/>
      <c r="E63" s="16"/>
      <c r="F63" s="16"/>
      <c r="G63" s="16"/>
      <c r="H63" s="16"/>
      <c r="I63" s="24"/>
      <c r="J63" s="9"/>
    </row>
    <row r="64" ht="14.25" customHeight="1">
      <c r="A64" s="16"/>
      <c r="B64" s="26"/>
      <c r="C64" s="29"/>
      <c r="D64" s="29"/>
      <c r="E64" s="16"/>
      <c r="F64" s="16"/>
      <c r="G64" s="16"/>
      <c r="H64" s="16"/>
      <c r="I64" s="24"/>
      <c r="J64" s="9"/>
    </row>
    <row r="65" ht="14.25" customHeight="1">
      <c r="A65" s="16"/>
      <c r="B65" s="26"/>
      <c r="C65" s="29"/>
      <c r="D65" s="29"/>
      <c r="E65" s="16"/>
      <c r="F65" s="16"/>
      <c r="G65" s="16"/>
      <c r="H65" s="16"/>
      <c r="I65" s="24"/>
      <c r="J65" s="9"/>
    </row>
    <row r="66" ht="14.25" customHeight="1">
      <c r="A66" s="16"/>
      <c r="B66" s="26"/>
      <c r="C66" s="29"/>
      <c r="D66" s="29"/>
      <c r="E66" s="16"/>
      <c r="F66" s="16"/>
      <c r="G66" s="16"/>
      <c r="H66" s="16"/>
      <c r="I66" s="24"/>
      <c r="J66" s="9"/>
    </row>
    <row r="67" ht="14.25" customHeight="1">
      <c r="A67" s="16"/>
      <c r="B67" s="26"/>
      <c r="C67" s="29"/>
      <c r="D67" s="29"/>
      <c r="E67" s="16"/>
      <c r="F67" s="16"/>
      <c r="G67" s="16"/>
      <c r="H67" s="16"/>
      <c r="I67" s="24"/>
      <c r="J67" s="9"/>
    </row>
    <row r="68" ht="14.25" customHeight="1">
      <c r="A68" s="16"/>
      <c r="B68" s="26"/>
      <c r="C68" s="29"/>
      <c r="D68" s="29"/>
      <c r="E68" s="16"/>
      <c r="F68" s="16"/>
      <c r="G68" s="16"/>
      <c r="H68" s="16"/>
      <c r="I68" s="24"/>
      <c r="J68" s="9"/>
    </row>
    <row r="69" ht="14.25" customHeight="1">
      <c r="A69" s="16"/>
      <c r="B69" s="26"/>
      <c r="C69" s="29"/>
      <c r="D69" s="29"/>
      <c r="E69" s="16"/>
      <c r="F69" s="16"/>
      <c r="G69" s="16"/>
      <c r="H69" s="16"/>
      <c r="I69" s="24"/>
      <c r="J69" s="9"/>
    </row>
    <row r="70" ht="14.25" customHeight="1">
      <c r="A70" s="16"/>
      <c r="B70" s="26"/>
      <c r="C70" s="29"/>
      <c r="D70" s="29"/>
      <c r="E70" s="16"/>
      <c r="F70" s="16"/>
      <c r="G70" s="16"/>
      <c r="H70" s="16"/>
      <c r="I70" s="24"/>
      <c r="J70" s="9"/>
    </row>
    <row r="71" ht="14.25" customHeight="1">
      <c r="A71" s="16"/>
      <c r="B71" s="58"/>
      <c r="C71" s="8"/>
      <c r="D71" s="9"/>
      <c r="E71" s="16"/>
      <c r="F71" s="16"/>
      <c r="G71" s="16"/>
      <c r="H71" s="16"/>
      <c r="I71" s="24"/>
      <c r="J71" s="9"/>
    </row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5">
    <mergeCell ref="I24:J24"/>
    <mergeCell ref="I25:J25"/>
    <mergeCell ref="I9:J9"/>
    <mergeCell ref="I11:J11"/>
    <mergeCell ref="I19:J19"/>
    <mergeCell ref="I20:J20"/>
    <mergeCell ref="I21:J21"/>
    <mergeCell ref="I22:J22"/>
    <mergeCell ref="I23:J23"/>
    <mergeCell ref="A4:C4"/>
    <mergeCell ref="B5:D5"/>
    <mergeCell ref="I5:J5"/>
    <mergeCell ref="M5:U5"/>
    <mergeCell ref="W5:Y5"/>
    <mergeCell ref="B6:D6"/>
    <mergeCell ref="B7:D7"/>
    <mergeCell ref="I10:J10"/>
    <mergeCell ref="M10:U10"/>
    <mergeCell ref="I6:J6"/>
    <mergeCell ref="I7:J7"/>
    <mergeCell ref="B8:D8"/>
    <mergeCell ref="I8:J8"/>
    <mergeCell ref="B9:D9"/>
    <mergeCell ref="B10:D10"/>
    <mergeCell ref="B11:D11"/>
    <mergeCell ref="I15:J15"/>
    <mergeCell ref="M15:U15"/>
    <mergeCell ref="M20:U20"/>
    <mergeCell ref="B12:D12"/>
    <mergeCell ref="I12:J12"/>
    <mergeCell ref="B13:D13"/>
    <mergeCell ref="I13:J13"/>
    <mergeCell ref="B14:D14"/>
    <mergeCell ref="I14:J14"/>
    <mergeCell ref="B15:D15"/>
    <mergeCell ref="B24:D24"/>
    <mergeCell ref="B25:D25"/>
    <mergeCell ref="M25:U25"/>
    <mergeCell ref="I26:J26"/>
    <mergeCell ref="B16:D16"/>
    <mergeCell ref="A18:C18"/>
    <mergeCell ref="B19:D19"/>
    <mergeCell ref="B20:D20"/>
    <mergeCell ref="B21:D21"/>
    <mergeCell ref="B22:D22"/>
    <mergeCell ref="B23:D23"/>
    <mergeCell ref="B50:D50"/>
    <mergeCell ref="B51:D51"/>
    <mergeCell ref="B52:D52"/>
    <mergeCell ref="B53:D53"/>
    <mergeCell ref="B54:D54"/>
    <mergeCell ref="B55:D55"/>
    <mergeCell ref="B56:D56"/>
    <mergeCell ref="B65:D65"/>
    <mergeCell ref="B66:D66"/>
    <mergeCell ref="B67:D67"/>
    <mergeCell ref="B68:D68"/>
    <mergeCell ref="B69:D69"/>
    <mergeCell ref="B70:D70"/>
    <mergeCell ref="B71:D71"/>
    <mergeCell ref="B57:D57"/>
    <mergeCell ref="B58:D58"/>
    <mergeCell ref="A60:C60"/>
    <mergeCell ref="B61:D61"/>
    <mergeCell ref="B62:D62"/>
    <mergeCell ref="B63:D63"/>
    <mergeCell ref="B64:D64"/>
    <mergeCell ref="I70:J70"/>
    <mergeCell ref="I71:J71"/>
    <mergeCell ref="I63:J63"/>
    <mergeCell ref="I64:J64"/>
    <mergeCell ref="I65:J65"/>
    <mergeCell ref="I66:J66"/>
    <mergeCell ref="I67:J67"/>
    <mergeCell ref="I68:J68"/>
    <mergeCell ref="I69:J69"/>
    <mergeCell ref="B26:D26"/>
    <mergeCell ref="B27:D27"/>
    <mergeCell ref="I27:J27"/>
    <mergeCell ref="B28:D28"/>
    <mergeCell ref="I28:J28"/>
    <mergeCell ref="B29:D29"/>
    <mergeCell ref="I29:J29"/>
    <mergeCell ref="B30:D30"/>
    <mergeCell ref="A32:C32"/>
    <mergeCell ref="B33:D33"/>
    <mergeCell ref="I33:J33"/>
    <mergeCell ref="B34:D34"/>
    <mergeCell ref="I34:J34"/>
    <mergeCell ref="I35:J35"/>
    <mergeCell ref="B35:D35"/>
    <mergeCell ref="B36:D36"/>
    <mergeCell ref="B37:D37"/>
    <mergeCell ref="B38:D38"/>
    <mergeCell ref="B39:D39"/>
    <mergeCell ref="B40:D40"/>
    <mergeCell ref="B41:D41"/>
    <mergeCell ref="I36:J36"/>
    <mergeCell ref="I37:J37"/>
    <mergeCell ref="I38:J38"/>
    <mergeCell ref="I39:J39"/>
    <mergeCell ref="I40:J40"/>
    <mergeCell ref="I41:J41"/>
    <mergeCell ref="I42:J42"/>
    <mergeCell ref="B42:D42"/>
    <mergeCell ref="B43:D43"/>
    <mergeCell ref="B44:D44"/>
    <mergeCell ref="A46:C46"/>
    <mergeCell ref="B47:D47"/>
    <mergeCell ref="B48:D48"/>
    <mergeCell ref="B49:D49"/>
    <mergeCell ref="I43:J43"/>
    <mergeCell ref="I47:J47"/>
    <mergeCell ref="I48:J48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61:J61"/>
    <mergeCell ref="I62:J62"/>
  </mergeCells>
  <dataValidations>
    <dataValidation type="list" allowBlank="1" showErrorMessage="1" sqref="J3 A6:A15 A20:A29 A34:A43 A48:A57 A62:A71">
      <formula1>Datos!$B$2:$B$12</formula1>
    </dataValidation>
    <dataValidation type="list" allowBlank="1" showErrorMessage="1" sqref="J4 J18 J32 J46 J60">
      <formula1>Datos!$D$2:$D$14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</cols>
  <sheetData>
    <row r="1" ht="14.25" customHeight="1"/>
    <row r="2" ht="14.25" customHeight="1">
      <c r="A2" s="105" t="s">
        <v>254</v>
      </c>
      <c r="B2" s="12"/>
      <c r="C2" s="13"/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C2"/>
  </mergeCells>
  <printOptions/>
  <pageMargins bottom="0.75" footer="0.0" header="0.0" left="0.7" right="0.7" top="0.75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8.14"/>
    <col customWidth="1" min="3" max="3" width="10.71"/>
    <col customWidth="1" min="4" max="4" width="19.57"/>
    <col customWidth="1" min="5" max="6" width="10.71"/>
  </cols>
  <sheetData>
    <row r="1" ht="14.25" customHeight="1">
      <c r="B1" s="104" t="s">
        <v>252</v>
      </c>
      <c r="D1" s="104" t="s">
        <v>2</v>
      </c>
    </row>
    <row r="2" ht="14.25" customHeight="1">
      <c r="B2" s="1" t="s">
        <v>17</v>
      </c>
      <c r="D2" s="1" t="s">
        <v>16</v>
      </c>
    </row>
    <row r="3" ht="14.25" customHeight="1">
      <c r="B3" s="1" t="s">
        <v>19</v>
      </c>
      <c r="D3" s="1" t="s">
        <v>26</v>
      </c>
    </row>
    <row r="4" ht="14.25" customHeight="1">
      <c r="B4" s="1" t="s">
        <v>47</v>
      </c>
      <c r="D4" s="1" t="s">
        <v>27</v>
      </c>
    </row>
    <row r="5" ht="14.25" customHeight="1">
      <c r="B5" s="1" t="s">
        <v>73</v>
      </c>
      <c r="D5" s="1" t="s">
        <v>28</v>
      </c>
    </row>
    <row r="6" ht="14.25" customHeight="1">
      <c r="B6" s="1" t="s">
        <v>22</v>
      </c>
      <c r="D6" s="1" t="s">
        <v>29</v>
      </c>
    </row>
    <row r="7" ht="14.25" customHeight="1">
      <c r="B7" s="1" t="s">
        <v>23</v>
      </c>
      <c r="D7" s="1" t="s">
        <v>30</v>
      </c>
    </row>
    <row r="8" ht="14.25" customHeight="1">
      <c r="B8" s="1" t="s">
        <v>24</v>
      </c>
      <c r="D8" s="1" t="s">
        <v>31</v>
      </c>
    </row>
    <row r="9" ht="14.25" customHeight="1">
      <c r="B9" s="1" t="s">
        <v>25</v>
      </c>
      <c r="D9" s="1" t="s">
        <v>32</v>
      </c>
    </row>
    <row r="10" ht="14.25" customHeight="1">
      <c r="D10" s="1" t="s">
        <v>33</v>
      </c>
    </row>
    <row r="11" ht="14.25" customHeight="1">
      <c r="D11" s="1" t="s">
        <v>113</v>
      </c>
    </row>
    <row r="12" ht="14.25" customHeight="1">
      <c r="D12" s="82" t="s">
        <v>253</v>
      </c>
    </row>
    <row r="13" ht="14.25" customHeight="1">
      <c r="D13" s="82" t="s">
        <v>12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10.71"/>
    <col customWidth="1" min="24" max="24" width="7.86"/>
    <col customWidth="1" min="25" max="25" width="15.43"/>
    <col customWidth="1" min="26" max="28" width="10.71"/>
  </cols>
  <sheetData>
    <row r="1" ht="14.25" customHeight="1"/>
    <row r="2" ht="14.25" customHeight="1"/>
    <row r="3" ht="14.25" customHeight="1"/>
    <row r="4" ht="14.25" customHeight="1"/>
    <row r="5" ht="14.25" customHeight="1">
      <c r="J5" s="1"/>
    </row>
    <row r="6" ht="14.25" customHeight="1">
      <c r="A6" s="2" t="s">
        <v>0</v>
      </c>
      <c r="B6" s="3"/>
      <c r="C6" s="4"/>
      <c r="J6" s="1"/>
    </row>
    <row r="7" ht="14.25" customHeight="1">
      <c r="A7" s="6" t="s">
        <v>2</v>
      </c>
      <c r="B7" s="10" t="s">
        <v>4</v>
      </c>
      <c r="C7" s="8"/>
      <c r="D7" s="9"/>
      <c r="E7" s="6" t="s">
        <v>5</v>
      </c>
      <c r="F7" s="6" t="s">
        <v>6</v>
      </c>
      <c r="G7" s="6" t="s">
        <v>7</v>
      </c>
      <c r="H7" s="6" t="s">
        <v>8</v>
      </c>
      <c r="I7" s="10" t="s">
        <v>9</v>
      </c>
      <c r="J7" s="9"/>
      <c r="M7" s="11" t="s">
        <v>0</v>
      </c>
      <c r="N7" s="12"/>
      <c r="O7" s="12"/>
      <c r="P7" s="12"/>
      <c r="Q7" s="12"/>
      <c r="R7" s="12"/>
      <c r="S7" s="12"/>
      <c r="T7" s="12"/>
      <c r="U7" s="12"/>
      <c r="V7" s="12"/>
      <c r="W7" s="13"/>
      <c r="Y7" s="1"/>
      <c r="Z7" s="14" t="s">
        <v>10</v>
      </c>
      <c r="AA7" s="12"/>
      <c r="AB7" s="13"/>
    </row>
    <row r="8" ht="14.25" customHeight="1">
      <c r="A8" s="16" t="s">
        <v>12</v>
      </c>
      <c r="B8" s="106" t="s">
        <v>255</v>
      </c>
      <c r="C8" s="18"/>
      <c r="D8" s="20"/>
      <c r="E8" s="107"/>
      <c r="F8" s="107"/>
      <c r="G8" s="107"/>
      <c r="H8" s="107"/>
      <c r="I8" s="24"/>
      <c r="J8" s="9"/>
      <c r="M8" s="25"/>
      <c r="N8" s="28" t="s">
        <v>16</v>
      </c>
      <c r="O8" s="28" t="s">
        <v>26</v>
      </c>
      <c r="P8" s="28" t="s">
        <v>27</v>
      </c>
      <c r="Q8" s="28" t="s">
        <v>28</v>
      </c>
      <c r="R8" s="28" t="s">
        <v>29</v>
      </c>
      <c r="S8" s="28" t="s">
        <v>30</v>
      </c>
      <c r="T8" s="28" t="s">
        <v>31</v>
      </c>
      <c r="U8" s="28" t="s">
        <v>32</v>
      </c>
      <c r="V8" s="28" t="s">
        <v>33</v>
      </c>
      <c r="W8" s="28" t="s">
        <v>12</v>
      </c>
      <c r="Z8" s="28" t="s">
        <v>16</v>
      </c>
      <c r="AA8" s="1">
        <f>SUM(N9,N14,N19,N24,N29)</f>
        <v>10</v>
      </c>
    </row>
    <row r="9" ht="14.25" customHeight="1">
      <c r="A9" s="16" t="s">
        <v>12</v>
      </c>
      <c r="B9" s="106" t="s">
        <v>256</v>
      </c>
      <c r="C9" s="18"/>
      <c r="D9" s="20"/>
      <c r="E9" s="107">
        <v>6.0</v>
      </c>
      <c r="F9" s="107">
        <v>10.0</v>
      </c>
      <c r="G9" s="107"/>
      <c r="H9" s="107"/>
      <c r="I9" s="24"/>
      <c r="J9" s="9"/>
      <c r="M9" s="34" t="s">
        <v>36</v>
      </c>
      <c r="N9" s="37">
        <f>SUMIF(A8:A17,"Pecho",E8:E17)</f>
        <v>3</v>
      </c>
      <c r="O9" s="37">
        <f>SUMIF(A8:A17,"Espalda",E8:E17)</f>
        <v>0</v>
      </c>
      <c r="P9" s="37">
        <f>SUMIF($A8:$A17,"Hombros",$E8:$E17)</f>
        <v>3</v>
      </c>
      <c r="Q9" s="37">
        <f>SUMIF($A8:$A17,"Bíceps",$E8:$E17)</f>
        <v>0</v>
      </c>
      <c r="R9" s="37">
        <f>SUMIF($A8:$A17,"Tríceps",$E8:$E17)</f>
        <v>0</v>
      </c>
      <c r="S9" s="38">
        <f>SUMIF(A8:A17,"Cuádriceps",E8:E17)</f>
        <v>11</v>
      </c>
      <c r="T9" s="37">
        <f>SUMIF($A8:$A17,"Isquios",$E8:$E17)</f>
        <v>0</v>
      </c>
      <c r="U9" s="37">
        <f>SUMIF($A8:$A17,"Glúteos",$E8:$E17)</f>
        <v>7</v>
      </c>
      <c r="V9" s="37">
        <f>SUMIF($A8:$A17,"Pantorrillas",$E8:$E17)</f>
        <v>0</v>
      </c>
      <c r="W9" s="37">
        <f>SUMIF($A8:$A17,"Otros",$E8:$E17)</f>
        <v>9</v>
      </c>
      <c r="Z9" s="28" t="s">
        <v>26</v>
      </c>
      <c r="AA9" s="1">
        <f>SUM(O9,O14,O19,O24,O29)</f>
        <v>15</v>
      </c>
    </row>
    <row r="10" ht="14.25" customHeight="1">
      <c r="A10" s="16" t="s">
        <v>30</v>
      </c>
      <c r="B10" s="50" t="s">
        <v>258</v>
      </c>
      <c r="C10" s="18"/>
      <c r="D10" s="20"/>
      <c r="E10" s="49">
        <v>4.0</v>
      </c>
      <c r="F10" s="49">
        <v>10.0</v>
      </c>
      <c r="G10" s="49"/>
      <c r="H10" s="49"/>
      <c r="I10" s="24"/>
      <c r="J10" s="9"/>
      <c r="M10" s="34" t="s">
        <v>7</v>
      </c>
      <c r="N10" s="35">
        <f>AVERAGEIF($A8:$A17,"Pecho",$G8:$G17)</f>
        <v>8</v>
      </c>
      <c r="O10" s="35" t="str">
        <f>AVERAGEIF($A8:$A17,"Espalda",$G8:$G17)</f>
        <v>#DIV/0!</v>
      </c>
      <c r="P10" s="35" t="str">
        <f>AVERAGEIF($A8:$A17,"Hombros",$G8:$G17)</f>
        <v>#DIV/0!</v>
      </c>
      <c r="Q10" s="35" t="str">
        <f>AVERAGEIF($A8:$A17,"Bíceps",$G8:$G17)</f>
        <v>#DIV/0!</v>
      </c>
      <c r="R10" s="35" t="str">
        <f>AVERAGEIF($A8:$A17,"Tríceps",$G8:$G17)</f>
        <v>#DIV/0!</v>
      </c>
      <c r="S10" s="35" t="str">
        <f>AVERAGEIF($A8:$A17,"Cuádriceps",$G8:$G17)</f>
        <v>#DIV/0!</v>
      </c>
      <c r="T10" s="35" t="str">
        <f>AVERAGEIF($A8:$A17,"Isquios",$G8:$G17)</f>
        <v>#DIV/0!</v>
      </c>
      <c r="U10" s="35" t="str">
        <f>AVERAGEIF($A8:$A17,"Glúteos",$G8:$G17)</f>
        <v>#DIV/0!</v>
      </c>
      <c r="V10" s="35" t="str">
        <f>AVERAGEIF($A8:$A17,"Pantorrillas",$G8:$G17)</f>
        <v>#DIV/0!</v>
      </c>
      <c r="W10" s="35" t="str">
        <f>AVERAGEIF($A8:$A17,"Otros",$G8:$G17)</f>
        <v>#DIV/0!</v>
      </c>
      <c r="Z10" s="28" t="s">
        <v>27</v>
      </c>
      <c r="AA10" s="1">
        <f>SUM(P9,P14,P19,P24,P29)</f>
        <v>7</v>
      </c>
    </row>
    <row r="11" ht="14.25" customHeight="1">
      <c r="A11" s="16" t="s">
        <v>16</v>
      </c>
      <c r="B11" s="30" t="s">
        <v>260</v>
      </c>
      <c r="C11" s="18"/>
      <c r="D11" s="20"/>
      <c r="E11" s="27">
        <v>3.0</v>
      </c>
      <c r="F11" s="27">
        <v>8.0</v>
      </c>
      <c r="G11" s="27">
        <v>8.0</v>
      </c>
      <c r="H11" s="27" t="s">
        <v>55</v>
      </c>
      <c r="I11" s="24"/>
      <c r="J11" s="9"/>
      <c r="M11" s="25"/>
      <c r="N11" s="25"/>
      <c r="O11" s="25"/>
      <c r="P11" s="25"/>
      <c r="Q11" s="25"/>
      <c r="R11" s="25"/>
      <c r="S11" s="25"/>
      <c r="T11" s="25"/>
      <c r="U11" s="25"/>
      <c r="Z11" s="28" t="s">
        <v>28</v>
      </c>
      <c r="AA11" s="1">
        <f>SUM(Q9,Q14,Q19,Q24,Q29)</f>
        <v>4</v>
      </c>
    </row>
    <row r="12" ht="14.25" customHeight="1">
      <c r="A12" s="16" t="s">
        <v>30</v>
      </c>
      <c r="B12" s="30" t="s">
        <v>262</v>
      </c>
      <c r="C12" s="18"/>
      <c r="D12" s="20"/>
      <c r="E12" s="27">
        <v>4.0</v>
      </c>
      <c r="F12" s="27">
        <v>8.0</v>
      </c>
      <c r="G12" s="27"/>
      <c r="H12" s="27"/>
      <c r="I12" s="24"/>
      <c r="J12" s="9"/>
      <c r="M12" s="11" t="s">
        <v>45</v>
      </c>
      <c r="N12" s="12"/>
      <c r="O12" s="12"/>
      <c r="P12" s="12"/>
      <c r="Q12" s="12"/>
      <c r="R12" s="12"/>
      <c r="S12" s="12"/>
      <c r="T12" s="12"/>
      <c r="U12" s="12"/>
      <c r="V12" s="12"/>
      <c r="W12" s="13"/>
      <c r="Z12" s="28" t="s">
        <v>29</v>
      </c>
      <c r="AA12" s="1">
        <f>SUM(R9,R14,R19,R24,R29)</f>
        <v>3</v>
      </c>
    </row>
    <row r="13" ht="14.25" customHeight="1">
      <c r="A13" s="16" t="s">
        <v>27</v>
      </c>
      <c r="B13" s="50" t="s">
        <v>263</v>
      </c>
      <c r="C13" s="18"/>
      <c r="D13" s="20"/>
      <c r="E13" s="49">
        <v>3.0</v>
      </c>
      <c r="F13" s="49">
        <v>10.0</v>
      </c>
      <c r="G13" s="49"/>
      <c r="H13" s="49"/>
      <c r="I13" s="24"/>
      <c r="J13" s="9"/>
      <c r="M13" s="25"/>
      <c r="N13" s="28" t="s">
        <v>16</v>
      </c>
      <c r="O13" s="28" t="s">
        <v>26</v>
      </c>
      <c r="P13" s="28" t="s">
        <v>27</v>
      </c>
      <c r="Q13" s="28" t="s">
        <v>28</v>
      </c>
      <c r="R13" s="28" t="s">
        <v>29</v>
      </c>
      <c r="S13" s="28" t="s">
        <v>30</v>
      </c>
      <c r="T13" s="28" t="s">
        <v>31</v>
      </c>
      <c r="U13" s="28" t="s">
        <v>32</v>
      </c>
      <c r="V13" s="28" t="s">
        <v>33</v>
      </c>
      <c r="W13" s="28" t="s">
        <v>12</v>
      </c>
      <c r="Z13" s="28" t="s">
        <v>30</v>
      </c>
      <c r="AA13" s="1">
        <f>SUM(S9,S14,S19,S24,S29)</f>
        <v>23</v>
      </c>
    </row>
    <row r="14" ht="14.25" customHeight="1">
      <c r="A14" s="16" t="s">
        <v>32</v>
      </c>
      <c r="B14" s="50" t="s">
        <v>265</v>
      </c>
      <c r="C14" s="18"/>
      <c r="D14" s="20"/>
      <c r="E14" s="49">
        <v>4.0</v>
      </c>
      <c r="F14" s="49">
        <v>10.0</v>
      </c>
      <c r="G14" s="49"/>
      <c r="H14" s="49"/>
      <c r="I14" s="24"/>
      <c r="J14" s="9"/>
      <c r="M14" s="34" t="s">
        <v>36</v>
      </c>
      <c r="N14" s="35">
        <f>SUMIF($A22:$A31,"Pecho",$E22:$E31)</f>
        <v>0</v>
      </c>
      <c r="O14" s="35">
        <f>SUMIF($A22:$A31,"Espalda",$E22:$E31)</f>
        <v>8</v>
      </c>
      <c r="P14" s="35">
        <f>SUMIF($A22:$A31,"Hombros",$E22:$E31)</f>
        <v>4</v>
      </c>
      <c r="Q14" s="35">
        <f>SUMIF($A22:$A31,"Bíceps",$E22:$E31)</f>
        <v>0</v>
      </c>
      <c r="R14" s="35">
        <f>SUMIF($A22:$A31,"Tríceps",$E22:$E31)</f>
        <v>0</v>
      </c>
      <c r="S14" s="35">
        <f>SUMIF($A22:$A31,"Cuádriceps",$E22:$E31)</f>
        <v>4</v>
      </c>
      <c r="T14" s="35">
        <f>SUMIF($A22:$A31,"Isquios",$E22:$E31)</f>
        <v>12</v>
      </c>
      <c r="U14" s="35">
        <f>SUMIF($A22:$A31,"Glúteos",$E22:$E31)</f>
        <v>4</v>
      </c>
      <c r="V14" s="35">
        <f>SUMIF($A22:$A31,"Pantorrillas",$E22:$E31)</f>
        <v>4</v>
      </c>
      <c r="W14" s="35">
        <f>SUMIF($A22:$A31,"Otros",$E22:$E31)</f>
        <v>6</v>
      </c>
      <c r="Z14" s="28" t="s">
        <v>31</v>
      </c>
      <c r="AA14" s="1">
        <f>SUM(T9,T14,T19,T24,T29)</f>
        <v>16</v>
      </c>
    </row>
    <row r="15" ht="14.25" customHeight="1">
      <c r="A15" s="16" t="s">
        <v>30</v>
      </c>
      <c r="B15" s="30" t="s">
        <v>157</v>
      </c>
      <c r="C15" s="18"/>
      <c r="D15" s="20"/>
      <c r="E15" s="27">
        <v>3.0</v>
      </c>
      <c r="F15" s="27">
        <v>10.0</v>
      </c>
      <c r="G15" s="27"/>
      <c r="H15" s="27"/>
      <c r="I15" s="24"/>
      <c r="J15" s="9"/>
      <c r="M15" s="34" t="s">
        <v>7</v>
      </c>
      <c r="N15" s="35" t="str">
        <f>AVERAGEIF($A22:$A31,"Pecho",$G22:$G31)</f>
        <v>#DIV/0!</v>
      </c>
      <c r="O15" s="35" t="str">
        <f>AVERAGEIF($A22:$A31,"Espalda",$G22:$G31)</f>
        <v>#DIV/0!</v>
      </c>
      <c r="P15" s="35" t="str">
        <f>AVERAGEIF($A22:$A31,"Hombros",$G22:$G31)</f>
        <v>#DIV/0!</v>
      </c>
      <c r="Q15" s="35" t="str">
        <f>AVERAGEIF($A22:$A31,"Bíceps",$G22:$G31)</f>
        <v>#DIV/0!</v>
      </c>
      <c r="R15" s="35" t="str">
        <f>AVERAGEIF($A22:$A31,"Tríceps",$G22:$G31)</f>
        <v>#DIV/0!</v>
      </c>
      <c r="S15" s="35" t="str">
        <f>AVERAGEIF($A22:$A31,"Cuádriceps",$G22:$G31)</f>
        <v>#DIV/0!</v>
      </c>
      <c r="T15" s="35">
        <f>AVERAGEIF($A22:$A31,"Isquios",$G22:$G31)</f>
        <v>8</v>
      </c>
      <c r="U15" s="35" t="str">
        <f>AVERAGEIF($A22:$A31,"Glúteos",$G22:$G31)</f>
        <v>#DIV/0!</v>
      </c>
      <c r="V15" s="35" t="str">
        <f>AVERAGEIF($A22:$A31,"Pantorrillas",$G22:$G31)</f>
        <v>#DIV/0!</v>
      </c>
      <c r="W15" s="35" t="str">
        <f>AVERAGEIF($A22:$A31,"Otros",$G22:$G31)</f>
        <v>#DIV/0!</v>
      </c>
      <c r="Z15" s="28" t="s">
        <v>32</v>
      </c>
      <c r="AA15" s="1">
        <f>SUM(U9,U14,U19,U24,U29)</f>
        <v>18</v>
      </c>
    </row>
    <row r="16" ht="14.25" customHeight="1">
      <c r="A16" s="16" t="s">
        <v>32</v>
      </c>
      <c r="B16" s="30" t="s">
        <v>270</v>
      </c>
      <c r="C16" s="18"/>
      <c r="D16" s="20"/>
      <c r="E16" s="27">
        <v>3.0</v>
      </c>
      <c r="F16" s="27">
        <v>10.0</v>
      </c>
      <c r="G16" s="27"/>
      <c r="H16" s="27"/>
      <c r="I16" s="24"/>
      <c r="J16" s="9"/>
      <c r="M16" s="25"/>
      <c r="N16" s="25"/>
      <c r="O16" s="25"/>
      <c r="P16" s="25"/>
      <c r="Q16" s="25"/>
      <c r="R16" s="25"/>
      <c r="S16" s="25"/>
      <c r="T16" s="25"/>
      <c r="U16" s="25"/>
      <c r="Z16" s="28" t="s">
        <v>33</v>
      </c>
      <c r="AA16" s="1">
        <f>SUM(V9,V14,V19,V24,V29)</f>
        <v>8</v>
      </c>
    </row>
    <row r="17" ht="14.25" customHeight="1">
      <c r="A17" s="16" t="s">
        <v>12</v>
      </c>
      <c r="B17" s="50" t="s">
        <v>273</v>
      </c>
      <c r="C17" s="18"/>
      <c r="D17" s="20"/>
      <c r="E17" s="49">
        <v>3.0</v>
      </c>
      <c r="F17" s="49">
        <v>8.0</v>
      </c>
      <c r="G17" s="49"/>
      <c r="H17" s="49"/>
      <c r="I17" s="24"/>
      <c r="J17" s="9"/>
      <c r="M17" s="11" t="s">
        <v>57</v>
      </c>
      <c r="N17" s="12"/>
      <c r="O17" s="12"/>
      <c r="P17" s="12"/>
      <c r="Q17" s="12"/>
      <c r="R17" s="12"/>
      <c r="S17" s="12"/>
      <c r="T17" s="12"/>
      <c r="U17" s="12"/>
      <c r="V17" s="12"/>
      <c r="W17" s="13"/>
      <c r="Z17" s="28" t="s">
        <v>12</v>
      </c>
      <c r="AA17" s="1">
        <f>SUM(W9,W14,W19,W24,W29)</f>
        <v>33</v>
      </c>
    </row>
    <row r="18" ht="14.25" customHeight="1">
      <c r="B18" s="26"/>
      <c r="C18" s="29"/>
      <c r="D18" s="29"/>
      <c r="M18" s="25"/>
      <c r="N18" s="28" t="s">
        <v>16</v>
      </c>
      <c r="O18" s="28" t="s">
        <v>26</v>
      </c>
      <c r="P18" s="28" t="s">
        <v>27</v>
      </c>
      <c r="Q18" s="28" t="s">
        <v>28</v>
      </c>
      <c r="R18" s="28" t="s">
        <v>29</v>
      </c>
      <c r="S18" s="28" t="s">
        <v>30</v>
      </c>
      <c r="T18" s="28" t="s">
        <v>31</v>
      </c>
      <c r="U18" s="28" t="s">
        <v>32</v>
      </c>
      <c r="V18" s="28" t="s">
        <v>33</v>
      </c>
      <c r="W18" s="28" t="s">
        <v>12</v>
      </c>
    </row>
    <row r="19" ht="14.25" customHeight="1">
      <c r="M19" s="34" t="s">
        <v>36</v>
      </c>
      <c r="N19" s="35">
        <f>SUMIF($A37:$A46,"Pecho",$E37:$E46)</f>
        <v>7</v>
      </c>
      <c r="O19" s="35">
        <f>SUMIF($A37:$A46,"Espalda",$E37:$E46)</f>
        <v>0</v>
      </c>
      <c r="P19" s="35">
        <f>SUMIF($A37:$A46,"Hombros",$E37:$E46)</f>
        <v>0</v>
      </c>
      <c r="Q19" s="35">
        <f>SUMIF($A37:$A46,"Bíceps",$E37:$E46)</f>
        <v>0</v>
      </c>
      <c r="R19" s="35">
        <f>SUMIF($A37:$A46,"Tríceps",$E37:$E46)</f>
        <v>3</v>
      </c>
      <c r="S19" s="35">
        <f>SUMIF($A37:$A46,"Cuádriceps",$E37:$E46)</f>
        <v>8</v>
      </c>
      <c r="T19" s="35">
        <f>SUMIF($A37:$A46,"Isquios",$E37:$E46)</f>
        <v>0</v>
      </c>
      <c r="U19" s="35">
        <f>SUMIF($A37:$A46,"Glúteos",$E37:$E46)</f>
        <v>0</v>
      </c>
      <c r="V19" s="35">
        <f>SUMIF($A37:$A46,"Pantorrillas",$E37:$E46)</f>
        <v>0</v>
      </c>
      <c r="W19" s="35">
        <f>SUMIF($A37:$A46,"Otros",$E37:$E46)</f>
        <v>12</v>
      </c>
    </row>
    <row r="20" ht="14.25" customHeight="1">
      <c r="A20" s="2" t="s">
        <v>45</v>
      </c>
      <c r="B20" s="3"/>
      <c r="C20" s="4"/>
      <c r="J20" s="1"/>
      <c r="M20" s="34" t="s">
        <v>7</v>
      </c>
      <c r="N20" s="35">
        <f>AVERAGEIF($A37:$A46,"Pecho",$G37:$G46)</f>
        <v>8</v>
      </c>
      <c r="O20" s="35" t="str">
        <f>AVERAGEIF($A37:$A46,"Espalda",$G37:$G46)</f>
        <v>#DIV/0!</v>
      </c>
      <c r="P20" s="35" t="str">
        <f>AVERAGEIF($A37:$A46,"Hombros",$G37:$G46)</f>
        <v>#DIV/0!</v>
      </c>
      <c r="Q20" s="35" t="str">
        <f>AVERAGEIF($A37:$A46,"Bíceps",$G37:$G46)</f>
        <v>#DIV/0!</v>
      </c>
      <c r="R20" s="35" t="str">
        <f>AVERAGEIF($A37:$A46,"Tríceps",$G37:$G46)</f>
        <v>#DIV/0!</v>
      </c>
      <c r="S20" s="35" t="str">
        <f>AVERAGEIF($A37:$A46,"Cuádriceps",$G37:$G46)</f>
        <v>#DIV/0!</v>
      </c>
      <c r="T20" s="35" t="str">
        <f>AVERAGEIF($A37:$A46,"Isquios",$G37:$G46)</f>
        <v>#DIV/0!</v>
      </c>
      <c r="U20" s="35" t="str">
        <f>AVERAGEIF($A37:$A46,"Glúteos",$G37:$G46)</f>
        <v>#DIV/0!</v>
      </c>
      <c r="V20" s="35" t="str">
        <f>AVERAGEIF($A37:$A46,"Pantorrillas",$G37:$G46)</f>
        <v>#DIV/0!</v>
      </c>
      <c r="W20" s="35" t="str">
        <f>AVERAGEIF($A37:$A46,"Otros",$G37:$G46)</f>
        <v>#DIV/0!</v>
      </c>
    </row>
    <row r="21" ht="14.25" customHeight="1">
      <c r="A21" s="6" t="s">
        <v>2</v>
      </c>
      <c r="B21" s="10" t="s">
        <v>4</v>
      </c>
      <c r="C21" s="8"/>
      <c r="D21" s="9"/>
      <c r="E21" s="6" t="s">
        <v>5</v>
      </c>
      <c r="F21" s="6" t="s">
        <v>6</v>
      </c>
      <c r="G21" s="6" t="s">
        <v>7</v>
      </c>
      <c r="H21" s="6" t="s">
        <v>8</v>
      </c>
      <c r="I21" s="10" t="s">
        <v>9</v>
      </c>
      <c r="J21" s="9"/>
      <c r="M21" s="25"/>
      <c r="N21" s="25"/>
      <c r="O21" s="25"/>
      <c r="P21" s="25"/>
      <c r="Q21" s="25"/>
      <c r="R21" s="25"/>
      <c r="S21" s="25"/>
      <c r="T21" s="25"/>
      <c r="U21" s="25"/>
    </row>
    <row r="22" ht="14.25" customHeight="1">
      <c r="A22" s="16" t="s">
        <v>33</v>
      </c>
      <c r="B22" s="26" t="s">
        <v>282</v>
      </c>
      <c r="C22" s="29"/>
      <c r="D22" s="29"/>
      <c r="E22" s="16">
        <v>4.0</v>
      </c>
      <c r="F22" s="16">
        <v>10.0</v>
      </c>
      <c r="G22" s="16"/>
      <c r="H22" s="16"/>
      <c r="I22" s="24"/>
      <c r="J22" s="9"/>
      <c r="M22" s="11" t="s">
        <v>66</v>
      </c>
      <c r="N22" s="12"/>
      <c r="O22" s="12"/>
      <c r="P22" s="12"/>
      <c r="Q22" s="12"/>
      <c r="R22" s="12"/>
      <c r="S22" s="12"/>
      <c r="T22" s="12"/>
      <c r="U22" s="12"/>
      <c r="V22" s="12"/>
      <c r="W22" s="13"/>
    </row>
    <row r="23" ht="14.25" customHeight="1">
      <c r="A23" s="16" t="s">
        <v>12</v>
      </c>
      <c r="B23" s="26" t="s">
        <v>284</v>
      </c>
      <c r="C23" s="29"/>
      <c r="D23" s="29"/>
      <c r="E23" s="16">
        <v>6.0</v>
      </c>
      <c r="F23" s="16">
        <v>10.0</v>
      </c>
      <c r="G23" s="16"/>
      <c r="H23" s="16"/>
      <c r="I23" s="24"/>
      <c r="J23" s="9"/>
      <c r="M23" s="25"/>
      <c r="N23" s="28" t="s">
        <v>16</v>
      </c>
      <c r="O23" s="28" t="s">
        <v>26</v>
      </c>
      <c r="P23" s="28" t="s">
        <v>27</v>
      </c>
      <c r="Q23" s="28" t="s">
        <v>28</v>
      </c>
      <c r="R23" s="28" t="s">
        <v>29</v>
      </c>
      <c r="S23" s="28" t="s">
        <v>30</v>
      </c>
      <c r="T23" s="28" t="s">
        <v>31</v>
      </c>
      <c r="U23" s="28" t="s">
        <v>32</v>
      </c>
      <c r="V23" s="28" t="s">
        <v>33</v>
      </c>
      <c r="W23" s="28" t="s">
        <v>12</v>
      </c>
    </row>
    <row r="24" ht="14.25" customHeight="1">
      <c r="A24" s="16" t="s">
        <v>30</v>
      </c>
      <c r="B24" s="26" t="s">
        <v>286</v>
      </c>
      <c r="C24" s="29"/>
      <c r="D24" s="29"/>
      <c r="E24" s="16">
        <v>4.0</v>
      </c>
      <c r="F24" s="16">
        <v>10.0</v>
      </c>
      <c r="G24" s="16"/>
      <c r="H24" s="16"/>
      <c r="I24" s="24"/>
      <c r="J24" s="9"/>
      <c r="M24" s="34" t="s">
        <v>36</v>
      </c>
      <c r="N24" s="35">
        <f>SUMIF($A51:$A60,"Pecho",$E51:$E60)</f>
        <v>0</v>
      </c>
      <c r="O24" s="35">
        <f>SUMIF($A51:$A60,"Espalda",$E51:$E60)</f>
        <v>7</v>
      </c>
      <c r="P24" s="35">
        <f>SUMIF($A51:$A60,"Hombros",$E51:$E60)</f>
        <v>0</v>
      </c>
      <c r="Q24" s="35">
        <f>SUMIF($A51:$A60,"Bíceps",$E51:$E60)</f>
        <v>4</v>
      </c>
      <c r="R24" s="35">
        <f>SUMIF($A51:$A60,"Tríceps",$E51:$E60)</f>
        <v>0</v>
      </c>
      <c r="S24" s="35">
        <f>SUMIF($A51:$A60,"Cuádriceps",$E51:$E60)</f>
        <v>0</v>
      </c>
      <c r="T24" s="35">
        <f>SUMIF($A51:$A60,"Isquios",$E51:$E60)</f>
        <v>4</v>
      </c>
      <c r="U24" s="35">
        <f>SUMIF($A51:$A60,"Glúteos",$E51:$E60)</f>
        <v>7</v>
      </c>
      <c r="V24" s="35">
        <f>SUMIF($A51:$A60,"Pantorrillas",$E51:$E60)</f>
        <v>4</v>
      </c>
      <c r="W24" s="35">
        <f>SUMIF($A51:$A60,"Otros",$E51:$E60)</f>
        <v>6</v>
      </c>
    </row>
    <row r="25" ht="14.25" customHeight="1">
      <c r="A25" s="16" t="s">
        <v>31</v>
      </c>
      <c r="B25" s="30" t="s">
        <v>74</v>
      </c>
      <c r="C25" s="18"/>
      <c r="D25" s="20"/>
      <c r="E25" s="16">
        <v>4.0</v>
      </c>
      <c r="F25" s="27">
        <v>8.0</v>
      </c>
      <c r="G25" s="27">
        <v>8.0</v>
      </c>
      <c r="H25" s="27" t="s">
        <v>55</v>
      </c>
      <c r="I25" s="24"/>
      <c r="J25" s="9"/>
      <c r="M25" s="34" t="s">
        <v>7</v>
      </c>
      <c r="N25" s="35" t="str">
        <f>AVERAGEIF($A51:$A60,"Pecho",$G51:$G60)</f>
        <v>#DIV/0!</v>
      </c>
      <c r="O25" s="35" t="str">
        <f>AVERAGEIF($A51:$A60,"Espalda",$G51:$G60)</f>
        <v>#DIV/0!</v>
      </c>
      <c r="P25" s="35" t="str">
        <f>AVERAGEIF($A51:$A60,"Hombros",$G51:$G60)</f>
        <v>#DIV/0!</v>
      </c>
      <c r="Q25" s="35" t="str">
        <f>AVERAGEIF($A51:$A60,"Bíceps",$G51:$G60)</f>
        <v>#DIV/0!</v>
      </c>
      <c r="R25" s="35" t="str">
        <f>AVERAGEIF($A51:$A60,"Tríceps",$G51:$G60)</f>
        <v>#DIV/0!</v>
      </c>
      <c r="S25" s="35" t="str">
        <f>AVERAGEIF($A51:$A60,"Cuádriceps",$G51:$G60)</f>
        <v>#DIV/0!</v>
      </c>
      <c r="T25" s="35" t="str">
        <f>AVERAGEIF($A51:$A60,"Isquios",$G51:$G60)</f>
        <v>#DIV/0!</v>
      </c>
      <c r="U25" s="35" t="str">
        <f>AVERAGEIF($A51:$A60,"Glúteos",$G51:$G60)</f>
        <v>#DIV/0!</v>
      </c>
      <c r="V25" s="35" t="str">
        <f>AVERAGEIF($A51:$A60,"Pantorrillas",$G51:$G60)</f>
        <v>#DIV/0!</v>
      </c>
      <c r="W25" s="35" t="str">
        <f>AVERAGEIF($A51:$A60,"Otros",$G51:$G60)</f>
        <v>#DIV/0!</v>
      </c>
    </row>
    <row r="26" ht="14.25" customHeight="1">
      <c r="A26" s="16" t="s">
        <v>31</v>
      </c>
      <c r="B26" s="30" t="s">
        <v>293</v>
      </c>
      <c r="C26" s="18"/>
      <c r="D26" s="20"/>
      <c r="E26" s="16">
        <v>4.0</v>
      </c>
      <c r="F26" s="27" t="s">
        <v>295</v>
      </c>
      <c r="G26" s="27"/>
      <c r="H26" s="27"/>
      <c r="I26" s="24"/>
      <c r="J26" s="9"/>
      <c r="M26" s="25"/>
      <c r="N26" s="25"/>
      <c r="O26" s="25"/>
      <c r="P26" s="25"/>
      <c r="Q26" s="25"/>
      <c r="R26" s="25"/>
      <c r="S26" s="25"/>
      <c r="T26" s="25"/>
      <c r="U26" s="25"/>
    </row>
    <row r="27" ht="14.25" customHeight="1">
      <c r="A27" s="16" t="s">
        <v>26</v>
      </c>
      <c r="B27" s="30" t="s">
        <v>297</v>
      </c>
      <c r="C27" s="18"/>
      <c r="D27" s="20"/>
      <c r="E27" s="16">
        <v>4.0</v>
      </c>
      <c r="F27" s="27">
        <v>12.0</v>
      </c>
      <c r="G27" s="27"/>
      <c r="H27" s="27"/>
      <c r="I27" s="24"/>
      <c r="J27" s="9"/>
      <c r="M27" s="11" t="s">
        <v>76</v>
      </c>
      <c r="N27" s="12"/>
      <c r="O27" s="12"/>
      <c r="P27" s="12"/>
      <c r="Q27" s="12"/>
      <c r="R27" s="12"/>
      <c r="S27" s="12"/>
      <c r="T27" s="12"/>
      <c r="U27" s="12"/>
      <c r="V27" s="12"/>
      <c r="W27" s="13"/>
    </row>
    <row r="28" ht="14.25" customHeight="1">
      <c r="A28" s="16" t="s">
        <v>26</v>
      </c>
      <c r="B28" s="30" t="s">
        <v>299</v>
      </c>
      <c r="C28" s="18"/>
      <c r="D28" s="20"/>
      <c r="E28" s="16">
        <v>4.0</v>
      </c>
      <c r="F28" s="27">
        <v>10.0</v>
      </c>
      <c r="G28" s="27"/>
      <c r="H28" s="27"/>
      <c r="I28" s="24"/>
      <c r="J28" s="9"/>
      <c r="M28" s="25"/>
      <c r="N28" s="28" t="s">
        <v>16</v>
      </c>
      <c r="O28" s="28" t="s">
        <v>26</v>
      </c>
      <c r="P28" s="28" t="s">
        <v>27</v>
      </c>
      <c r="Q28" s="28" t="s">
        <v>28</v>
      </c>
      <c r="R28" s="28" t="s">
        <v>29</v>
      </c>
      <c r="S28" s="28" t="s">
        <v>30</v>
      </c>
      <c r="T28" s="28" t="s">
        <v>31</v>
      </c>
      <c r="U28" s="28" t="s">
        <v>32</v>
      </c>
      <c r="V28" s="28" t="s">
        <v>33</v>
      </c>
      <c r="W28" s="28" t="s">
        <v>12</v>
      </c>
    </row>
    <row r="29" ht="14.25" customHeight="1">
      <c r="A29" s="16" t="s">
        <v>32</v>
      </c>
      <c r="B29" s="30" t="s">
        <v>300</v>
      </c>
      <c r="C29" s="18"/>
      <c r="D29" s="20"/>
      <c r="E29" s="16">
        <v>4.0</v>
      </c>
      <c r="F29" s="27">
        <v>8.0</v>
      </c>
      <c r="G29" s="27"/>
      <c r="H29" s="27"/>
      <c r="I29" s="24"/>
      <c r="J29" s="9"/>
      <c r="M29" s="34" t="s">
        <v>36</v>
      </c>
      <c r="N29" s="35">
        <f>SUMIF($A65:$A74,"Pecho",$E65:$E74)</f>
        <v>0</v>
      </c>
      <c r="O29" s="35">
        <f>SUMIF($A65:$A74,"Espalda",$E65:$E74)</f>
        <v>0</v>
      </c>
      <c r="P29" s="35">
        <f>SUMIF($A65:$A74,"Hombros",$E65:$E74)</f>
        <v>0</v>
      </c>
      <c r="Q29" s="35">
        <f>SUMIF($A65:$A74,"Bíceps",$E65:$E74)</f>
        <v>0</v>
      </c>
      <c r="R29" s="35">
        <f>SUMIF($A65:$A74,"Tríceps",$E65:$E74)</f>
        <v>0</v>
      </c>
      <c r="S29" s="35">
        <f>SUMIF($A65:$A74,"Cuádriceps",$E65:$E74)</f>
        <v>0</v>
      </c>
      <c r="T29" s="35">
        <f>SUMIF($A65:$A74,"Isquios",$E65:$E74)</f>
        <v>0</v>
      </c>
      <c r="U29" s="35">
        <f>SUMIF($A65:$A74,"Glúteos",$E65:$E74)</f>
        <v>0</v>
      </c>
      <c r="V29" s="35">
        <f>SUMIF($A65:$A74,"Pantorrillas",$E65:$E74)</f>
        <v>0</v>
      </c>
      <c r="W29" s="35">
        <f>SUMIF($A65:$A74,"Otros",$E65:$E74)</f>
        <v>0</v>
      </c>
    </row>
    <row r="30" ht="14.25" customHeight="1">
      <c r="A30" s="16" t="s">
        <v>27</v>
      </c>
      <c r="B30" s="30" t="s">
        <v>305</v>
      </c>
      <c r="C30" s="18"/>
      <c r="D30" s="20"/>
      <c r="E30" s="16">
        <v>4.0</v>
      </c>
      <c r="F30" s="27">
        <v>10.0</v>
      </c>
      <c r="G30" s="27"/>
      <c r="H30" s="27"/>
      <c r="I30" s="24"/>
      <c r="J30" s="9"/>
      <c r="M30" s="34" t="s">
        <v>7</v>
      </c>
      <c r="N30" s="35" t="str">
        <f>AVERAGEIF($A65:$A74,"Pecho",$G65:$G74)</f>
        <v>#DIV/0!</v>
      </c>
      <c r="O30" s="35" t="str">
        <f>AVERAGEIF($A65:$A74,"Espalda",$G65:$G74)</f>
        <v>#DIV/0!</v>
      </c>
      <c r="P30" s="35" t="str">
        <f>AVERAGEIF($A65:$A74,"Hombros",$G65:$G74)</f>
        <v>#DIV/0!</v>
      </c>
      <c r="Q30" s="35" t="str">
        <f>AVERAGEIF($A65:$A74,"Bíceps",$G65:$G74)</f>
        <v>#DIV/0!</v>
      </c>
      <c r="R30" s="35" t="str">
        <f>AVERAGEIF($A65:$A74,"Tríceps",$G65:$G74)</f>
        <v>#DIV/0!</v>
      </c>
      <c r="S30" s="35" t="str">
        <f>AVERAGEIF($A65:$A74,"Cuádriceps",$G65:$G74)</f>
        <v>#DIV/0!</v>
      </c>
      <c r="T30" s="35" t="str">
        <f>AVERAGEIF($A65:$A74,"Isquios",$G65:$G74)</f>
        <v>#DIV/0!</v>
      </c>
      <c r="U30" s="35" t="str">
        <f>AVERAGEIF($A65:$A74,"Glúteos",$G65:$G74)</f>
        <v>#DIV/0!</v>
      </c>
      <c r="V30" s="35" t="str">
        <f>AVERAGEIF($A65:$A74,"Pantorrillas",$G65:$G74)</f>
        <v>#DIV/0!</v>
      </c>
      <c r="W30" s="35" t="str">
        <f>AVERAGEIF($A65:$A74,"Otros",$G65:$G74)</f>
        <v>#DIV/0!</v>
      </c>
    </row>
    <row r="31" ht="14.25" customHeight="1">
      <c r="A31" s="16" t="s">
        <v>31</v>
      </c>
      <c r="B31" s="60" t="s">
        <v>308</v>
      </c>
      <c r="C31" s="8"/>
      <c r="D31" s="9"/>
      <c r="E31" s="16">
        <v>4.0</v>
      </c>
      <c r="F31" s="27">
        <v>8.0</v>
      </c>
      <c r="G31" s="27"/>
      <c r="H31" s="27"/>
      <c r="I31" s="24"/>
      <c r="J31" s="9"/>
    </row>
    <row r="32" ht="14.25" customHeight="1">
      <c r="A32" s="1"/>
      <c r="B32" s="116"/>
      <c r="C32" s="117"/>
      <c r="D32" s="117"/>
      <c r="E32" s="104"/>
      <c r="F32" s="104"/>
      <c r="G32" s="104"/>
      <c r="H32" s="104"/>
      <c r="I32" s="25"/>
      <c r="J32" s="1"/>
    </row>
    <row r="33" ht="14.25" customHeight="1">
      <c r="B33" s="26"/>
      <c r="C33" s="29"/>
      <c r="D33" s="29"/>
    </row>
    <row r="34" ht="14.25" customHeight="1"/>
    <row r="35" ht="14.25" customHeight="1">
      <c r="A35" s="2" t="s">
        <v>57</v>
      </c>
      <c r="B35" s="3"/>
      <c r="C35" s="4"/>
      <c r="J35" s="1"/>
    </row>
    <row r="36" ht="14.25" customHeight="1">
      <c r="A36" s="6" t="s">
        <v>2</v>
      </c>
      <c r="B36" s="10" t="s">
        <v>4</v>
      </c>
      <c r="C36" s="8"/>
      <c r="D36" s="9"/>
      <c r="E36" s="6" t="s">
        <v>5</v>
      </c>
      <c r="F36" s="6" t="s">
        <v>6</v>
      </c>
      <c r="G36" s="6" t="s">
        <v>7</v>
      </c>
      <c r="H36" s="6" t="s">
        <v>8</v>
      </c>
      <c r="I36" s="10" t="s">
        <v>9</v>
      </c>
      <c r="J36" s="9"/>
    </row>
    <row r="37" ht="14.25" customHeight="1">
      <c r="A37" s="16"/>
      <c r="B37" s="26"/>
      <c r="C37" s="29"/>
      <c r="D37" s="29"/>
      <c r="E37" s="16"/>
      <c r="F37" s="16"/>
      <c r="G37" s="16"/>
      <c r="H37" s="16"/>
      <c r="I37" s="24"/>
      <c r="J37" s="9"/>
    </row>
    <row r="38" ht="14.25" customHeight="1">
      <c r="A38" s="16"/>
      <c r="B38" s="26"/>
      <c r="C38" s="29"/>
      <c r="D38" s="29"/>
      <c r="E38" s="16"/>
      <c r="F38" s="16"/>
      <c r="G38" s="16"/>
      <c r="H38" s="16"/>
      <c r="I38" s="24"/>
      <c r="J38" s="9"/>
    </row>
    <row r="39" ht="14.25" customHeight="1">
      <c r="A39" s="16" t="s">
        <v>12</v>
      </c>
      <c r="B39" s="26" t="s">
        <v>314</v>
      </c>
      <c r="C39" s="29"/>
      <c r="D39" s="29"/>
      <c r="E39" s="16">
        <v>6.0</v>
      </c>
      <c r="F39" s="16"/>
      <c r="G39" s="16"/>
      <c r="H39" s="16"/>
      <c r="I39" s="24"/>
      <c r="J39" s="9"/>
    </row>
    <row r="40" ht="14.25" customHeight="1">
      <c r="A40" s="16" t="s">
        <v>16</v>
      </c>
      <c r="B40" s="30" t="s">
        <v>260</v>
      </c>
      <c r="C40" s="18"/>
      <c r="D40" s="20"/>
      <c r="E40" s="27">
        <v>4.0</v>
      </c>
      <c r="F40" s="27">
        <v>8.0</v>
      </c>
      <c r="G40" s="27">
        <v>8.0</v>
      </c>
      <c r="H40" s="27" t="s">
        <v>55</v>
      </c>
      <c r="I40" s="24"/>
      <c r="J40" s="9"/>
    </row>
    <row r="41" ht="14.25" customHeight="1">
      <c r="A41" s="16" t="s">
        <v>30</v>
      </c>
      <c r="B41" s="30" t="s">
        <v>315</v>
      </c>
      <c r="C41" s="18"/>
      <c r="D41" s="20"/>
      <c r="E41" s="27">
        <v>4.0</v>
      </c>
      <c r="F41" s="27">
        <v>8.0</v>
      </c>
      <c r="G41" s="27"/>
      <c r="H41" s="27"/>
      <c r="I41" s="24"/>
      <c r="J41" s="9"/>
    </row>
    <row r="42" ht="14.25" customHeight="1">
      <c r="A42" s="16" t="s">
        <v>16</v>
      </c>
      <c r="B42" s="30" t="s">
        <v>59</v>
      </c>
      <c r="C42" s="18"/>
      <c r="D42" s="20"/>
      <c r="E42" s="27">
        <v>3.0</v>
      </c>
      <c r="F42" s="27">
        <v>10.0</v>
      </c>
      <c r="G42" s="27"/>
      <c r="H42" s="27"/>
      <c r="I42" s="24"/>
      <c r="J42" s="9"/>
    </row>
    <row r="43" ht="14.25" customHeight="1">
      <c r="A43" s="16" t="s">
        <v>30</v>
      </c>
      <c r="B43" s="30" t="s">
        <v>316</v>
      </c>
      <c r="C43" s="18"/>
      <c r="D43" s="20"/>
      <c r="E43" s="27">
        <v>4.0</v>
      </c>
      <c r="F43" s="27">
        <v>10.0</v>
      </c>
      <c r="G43" s="27"/>
      <c r="H43" s="27"/>
      <c r="I43" s="24"/>
      <c r="J43" s="9"/>
    </row>
    <row r="44" ht="14.25" customHeight="1">
      <c r="A44" s="16" t="s">
        <v>29</v>
      </c>
      <c r="B44" s="30" t="s">
        <v>317</v>
      </c>
      <c r="C44" s="18"/>
      <c r="D44" s="20"/>
      <c r="E44" s="27">
        <v>3.0</v>
      </c>
      <c r="F44" s="27">
        <v>10.0</v>
      </c>
      <c r="G44" s="27"/>
      <c r="H44" s="27"/>
      <c r="I44" s="24"/>
      <c r="J44" s="9"/>
    </row>
    <row r="45" ht="14.25" customHeight="1">
      <c r="A45" s="16" t="s">
        <v>12</v>
      </c>
      <c r="B45" s="30" t="s">
        <v>319</v>
      </c>
      <c r="C45" s="18"/>
      <c r="D45" s="20"/>
      <c r="E45" s="27">
        <v>3.0</v>
      </c>
      <c r="F45" s="27">
        <v>12.0</v>
      </c>
      <c r="G45" s="27"/>
      <c r="H45" s="27"/>
      <c r="I45" s="24"/>
      <c r="J45" s="9"/>
    </row>
    <row r="46" ht="14.25" customHeight="1">
      <c r="A46" s="16" t="s">
        <v>12</v>
      </c>
      <c r="B46" s="60" t="s">
        <v>273</v>
      </c>
      <c r="C46" s="8"/>
      <c r="D46" s="9"/>
      <c r="E46" s="27">
        <v>3.0</v>
      </c>
      <c r="F46" s="27">
        <v>12.0</v>
      </c>
      <c r="G46" s="27"/>
      <c r="H46" s="27"/>
      <c r="I46" s="24"/>
      <c r="J46" s="9"/>
    </row>
    <row r="47" ht="14.25" customHeight="1">
      <c r="B47" s="26"/>
      <c r="C47" s="29"/>
      <c r="D47" s="29"/>
    </row>
    <row r="48" ht="14.25" customHeight="1"/>
    <row r="49" ht="14.25" customHeight="1">
      <c r="A49" s="2" t="s">
        <v>66</v>
      </c>
      <c r="B49" s="3"/>
      <c r="C49" s="4"/>
      <c r="J49" s="1"/>
    </row>
    <row r="50" ht="14.25" customHeight="1">
      <c r="A50" s="6" t="s">
        <v>2</v>
      </c>
      <c r="B50" s="10" t="s">
        <v>4</v>
      </c>
      <c r="C50" s="8"/>
      <c r="D50" s="9"/>
      <c r="E50" s="6" t="s">
        <v>5</v>
      </c>
      <c r="F50" s="6" t="s">
        <v>6</v>
      </c>
      <c r="G50" s="6" t="s">
        <v>7</v>
      </c>
      <c r="H50" s="6" t="s">
        <v>8</v>
      </c>
      <c r="I50" s="10" t="s">
        <v>9</v>
      </c>
      <c r="J50" s="9"/>
    </row>
    <row r="51" ht="14.25" customHeight="1">
      <c r="A51" s="16"/>
      <c r="B51" s="26"/>
      <c r="C51" s="29"/>
      <c r="D51" s="29"/>
      <c r="E51" s="16"/>
      <c r="F51" s="16"/>
      <c r="G51" s="16"/>
      <c r="H51" s="16"/>
      <c r="I51" s="24"/>
      <c r="J51" s="9"/>
    </row>
    <row r="52" ht="14.25" customHeight="1">
      <c r="A52" s="16"/>
      <c r="B52" s="26"/>
      <c r="C52" s="29"/>
      <c r="D52" s="29"/>
      <c r="E52" s="16"/>
      <c r="F52" s="16"/>
      <c r="G52" s="16"/>
      <c r="H52" s="16"/>
      <c r="I52" s="24"/>
      <c r="J52" s="9"/>
    </row>
    <row r="53" ht="14.25" customHeight="1">
      <c r="A53" s="16" t="s">
        <v>12</v>
      </c>
      <c r="B53" s="26" t="s">
        <v>329</v>
      </c>
      <c r="C53" s="29"/>
      <c r="D53" s="29"/>
      <c r="E53" s="16">
        <v>6.0</v>
      </c>
      <c r="F53" s="16">
        <v>10.0</v>
      </c>
      <c r="G53" s="16"/>
      <c r="H53" s="16"/>
      <c r="I53" s="24"/>
      <c r="J53" s="9"/>
    </row>
    <row r="54" ht="14.25" customHeight="1">
      <c r="A54" s="16" t="s">
        <v>31</v>
      </c>
      <c r="B54" s="30" t="s">
        <v>331</v>
      </c>
      <c r="C54" s="18"/>
      <c r="D54" s="20"/>
      <c r="E54" s="27">
        <v>4.0</v>
      </c>
      <c r="F54" s="27">
        <v>10.0</v>
      </c>
      <c r="G54" s="27"/>
      <c r="H54" s="27"/>
      <c r="I54" s="24"/>
      <c r="J54" s="9"/>
    </row>
    <row r="55" ht="14.25" customHeight="1">
      <c r="A55" s="16" t="s">
        <v>32</v>
      </c>
      <c r="B55" s="30" t="s">
        <v>333</v>
      </c>
      <c r="C55" s="18"/>
      <c r="D55" s="20"/>
      <c r="E55" s="27">
        <v>4.0</v>
      </c>
      <c r="F55" s="27" t="s">
        <v>278</v>
      </c>
      <c r="G55" s="27"/>
      <c r="H55" s="27"/>
      <c r="I55" s="24"/>
      <c r="J55" s="9"/>
    </row>
    <row r="56" ht="14.25" customHeight="1">
      <c r="A56" s="16" t="s">
        <v>26</v>
      </c>
      <c r="B56" s="30" t="s">
        <v>335</v>
      </c>
      <c r="C56" s="18"/>
      <c r="D56" s="20"/>
      <c r="E56" s="27">
        <v>4.0</v>
      </c>
      <c r="F56" s="27">
        <v>8.0</v>
      </c>
      <c r="G56" s="27"/>
      <c r="H56" s="27"/>
      <c r="I56" s="24"/>
      <c r="J56" s="9"/>
    </row>
    <row r="57" ht="14.25" customHeight="1">
      <c r="A57" s="16" t="s">
        <v>32</v>
      </c>
      <c r="B57" s="30" t="s">
        <v>338</v>
      </c>
      <c r="C57" s="18"/>
      <c r="D57" s="20"/>
      <c r="E57" s="27">
        <v>3.0</v>
      </c>
      <c r="F57" s="27">
        <v>8.0</v>
      </c>
      <c r="G57" s="27"/>
      <c r="H57" s="27"/>
      <c r="I57" s="24"/>
      <c r="J57" s="9"/>
    </row>
    <row r="58" ht="14.25" customHeight="1">
      <c r="A58" s="16" t="s">
        <v>26</v>
      </c>
      <c r="B58" s="30" t="s">
        <v>340</v>
      </c>
      <c r="C58" s="18"/>
      <c r="D58" s="20"/>
      <c r="E58" s="27">
        <v>3.0</v>
      </c>
      <c r="F58" s="27">
        <v>10.0</v>
      </c>
      <c r="G58" s="27"/>
      <c r="H58" s="27"/>
      <c r="I58" s="24"/>
      <c r="J58" s="9"/>
    </row>
    <row r="59" ht="14.25" customHeight="1">
      <c r="A59" s="16" t="s">
        <v>28</v>
      </c>
      <c r="B59" s="30" t="s">
        <v>341</v>
      </c>
      <c r="C59" s="18"/>
      <c r="D59" s="20"/>
      <c r="E59" s="27">
        <v>4.0</v>
      </c>
      <c r="F59" s="27">
        <v>10.0</v>
      </c>
      <c r="G59" s="27"/>
      <c r="H59" s="27"/>
      <c r="I59" s="24"/>
      <c r="J59" s="9"/>
    </row>
    <row r="60" ht="14.25" customHeight="1">
      <c r="A60" s="16" t="s">
        <v>33</v>
      </c>
      <c r="B60" s="60" t="s">
        <v>342</v>
      </c>
      <c r="C60" s="8"/>
      <c r="D60" s="9"/>
      <c r="E60" s="27">
        <v>4.0</v>
      </c>
      <c r="F60" s="27">
        <v>10.0</v>
      </c>
      <c r="G60" s="27"/>
      <c r="H60" s="27"/>
      <c r="I60" s="24"/>
      <c r="J60" s="9"/>
    </row>
    <row r="61" ht="14.25" customHeight="1">
      <c r="B61" s="26"/>
      <c r="C61" s="29"/>
      <c r="D61" s="29"/>
    </row>
    <row r="62" ht="14.25" customHeight="1"/>
    <row r="63" ht="14.25" customHeight="1">
      <c r="A63" s="2" t="s">
        <v>76</v>
      </c>
      <c r="B63" s="3"/>
      <c r="C63" s="4"/>
      <c r="J63" s="1"/>
    </row>
    <row r="64" ht="14.25" customHeight="1">
      <c r="A64" s="6" t="s">
        <v>2</v>
      </c>
      <c r="B64" s="10" t="s">
        <v>4</v>
      </c>
      <c r="C64" s="8"/>
      <c r="D64" s="9"/>
      <c r="E64" s="6" t="s">
        <v>5</v>
      </c>
      <c r="F64" s="6" t="s">
        <v>6</v>
      </c>
      <c r="G64" s="6" t="s">
        <v>7</v>
      </c>
      <c r="H64" s="6" t="s">
        <v>8</v>
      </c>
      <c r="I64" s="10" t="s">
        <v>9</v>
      </c>
      <c r="J64" s="9"/>
    </row>
    <row r="65" ht="14.25" customHeight="1">
      <c r="A65" s="16"/>
      <c r="B65" s="26"/>
      <c r="C65" s="29"/>
      <c r="D65" s="29"/>
      <c r="E65" s="16"/>
      <c r="F65" s="16"/>
      <c r="G65" s="16"/>
      <c r="H65" s="16"/>
      <c r="I65" s="24"/>
      <c r="J65" s="9"/>
    </row>
    <row r="66" ht="14.25" customHeight="1">
      <c r="A66" s="16"/>
      <c r="B66" s="26"/>
      <c r="C66" s="29"/>
      <c r="D66" s="29"/>
      <c r="E66" s="16"/>
      <c r="F66" s="16"/>
      <c r="G66" s="16"/>
      <c r="H66" s="16"/>
      <c r="I66" s="24"/>
      <c r="J66" s="9"/>
    </row>
    <row r="67" ht="14.25" customHeight="1">
      <c r="A67" s="16"/>
      <c r="B67" s="26"/>
      <c r="C67" s="29"/>
      <c r="D67" s="29"/>
      <c r="E67" s="16"/>
      <c r="F67" s="16"/>
      <c r="G67" s="16"/>
      <c r="H67" s="16"/>
      <c r="I67" s="24"/>
      <c r="J67" s="9"/>
    </row>
    <row r="68" ht="14.25" customHeight="1">
      <c r="A68" s="16"/>
      <c r="B68" s="26"/>
      <c r="C68" s="29"/>
      <c r="D68" s="29"/>
      <c r="E68" s="16"/>
      <c r="F68" s="16"/>
      <c r="G68" s="16"/>
      <c r="H68" s="16"/>
      <c r="I68" s="24"/>
      <c r="J68" s="9"/>
    </row>
    <row r="69" ht="14.25" customHeight="1">
      <c r="A69" s="16"/>
      <c r="B69" s="26"/>
      <c r="C69" s="29"/>
      <c r="D69" s="29"/>
      <c r="E69" s="16"/>
      <c r="F69" s="16"/>
      <c r="G69" s="16"/>
      <c r="H69" s="16"/>
      <c r="I69" s="24"/>
      <c r="J69" s="9"/>
    </row>
    <row r="70" ht="14.25" customHeight="1">
      <c r="A70" s="16"/>
      <c r="B70" s="26"/>
      <c r="C70" s="29"/>
      <c r="D70" s="29"/>
      <c r="E70" s="16"/>
      <c r="F70" s="16"/>
      <c r="G70" s="16"/>
      <c r="H70" s="16"/>
      <c r="I70" s="24"/>
      <c r="J70" s="9"/>
    </row>
    <row r="71" ht="14.25" customHeight="1">
      <c r="A71" s="16"/>
      <c r="B71" s="26"/>
      <c r="C71" s="29"/>
      <c r="D71" s="29"/>
      <c r="E71" s="16"/>
      <c r="F71" s="16"/>
      <c r="G71" s="16"/>
      <c r="H71" s="16"/>
      <c r="I71" s="24"/>
      <c r="J71" s="9"/>
    </row>
    <row r="72" ht="14.25" customHeight="1">
      <c r="A72" s="16"/>
      <c r="B72" s="26"/>
      <c r="C72" s="29"/>
      <c r="D72" s="29"/>
      <c r="E72" s="16"/>
      <c r="F72" s="16"/>
      <c r="G72" s="16"/>
      <c r="H72" s="16"/>
      <c r="I72" s="24"/>
      <c r="J72" s="9"/>
    </row>
    <row r="73" ht="14.25" customHeight="1">
      <c r="A73" s="16"/>
      <c r="B73" s="26"/>
      <c r="C73" s="29"/>
      <c r="D73" s="29"/>
      <c r="E73" s="16"/>
      <c r="F73" s="16"/>
      <c r="G73" s="16"/>
      <c r="H73" s="16"/>
      <c r="I73" s="24"/>
      <c r="J73" s="9"/>
    </row>
    <row r="74" ht="14.25" customHeight="1">
      <c r="A74" s="16"/>
      <c r="B74" s="58"/>
      <c r="C74" s="8"/>
      <c r="D74" s="9"/>
      <c r="E74" s="16"/>
      <c r="F74" s="16"/>
      <c r="G74" s="16"/>
      <c r="H74" s="16"/>
      <c r="I74" s="24"/>
      <c r="J74" s="9"/>
    </row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5">
    <mergeCell ref="I26:J26"/>
    <mergeCell ref="I27:J27"/>
    <mergeCell ref="I11:J11"/>
    <mergeCell ref="I13:J13"/>
    <mergeCell ref="I21:J21"/>
    <mergeCell ref="I22:J22"/>
    <mergeCell ref="I23:J23"/>
    <mergeCell ref="I24:J24"/>
    <mergeCell ref="I25:J25"/>
    <mergeCell ref="B26:D26"/>
    <mergeCell ref="B27:D27"/>
    <mergeCell ref="M27:W27"/>
    <mergeCell ref="I28:J28"/>
    <mergeCell ref="B28:D28"/>
    <mergeCell ref="B29:D29"/>
    <mergeCell ref="I29:J29"/>
    <mergeCell ref="B30:D30"/>
    <mergeCell ref="I30:J30"/>
    <mergeCell ref="B31:D31"/>
    <mergeCell ref="I31:J31"/>
    <mergeCell ref="A6:C6"/>
    <mergeCell ref="B7:D7"/>
    <mergeCell ref="I7:J7"/>
    <mergeCell ref="M7:W7"/>
    <mergeCell ref="Z7:AB7"/>
    <mergeCell ref="B8:D8"/>
    <mergeCell ref="B9:D9"/>
    <mergeCell ref="I12:J12"/>
    <mergeCell ref="M12:W12"/>
    <mergeCell ref="I8:J8"/>
    <mergeCell ref="I9:J9"/>
    <mergeCell ref="B10:D10"/>
    <mergeCell ref="I10:J10"/>
    <mergeCell ref="B11:D11"/>
    <mergeCell ref="B12:D12"/>
    <mergeCell ref="B13:D13"/>
    <mergeCell ref="I17:J17"/>
    <mergeCell ref="M17:W17"/>
    <mergeCell ref="M22:W22"/>
    <mergeCell ref="B14:D14"/>
    <mergeCell ref="I14:J14"/>
    <mergeCell ref="B15:D15"/>
    <mergeCell ref="I15:J15"/>
    <mergeCell ref="B16:D16"/>
    <mergeCell ref="I16:J16"/>
    <mergeCell ref="B17:D17"/>
    <mergeCell ref="B18:D18"/>
    <mergeCell ref="A20:C20"/>
    <mergeCell ref="B21:D21"/>
    <mergeCell ref="B22:D22"/>
    <mergeCell ref="B23:D23"/>
    <mergeCell ref="B24:D24"/>
    <mergeCell ref="B25:D25"/>
    <mergeCell ref="I39:J39"/>
    <mergeCell ref="I40:J40"/>
    <mergeCell ref="A49:C49"/>
    <mergeCell ref="B50:D50"/>
    <mergeCell ref="I50:J50"/>
    <mergeCell ref="B51:D51"/>
    <mergeCell ref="I51:J51"/>
    <mergeCell ref="B52:D52"/>
    <mergeCell ref="B53:D53"/>
    <mergeCell ref="B54:D54"/>
    <mergeCell ref="I54:J54"/>
    <mergeCell ref="B55:D55"/>
    <mergeCell ref="I55:J55"/>
    <mergeCell ref="B56:D56"/>
    <mergeCell ref="I56:J56"/>
    <mergeCell ref="I57:J57"/>
    <mergeCell ref="I68:J68"/>
    <mergeCell ref="I69:J69"/>
    <mergeCell ref="I58:J58"/>
    <mergeCell ref="I59:J59"/>
    <mergeCell ref="I60:J60"/>
    <mergeCell ref="I64:J64"/>
    <mergeCell ref="I65:J65"/>
    <mergeCell ref="I66:J66"/>
    <mergeCell ref="I67:J67"/>
    <mergeCell ref="B33:D33"/>
    <mergeCell ref="A35:C35"/>
    <mergeCell ref="B36:D36"/>
    <mergeCell ref="I36:J36"/>
    <mergeCell ref="B37:D37"/>
    <mergeCell ref="I37:J37"/>
    <mergeCell ref="I38:J38"/>
    <mergeCell ref="I42:J42"/>
    <mergeCell ref="I43:J43"/>
    <mergeCell ref="B38:D38"/>
    <mergeCell ref="B39:D39"/>
    <mergeCell ref="B40:D40"/>
    <mergeCell ref="B41:D41"/>
    <mergeCell ref="I41:J41"/>
    <mergeCell ref="B42:D42"/>
    <mergeCell ref="B43:D43"/>
    <mergeCell ref="B44:D44"/>
    <mergeCell ref="I44:J44"/>
    <mergeCell ref="B45:D45"/>
    <mergeCell ref="I45:J45"/>
    <mergeCell ref="B46:D46"/>
    <mergeCell ref="I46:J46"/>
    <mergeCell ref="B47:D47"/>
    <mergeCell ref="I52:J52"/>
    <mergeCell ref="I53:J53"/>
    <mergeCell ref="I70:J70"/>
    <mergeCell ref="I71:J71"/>
    <mergeCell ref="I72:J72"/>
    <mergeCell ref="I73:J73"/>
    <mergeCell ref="I74:J74"/>
    <mergeCell ref="B57:D57"/>
    <mergeCell ref="B58:D58"/>
    <mergeCell ref="B59:D59"/>
    <mergeCell ref="B60:D60"/>
    <mergeCell ref="B61:D61"/>
    <mergeCell ref="A63:C63"/>
    <mergeCell ref="B64:D64"/>
    <mergeCell ref="B72:D72"/>
    <mergeCell ref="B73:D73"/>
    <mergeCell ref="B74:D74"/>
    <mergeCell ref="B65:D65"/>
    <mergeCell ref="B66:D66"/>
    <mergeCell ref="B67:D67"/>
    <mergeCell ref="B68:D68"/>
    <mergeCell ref="B69:D69"/>
    <mergeCell ref="B70:D70"/>
    <mergeCell ref="B71:D71"/>
  </mergeCells>
  <dataValidations>
    <dataValidation type="list" allowBlank="1" showErrorMessage="1" sqref="A8:A17 A22:A32 A37:A46 A51:A60 A65:A74">
      <formula1>Datos!$D$2:$D$11</formula1>
    </dataValidation>
    <dataValidation type="list" allowBlank="1" showErrorMessage="1" sqref="J5">
      <formula1>Datos!$B$2:$B$12</formula1>
    </dataValidation>
    <dataValidation type="list" allowBlank="1" showErrorMessage="1" sqref="J6 J20 J35 J49 J63">
      <formula1>Datos!$D$2:$D$14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10.71"/>
    <col customWidth="1" min="24" max="24" width="7.86"/>
    <col customWidth="1" min="25" max="25" width="15.43"/>
    <col customWidth="1" min="26" max="28" width="10.71"/>
  </cols>
  <sheetData>
    <row r="1" ht="14.25" customHeight="1"/>
    <row r="2" ht="14.25" customHeight="1"/>
    <row r="3" ht="14.25" customHeight="1"/>
    <row r="4" ht="14.25" customHeight="1"/>
    <row r="5" ht="14.25" customHeight="1">
      <c r="J5" s="1"/>
    </row>
    <row r="6" ht="14.25" customHeight="1">
      <c r="A6" s="2" t="s">
        <v>0</v>
      </c>
      <c r="B6" s="3"/>
      <c r="C6" s="4"/>
      <c r="J6" s="1"/>
    </row>
    <row r="7" ht="14.25" customHeight="1">
      <c r="A7" s="6" t="s">
        <v>2</v>
      </c>
      <c r="B7" s="10" t="s">
        <v>4</v>
      </c>
      <c r="C7" s="8"/>
      <c r="D7" s="9"/>
      <c r="E7" s="6" t="s">
        <v>5</v>
      </c>
      <c r="F7" s="6" t="s">
        <v>6</v>
      </c>
      <c r="G7" s="6" t="s">
        <v>7</v>
      </c>
      <c r="H7" s="6" t="s">
        <v>8</v>
      </c>
      <c r="I7" s="10" t="s">
        <v>9</v>
      </c>
      <c r="J7" s="9"/>
      <c r="M7" s="11" t="s">
        <v>0</v>
      </c>
      <c r="N7" s="12"/>
      <c r="O7" s="12"/>
      <c r="P7" s="12"/>
      <c r="Q7" s="12"/>
      <c r="R7" s="12"/>
      <c r="S7" s="12"/>
      <c r="T7" s="12"/>
      <c r="U7" s="12"/>
      <c r="V7" s="12"/>
      <c r="W7" s="13"/>
      <c r="Y7" s="1"/>
      <c r="Z7" s="14" t="s">
        <v>10</v>
      </c>
      <c r="AA7" s="12"/>
      <c r="AB7" s="13"/>
    </row>
    <row r="8" ht="14.25" customHeight="1">
      <c r="A8" s="16" t="s">
        <v>12</v>
      </c>
      <c r="B8" s="108" t="s">
        <v>257</v>
      </c>
      <c r="C8" s="18"/>
      <c r="D8" s="20"/>
      <c r="E8" s="109">
        <v>3.0</v>
      </c>
      <c r="F8" s="109">
        <v>10.0</v>
      </c>
      <c r="G8" s="109"/>
      <c r="H8" s="109"/>
      <c r="I8" s="24"/>
      <c r="J8" s="9"/>
      <c r="M8" s="25"/>
      <c r="N8" s="28" t="s">
        <v>16</v>
      </c>
      <c r="O8" s="28" t="s">
        <v>26</v>
      </c>
      <c r="P8" s="28" t="s">
        <v>27</v>
      </c>
      <c r="Q8" s="28" t="s">
        <v>28</v>
      </c>
      <c r="R8" s="28" t="s">
        <v>29</v>
      </c>
      <c r="S8" s="28" t="s">
        <v>30</v>
      </c>
      <c r="T8" s="28" t="s">
        <v>31</v>
      </c>
      <c r="U8" s="28" t="s">
        <v>32</v>
      </c>
      <c r="V8" s="28" t="s">
        <v>33</v>
      </c>
      <c r="W8" s="28" t="s">
        <v>12</v>
      </c>
      <c r="Z8" s="28" t="s">
        <v>16</v>
      </c>
      <c r="AA8" s="1">
        <f>SUM(N9,N14,N19,N24,N29)</f>
        <v>15</v>
      </c>
    </row>
    <row r="9" ht="14.25" customHeight="1">
      <c r="A9" s="16" t="s">
        <v>12</v>
      </c>
      <c r="B9" s="108" t="s">
        <v>259</v>
      </c>
      <c r="C9" s="18"/>
      <c r="D9" s="20"/>
      <c r="E9" s="109">
        <v>3.0</v>
      </c>
      <c r="F9" s="109">
        <v>10.0</v>
      </c>
      <c r="G9" s="109"/>
      <c r="H9" s="109"/>
      <c r="I9" s="24"/>
      <c r="J9" s="9"/>
      <c r="M9" s="34" t="s">
        <v>36</v>
      </c>
      <c r="N9" s="37">
        <f>SUMIF(A8:A17,"Pecho",E8:E17)</f>
        <v>11</v>
      </c>
      <c r="O9" s="37">
        <f>SUMIF(A8:A17,"Espalda",E8:E17)</f>
        <v>0</v>
      </c>
      <c r="P9" s="37">
        <f>SUMIF($A8:$A17,"Hombros",$E8:$E17)</f>
        <v>0</v>
      </c>
      <c r="Q9" s="37">
        <f>SUMIF($A8:$A17,"Bíceps",$E8:$E17)</f>
        <v>0</v>
      </c>
      <c r="R9" s="37">
        <f>SUMIF($A8:$A17,"Tríceps",$E8:$E17)</f>
        <v>3</v>
      </c>
      <c r="S9" s="38">
        <f>SUMIF(A8:A17,"Cuádriceps",E8:E17)</f>
        <v>6</v>
      </c>
      <c r="T9" s="37">
        <f>SUMIF($A8:$A17,"Isquios",$E8:$E17)</f>
        <v>0</v>
      </c>
      <c r="U9" s="37">
        <f>SUMIF($A8:$A17,"Glúteos",$E8:$E17)</f>
        <v>0</v>
      </c>
      <c r="V9" s="37">
        <f>SUMIF($A8:$A17,"Pantorrillas",$E8:$E17)</f>
        <v>0</v>
      </c>
      <c r="W9" s="37">
        <f>SUMIF($A8:$A17,"Otros",$E8:$E17)</f>
        <v>12</v>
      </c>
      <c r="Z9" s="28" t="s">
        <v>26</v>
      </c>
      <c r="AA9" s="1">
        <f>SUM(O9,O14,O19,O24,O29)</f>
        <v>15</v>
      </c>
    </row>
    <row r="10" ht="14.25" customHeight="1">
      <c r="A10" s="16" t="s">
        <v>12</v>
      </c>
      <c r="B10" s="108" t="s">
        <v>261</v>
      </c>
      <c r="C10" s="18"/>
      <c r="D10" s="20"/>
      <c r="E10" s="109">
        <v>3.0</v>
      </c>
      <c r="F10" s="109">
        <v>10.0</v>
      </c>
      <c r="G10" s="109"/>
      <c r="H10" s="109"/>
      <c r="I10" s="24"/>
      <c r="J10" s="9"/>
      <c r="M10" s="34" t="s">
        <v>7</v>
      </c>
      <c r="N10" s="35">
        <f>AVERAGEIF($A8:$A17,"Pecho",$G8:$G17)</f>
        <v>8</v>
      </c>
      <c r="O10" s="35" t="str">
        <f>AVERAGEIF($A8:$A17,"Espalda",$G8:$G17)</f>
        <v>#DIV/0!</v>
      </c>
      <c r="P10" s="35" t="str">
        <f>AVERAGEIF($A8:$A17,"Hombros",$G8:$G17)</f>
        <v>#DIV/0!</v>
      </c>
      <c r="Q10" s="35" t="str">
        <f>AVERAGEIF($A8:$A17,"Bíceps",$G8:$G17)</f>
        <v>#DIV/0!</v>
      </c>
      <c r="R10" s="35" t="str">
        <f>AVERAGEIF($A8:$A17,"Tríceps",$G8:$G17)</f>
        <v>#DIV/0!</v>
      </c>
      <c r="S10" s="35" t="str">
        <f>AVERAGEIF($A8:$A17,"Cuádriceps",$G8:$G17)</f>
        <v>#DIV/0!</v>
      </c>
      <c r="T10" s="35" t="str">
        <f>AVERAGEIF($A8:$A17,"Isquios",$G8:$G17)</f>
        <v>#DIV/0!</v>
      </c>
      <c r="U10" s="35" t="str">
        <f>AVERAGEIF($A8:$A17,"Glúteos",$G8:$G17)</f>
        <v>#DIV/0!</v>
      </c>
      <c r="V10" s="35" t="str">
        <f>AVERAGEIF($A8:$A17,"Pantorrillas",$G8:$G17)</f>
        <v>#DIV/0!</v>
      </c>
      <c r="W10" s="35" t="str">
        <f>AVERAGEIF($A8:$A17,"Otros",$G8:$G17)</f>
        <v>#DIV/0!</v>
      </c>
      <c r="Z10" s="28" t="s">
        <v>27</v>
      </c>
      <c r="AA10" s="1">
        <f>SUM(P9,P14,P19,P24,P29)</f>
        <v>6</v>
      </c>
    </row>
    <row r="11" ht="14.25" customHeight="1">
      <c r="A11" s="16" t="s">
        <v>16</v>
      </c>
      <c r="B11" s="30" t="s">
        <v>264</v>
      </c>
      <c r="C11" s="18"/>
      <c r="D11" s="20"/>
      <c r="E11" s="27">
        <v>4.0</v>
      </c>
      <c r="F11" s="27">
        <v>10.0</v>
      </c>
      <c r="G11" s="27">
        <v>8.0</v>
      </c>
      <c r="H11" s="27" t="s">
        <v>55</v>
      </c>
      <c r="I11" s="24"/>
      <c r="J11" s="9"/>
      <c r="M11" s="25"/>
      <c r="N11" s="25"/>
      <c r="O11" s="25"/>
      <c r="P11" s="25"/>
      <c r="Q11" s="25"/>
      <c r="R11" s="25"/>
      <c r="S11" s="25"/>
      <c r="T11" s="25"/>
      <c r="U11" s="25"/>
      <c r="Z11" s="28" t="s">
        <v>28</v>
      </c>
      <c r="AA11" s="1">
        <f>SUM(Q9,Q14,Q19,Q24,Q29)</f>
        <v>4</v>
      </c>
    </row>
    <row r="12" ht="14.25" customHeight="1">
      <c r="A12" s="16" t="s">
        <v>16</v>
      </c>
      <c r="B12" s="30" t="s">
        <v>266</v>
      </c>
      <c r="C12" s="18"/>
      <c r="D12" s="20"/>
      <c r="E12" s="27">
        <v>4.0</v>
      </c>
      <c r="F12" s="27">
        <v>12.0</v>
      </c>
      <c r="G12" s="27"/>
      <c r="H12" s="27"/>
      <c r="I12" s="24"/>
      <c r="J12" s="9"/>
      <c r="M12" s="11" t="s">
        <v>45</v>
      </c>
      <c r="N12" s="12"/>
      <c r="O12" s="12"/>
      <c r="P12" s="12"/>
      <c r="Q12" s="12"/>
      <c r="R12" s="12"/>
      <c r="S12" s="12"/>
      <c r="T12" s="12"/>
      <c r="U12" s="12"/>
      <c r="V12" s="12"/>
      <c r="W12" s="13"/>
      <c r="Z12" s="28" t="s">
        <v>29</v>
      </c>
      <c r="AA12" s="1">
        <f>SUM(R9,R14,R19,R24,R29)</f>
        <v>3</v>
      </c>
    </row>
    <row r="13" ht="14.25" customHeight="1">
      <c r="A13" s="16" t="s">
        <v>30</v>
      </c>
      <c r="B13" s="30" t="s">
        <v>217</v>
      </c>
      <c r="C13" s="18"/>
      <c r="D13" s="20"/>
      <c r="E13" s="27">
        <v>3.0</v>
      </c>
      <c r="F13" s="27">
        <v>12.0</v>
      </c>
      <c r="G13" s="27"/>
      <c r="H13" s="27"/>
      <c r="I13" s="24"/>
      <c r="J13" s="9"/>
      <c r="M13" s="25"/>
      <c r="N13" s="28" t="s">
        <v>16</v>
      </c>
      <c r="O13" s="28" t="s">
        <v>26</v>
      </c>
      <c r="P13" s="28" t="s">
        <v>27</v>
      </c>
      <c r="Q13" s="28" t="s">
        <v>28</v>
      </c>
      <c r="R13" s="28" t="s">
        <v>29</v>
      </c>
      <c r="S13" s="28" t="s">
        <v>30</v>
      </c>
      <c r="T13" s="28" t="s">
        <v>31</v>
      </c>
      <c r="U13" s="28" t="s">
        <v>32</v>
      </c>
      <c r="V13" s="28" t="s">
        <v>33</v>
      </c>
      <c r="W13" s="28" t="s">
        <v>12</v>
      </c>
      <c r="Z13" s="28" t="s">
        <v>30</v>
      </c>
      <c r="AA13" s="1">
        <f>SUM(S9,S14,S19,S24,S29)</f>
        <v>13</v>
      </c>
    </row>
    <row r="14" ht="14.25" customHeight="1">
      <c r="A14" s="16" t="s">
        <v>30</v>
      </c>
      <c r="B14" s="30" t="s">
        <v>267</v>
      </c>
      <c r="C14" s="18"/>
      <c r="D14" s="20"/>
      <c r="E14" s="27">
        <v>3.0</v>
      </c>
      <c r="F14" s="27">
        <v>10.0</v>
      </c>
      <c r="G14" s="27"/>
      <c r="H14" s="27"/>
      <c r="I14" s="24"/>
      <c r="J14" s="9"/>
      <c r="M14" s="34" t="s">
        <v>36</v>
      </c>
      <c r="N14" s="35">
        <f>SUMIF($A22:$A31,"Pecho",$E22:$E31)</f>
        <v>0</v>
      </c>
      <c r="O14" s="35">
        <f>SUMIF($A22:$A31,"Espalda",$E22:$E31)</f>
        <v>11</v>
      </c>
      <c r="P14" s="35">
        <f>SUMIF($A22:$A31,"Hombros",$E22:$E31)</f>
        <v>3</v>
      </c>
      <c r="Q14" s="35">
        <f>SUMIF($A22:$A31,"Bíceps",$E22:$E31)</f>
        <v>0</v>
      </c>
      <c r="R14" s="35">
        <f>SUMIF($A22:$A31,"Tríceps",$E22:$E31)</f>
        <v>0</v>
      </c>
      <c r="S14" s="35">
        <f>SUMIF($A22:$A31,"Cuádriceps",$E22:$E31)</f>
        <v>3</v>
      </c>
      <c r="T14" s="35">
        <f>SUMIF($A22:$A31,"Isquios",$E22:$E31)</f>
        <v>4</v>
      </c>
      <c r="U14" s="35">
        <f>SUMIF($A22:$A31,"Glúteos",$E22:$E31)</f>
        <v>4</v>
      </c>
      <c r="V14" s="35">
        <f>SUMIF($A22:$A31,"Pantorrillas",$E22:$E31)</f>
        <v>0</v>
      </c>
      <c r="W14" s="35">
        <f>SUMIF($A22:$A31,"Otros",$E22:$E31)</f>
        <v>9</v>
      </c>
      <c r="Z14" s="28" t="s">
        <v>31</v>
      </c>
      <c r="AA14" s="1">
        <f>SUM(T9,T14,T19,T24,T29)</f>
        <v>8</v>
      </c>
    </row>
    <row r="15" ht="14.25" customHeight="1">
      <c r="A15" s="16" t="s">
        <v>16</v>
      </c>
      <c r="B15" s="30" t="s">
        <v>271</v>
      </c>
      <c r="C15" s="18"/>
      <c r="D15" s="20"/>
      <c r="E15" s="27">
        <v>3.0</v>
      </c>
      <c r="F15" s="112" t="s">
        <v>272</v>
      </c>
      <c r="G15" s="27"/>
      <c r="H15" s="27"/>
      <c r="I15" s="24"/>
      <c r="J15" s="9"/>
      <c r="M15" s="34" t="s">
        <v>7</v>
      </c>
      <c r="N15" s="35" t="str">
        <f>AVERAGEIF($A22:$A31,"Pecho",$G22:$G31)</f>
        <v>#DIV/0!</v>
      </c>
      <c r="O15" s="35" t="str">
        <f>AVERAGEIF($A22:$A31,"Espalda",$G22:$G31)</f>
        <v>#DIV/0!</v>
      </c>
      <c r="P15" s="35" t="str">
        <f>AVERAGEIF($A22:$A31,"Hombros",$G22:$G31)</f>
        <v>#DIV/0!</v>
      </c>
      <c r="Q15" s="35" t="str">
        <f>AVERAGEIF($A22:$A31,"Bíceps",$G22:$G31)</f>
        <v>#DIV/0!</v>
      </c>
      <c r="R15" s="35" t="str">
        <f>AVERAGEIF($A22:$A31,"Tríceps",$G22:$G31)</f>
        <v>#DIV/0!</v>
      </c>
      <c r="S15" s="35" t="str">
        <f>AVERAGEIF($A22:$A31,"Cuádriceps",$G22:$G31)</f>
        <v>#DIV/0!</v>
      </c>
      <c r="T15" s="35">
        <f>AVERAGEIF($A22:$A31,"Isquios",$G22:$G31)</f>
        <v>8</v>
      </c>
      <c r="U15" s="35" t="str">
        <f>AVERAGEIF($A22:$A31,"Glúteos",$G22:$G31)</f>
        <v>#DIV/0!</v>
      </c>
      <c r="V15" s="35" t="str">
        <f>AVERAGEIF($A22:$A31,"Pantorrillas",$G22:$G31)</f>
        <v>#DIV/0!</v>
      </c>
      <c r="W15" s="35" t="str">
        <f>AVERAGEIF($A22:$A31,"Otros",$G22:$G31)</f>
        <v>#DIV/0!</v>
      </c>
      <c r="Z15" s="28" t="s">
        <v>32</v>
      </c>
      <c r="AA15" s="1">
        <f>SUM(U9,U14,U19,U24,U29)</f>
        <v>7</v>
      </c>
    </row>
    <row r="16" ht="14.25" customHeight="1">
      <c r="A16" s="16" t="s">
        <v>29</v>
      </c>
      <c r="B16" s="30" t="s">
        <v>275</v>
      </c>
      <c r="C16" s="18"/>
      <c r="D16" s="20"/>
      <c r="E16" s="27">
        <v>3.0</v>
      </c>
      <c r="F16" s="27">
        <v>12.0</v>
      </c>
      <c r="G16" s="27"/>
      <c r="H16" s="27"/>
      <c r="I16" s="24"/>
      <c r="J16" s="9"/>
      <c r="M16" s="25"/>
      <c r="N16" s="25"/>
      <c r="O16" s="25"/>
      <c r="P16" s="25"/>
      <c r="Q16" s="25"/>
      <c r="R16" s="25"/>
      <c r="S16" s="25"/>
      <c r="T16" s="25"/>
      <c r="U16" s="25"/>
      <c r="Z16" s="28" t="s">
        <v>33</v>
      </c>
      <c r="AA16" s="1">
        <f>SUM(V9,V14,V19,V24,V29)</f>
        <v>0</v>
      </c>
    </row>
    <row r="17" ht="14.25" customHeight="1">
      <c r="A17" s="16" t="s">
        <v>12</v>
      </c>
      <c r="B17" s="108" t="s">
        <v>276</v>
      </c>
      <c r="C17" s="18"/>
      <c r="D17" s="20"/>
      <c r="E17" s="109">
        <v>3.0</v>
      </c>
      <c r="F17" s="109">
        <v>12.0</v>
      </c>
      <c r="G17" s="109"/>
      <c r="H17" s="109"/>
      <c r="I17" s="24"/>
      <c r="J17" s="9"/>
      <c r="M17" s="11" t="s">
        <v>57</v>
      </c>
      <c r="N17" s="12"/>
      <c r="O17" s="12"/>
      <c r="P17" s="12"/>
      <c r="Q17" s="12"/>
      <c r="R17" s="12"/>
      <c r="S17" s="12"/>
      <c r="T17" s="12"/>
      <c r="U17" s="12"/>
      <c r="V17" s="12"/>
      <c r="W17" s="13"/>
      <c r="Z17" s="28" t="s">
        <v>12</v>
      </c>
      <c r="AA17" s="1">
        <f>SUM(W9,W14,W19,W24,W29)</f>
        <v>30</v>
      </c>
    </row>
    <row r="18" ht="14.25" customHeight="1">
      <c r="B18" s="26"/>
      <c r="C18" s="29"/>
      <c r="D18" s="29"/>
      <c r="M18" s="25"/>
      <c r="N18" s="28" t="s">
        <v>16</v>
      </c>
      <c r="O18" s="28" t="s">
        <v>26</v>
      </c>
      <c r="P18" s="28" t="s">
        <v>27</v>
      </c>
      <c r="Q18" s="28" t="s">
        <v>28</v>
      </c>
      <c r="R18" s="28" t="s">
        <v>29</v>
      </c>
      <c r="S18" s="28" t="s">
        <v>30</v>
      </c>
      <c r="T18" s="28" t="s">
        <v>31</v>
      </c>
      <c r="U18" s="28" t="s">
        <v>32</v>
      </c>
      <c r="V18" s="28" t="s">
        <v>33</v>
      </c>
      <c r="W18" s="28" t="s">
        <v>12</v>
      </c>
    </row>
    <row r="19" ht="14.25" customHeight="1">
      <c r="M19" s="34" t="s">
        <v>36</v>
      </c>
      <c r="N19" s="35">
        <f>SUMIF($A37:$A46,"Pecho",$E37:$E46)</f>
        <v>4</v>
      </c>
      <c r="O19" s="35">
        <f>SUMIF($A37:$A46,"Espalda",$E37:$E46)</f>
        <v>4</v>
      </c>
      <c r="P19" s="35">
        <f>SUMIF($A37:$A46,"Hombros",$E37:$E46)</f>
        <v>3</v>
      </c>
      <c r="Q19" s="35">
        <f>SUMIF($A37:$A46,"Bíceps",$E37:$E46)</f>
        <v>4</v>
      </c>
      <c r="R19" s="35">
        <f>SUMIF($A37:$A46,"Tríceps",$E37:$E46)</f>
        <v>0</v>
      </c>
      <c r="S19" s="35">
        <f>SUMIF($A37:$A46,"Cuádriceps",$E37:$E46)</f>
        <v>4</v>
      </c>
      <c r="T19" s="35">
        <f>SUMIF($A37:$A46,"Isquios",$E37:$E46)</f>
        <v>4</v>
      </c>
      <c r="U19" s="35">
        <f>SUMIF($A37:$A46,"Glúteos",$E37:$E46)</f>
        <v>3</v>
      </c>
      <c r="V19" s="35">
        <f>SUMIF($A37:$A46,"Pantorrillas",$E37:$E46)</f>
        <v>0</v>
      </c>
      <c r="W19" s="35">
        <f>SUMIF($A37:$A46,"Otros",$E37:$E46)</f>
        <v>9</v>
      </c>
    </row>
    <row r="20" ht="14.25" customHeight="1">
      <c r="A20" s="2" t="s">
        <v>45</v>
      </c>
      <c r="B20" s="3"/>
      <c r="C20" s="4"/>
      <c r="J20" s="1"/>
      <c r="M20" s="34" t="s">
        <v>7</v>
      </c>
      <c r="N20" s="35">
        <f>AVERAGEIF($A37:$A46,"Pecho",$G37:$G46)</f>
        <v>8</v>
      </c>
      <c r="O20" s="35" t="str">
        <f>AVERAGEIF($A37:$A46,"Espalda",$G37:$G46)</f>
        <v>#DIV/0!</v>
      </c>
      <c r="P20" s="35" t="str">
        <f>AVERAGEIF($A37:$A46,"Hombros",$G37:$G46)</f>
        <v>#DIV/0!</v>
      </c>
      <c r="Q20" s="35" t="str">
        <f>AVERAGEIF($A37:$A46,"Bíceps",$G37:$G46)</f>
        <v>#DIV/0!</v>
      </c>
      <c r="R20" s="35" t="str">
        <f>AVERAGEIF($A37:$A46,"Tríceps",$G37:$G46)</f>
        <v>#DIV/0!</v>
      </c>
      <c r="S20" s="35" t="str">
        <f>AVERAGEIF($A37:$A46,"Cuádriceps",$G37:$G46)</f>
        <v>#DIV/0!</v>
      </c>
      <c r="T20" s="35" t="str">
        <f>AVERAGEIF($A37:$A46,"Isquios",$G37:$G46)</f>
        <v>#DIV/0!</v>
      </c>
      <c r="U20" s="35" t="str">
        <f>AVERAGEIF($A37:$A46,"Glúteos",$G37:$G46)</f>
        <v>#DIV/0!</v>
      </c>
      <c r="V20" s="35" t="str">
        <f>AVERAGEIF($A37:$A46,"Pantorrillas",$G37:$G46)</f>
        <v>#DIV/0!</v>
      </c>
      <c r="W20" s="35" t="str">
        <f>AVERAGEIF($A37:$A46,"Otros",$G37:$G46)</f>
        <v>#DIV/0!</v>
      </c>
    </row>
    <row r="21" ht="14.25" customHeight="1">
      <c r="A21" s="6" t="s">
        <v>2</v>
      </c>
      <c r="B21" s="10" t="s">
        <v>4</v>
      </c>
      <c r="C21" s="8"/>
      <c r="D21" s="9"/>
      <c r="E21" s="6" t="s">
        <v>5</v>
      </c>
      <c r="F21" s="6" t="s">
        <v>6</v>
      </c>
      <c r="G21" s="6" t="s">
        <v>7</v>
      </c>
      <c r="H21" s="6" t="s">
        <v>8</v>
      </c>
      <c r="I21" s="10" t="s">
        <v>9</v>
      </c>
      <c r="J21" s="9"/>
      <c r="M21" s="25"/>
      <c r="N21" s="25"/>
      <c r="O21" s="25"/>
      <c r="P21" s="25"/>
      <c r="Q21" s="25"/>
      <c r="R21" s="25"/>
      <c r="S21" s="25"/>
      <c r="T21" s="25"/>
      <c r="U21" s="25"/>
    </row>
    <row r="22" ht="14.25" customHeight="1">
      <c r="A22" s="16" t="s">
        <v>12</v>
      </c>
      <c r="B22" s="114" t="s">
        <v>287</v>
      </c>
      <c r="C22" s="18"/>
      <c r="D22" s="20"/>
      <c r="E22" s="115">
        <v>3.0</v>
      </c>
      <c r="F22" s="115">
        <v>10.0</v>
      </c>
      <c r="G22" s="115"/>
      <c r="H22" s="115"/>
      <c r="I22" s="24"/>
      <c r="J22" s="9"/>
      <c r="M22" s="11" t="s">
        <v>66</v>
      </c>
      <c r="N22" s="12"/>
      <c r="O22" s="12"/>
      <c r="P22" s="12"/>
      <c r="Q22" s="12"/>
      <c r="R22" s="12"/>
      <c r="S22" s="12"/>
      <c r="T22" s="12"/>
      <c r="U22" s="12"/>
      <c r="V22" s="12"/>
      <c r="W22" s="13"/>
    </row>
    <row r="23" ht="14.25" customHeight="1">
      <c r="A23" s="16" t="s">
        <v>12</v>
      </c>
      <c r="B23" s="114" t="s">
        <v>288</v>
      </c>
      <c r="C23" s="18"/>
      <c r="D23" s="20"/>
      <c r="E23" s="115">
        <v>3.0</v>
      </c>
      <c r="F23" s="115" t="s">
        <v>289</v>
      </c>
      <c r="G23" s="115"/>
      <c r="H23" s="115"/>
      <c r="I23" s="24"/>
      <c r="J23" s="9"/>
      <c r="M23" s="25"/>
      <c r="N23" s="28" t="s">
        <v>16</v>
      </c>
      <c r="O23" s="28" t="s">
        <v>26</v>
      </c>
      <c r="P23" s="28" t="s">
        <v>27</v>
      </c>
      <c r="Q23" s="28" t="s">
        <v>28</v>
      </c>
      <c r="R23" s="28" t="s">
        <v>29</v>
      </c>
      <c r="S23" s="28" t="s">
        <v>30</v>
      </c>
      <c r="T23" s="28" t="s">
        <v>31</v>
      </c>
      <c r="U23" s="28" t="s">
        <v>32</v>
      </c>
      <c r="V23" s="28" t="s">
        <v>33</v>
      </c>
      <c r="W23" s="28" t="s">
        <v>12</v>
      </c>
    </row>
    <row r="24" ht="14.25" customHeight="1">
      <c r="A24" s="16" t="s">
        <v>12</v>
      </c>
      <c r="B24" s="114" t="s">
        <v>291</v>
      </c>
      <c r="C24" s="18"/>
      <c r="D24" s="20"/>
      <c r="E24" s="115">
        <v>3.0</v>
      </c>
      <c r="F24" s="115">
        <v>10.0</v>
      </c>
      <c r="G24" s="115"/>
      <c r="H24" s="115"/>
      <c r="I24" s="24"/>
      <c r="J24" s="9"/>
      <c r="M24" s="34" t="s">
        <v>36</v>
      </c>
      <c r="N24" s="35">
        <f>SUMIF($A51:$A60,"Pecho",$E51:$E60)</f>
        <v>0</v>
      </c>
      <c r="O24" s="35">
        <f>SUMIF($A51:$A60,"Espalda",$E51:$E60)</f>
        <v>0</v>
      </c>
      <c r="P24" s="35">
        <f>SUMIF($A51:$A60,"Hombros",$E51:$E60)</f>
        <v>0</v>
      </c>
      <c r="Q24" s="35">
        <f>SUMIF($A51:$A60,"Bíceps",$E51:$E60)</f>
        <v>0</v>
      </c>
      <c r="R24" s="35">
        <f>SUMIF($A51:$A60,"Tríceps",$E51:$E60)</f>
        <v>0</v>
      </c>
      <c r="S24" s="35">
        <f>SUMIF($A51:$A60,"Cuádriceps",$E51:$E60)</f>
        <v>0</v>
      </c>
      <c r="T24" s="35">
        <f>SUMIF($A51:$A60,"Isquios",$E51:$E60)</f>
        <v>0</v>
      </c>
      <c r="U24" s="35">
        <f>SUMIF($A51:$A60,"Glúteos",$E51:$E60)</f>
        <v>0</v>
      </c>
      <c r="V24" s="35">
        <f>SUMIF($A51:$A60,"Pantorrillas",$E51:$E60)</f>
        <v>0</v>
      </c>
      <c r="W24" s="35">
        <f>SUMIF($A51:$A60,"Otros",$E51:$E60)</f>
        <v>0</v>
      </c>
    </row>
    <row r="25" ht="14.25" customHeight="1">
      <c r="A25" s="16" t="s">
        <v>31</v>
      </c>
      <c r="B25" s="30" t="s">
        <v>296</v>
      </c>
      <c r="C25" s="18"/>
      <c r="D25" s="20"/>
      <c r="E25" s="27">
        <v>4.0</v>
      </c>
      <c r="F25" s="27">
        <v>10.0</v>
      </c>
      <c r="G25" s="27">
        <v>8.0</v>
      </c>
      <c r="H25" s="27" t="s">
        <v>55</v>
      </c>
      <c r="I25" s="24"/>
      <c r="J25" s="9"/>
      <c r="M25" s="34" t="s">
        <v>7</v>
      </c>
      <c r="N25" s="35" t="str">
        <f>AVERAGEIF($A51:$A60,"Pecho",$G51:$G60)</f>
        <v>#DIV/0!</v>
      </c>
      <c r="O25" s="35" t="str">
        <f>AVERAGEIF($A51:$A60,"Espalda",$G51:$G60)</f>
        <v>#DIV/0!</v>
      </c>
      <c r="P25" s="35" t="str">
        <f>AVERAGEIF($A51:$A60,"Hombros",$G51:$G60)</f>
        <v>#DIV/0!</v>
      </c>
      <c r="Q25" s="35" t="str">
        <f>AVERAGEIF($A51:$A60,"Bíceps",$G51:$G60)</f>
        <v>#DIV/0!</v>
      </c>
      <c r="R25" s="35" t="str">
        <f>AVERAGEIF($A51:$A60,"Tríceps",$G51:$G60)</f>
        <v>#DIV/0!</v>
      </c>
      <c r="S25" s="35" t="str">
        <f>AVERAGEIF($A51:$A60,"Cuádriceps",$G51:$G60)</f>
        <v>#DIV/0!</v>
      </c>
      <c r="T25" s="35" t="str">
        <f>AVERAGEIF($A51:$A60,"Isquios",$G51:$G60)</f>
        <v>#DIV/0!</v>
      </c>
      <c r="U25" s="35" t="str">
        <f>AVERAGEIF($A51:$A60,"Glúteos",$G51:$G60)</f>
        <v>#DIV/0!</v>
      </c>
      <c r="V25" s="35" t="str">
        <f>AVERAGEIF($A51:$A60,"Pantorrillas",$G51:$G60)</f>
        <v>#DIV/0!</v>
      </c>
      <c r="W25" s="35" t="str">
        <f>AVERAGEIF($A51:$A60,"Otros",$G51:$G60)</f>
        <v>#DIV/0!</v>
      </c>
    </row>
    <row r="26" ht="14.25" customHeight="1">
      <c r="A26" s="16" t="s">
        <v>30</v>
      </c>
      <c r="B26" s="30" t="s">
        <v>301</v>
      </c>
      <c r="C26" s="18"/>
      <c r="D26" s="20"/>
      <c r="E26" s="27">
        <v>3.0</v>
      </c>
      <c r="F26" s="27">
        <v>12.0</v>
      </c>
      <c r="G26" s="27"/>
      <c r="H26" s="27"/>
      <c r="I26" s="24"/>
      <c r="J26" s="9"/>
      <c r="M26" s="25"/>
      <c r="N26" s="25"/>
      <c r="O26" s="25"/>
      <c r="P26" s="25"/>
      <c r="Q26" s="25"/>
      <c r="R26" s="25"/>
      <c r="S26" s="25"/>
      <c r="T26" s="25"/>
      <c r="U26" s="25"/>
    </row>
    <row r="27" ht="14.25" customHeight="1">
      <c r="A27" s="16" t="s">
        <v>26</v>
      </c>
      <c r="B27" s="30" t="s">
        <v>303</v>
      </c>
      <c r="C27" s="18"/>
      <c r="D27" s="20"/>
      <c r="E27" s="27">
        <v>4.0</v>
      </c>
      <c r="F27" s="27">
        <v>12.0</v>
      </c>
      <c r="G27" s="27"/>
      <c r="H27" s="27"/>
      <c r="I27" s="24"/>
      <c r="J27" s="9"/>
      <c r="M27" s="11" t="s">
        <v>76</v>
      </c>
      <c r="N27" s="12"/>
      <c r="O27" s="12"/>
      <c r="P27" s="12"/>
      <c r="Q27" s="12"/>
      <c r="R27" s="12"/>
      <c r="S27" s="12"/>
      <c r="T27" s="12"/>
      <c r="U27" s="12"/>
      <c r="V27" s="12"/>
      <c r="W27" s="13"/>
    </row>
    <row r="28" ht="14.25" customHeight="1">
      <c r="A28" s="16" t="s">
        <v>26</v>
      </c>
      <c r="B28" s="30" t="s">
        <v>304</v>
      </c>
      <c r="C28" s="18"/>
      <c r="D28" s="20"/>
      <c r="E28" s="27">
        <v>3.0</v>
      </c>
      <c r="F28" s="27">
        <v>10.0</v>
      </c>
      <c r="G28" s="27"/>
      <c r="H28" s="27"/>
      <c r="I28" s="24"/>
      <c r="J28" s="9"/>
      <c r="M28" s="25"/>
      <c r="N28" s="28" t="s">
        <v>16</v>
      </c>
      <c r="O28" s="28" t="s">
        <v>26</v>
      </c>
      <c r="P28" s="28" t="s">
        <v>27</v>
      </c>
      <c r="Q28" s="28" t="s">
        <v>28</v>
      </c>
      <c r="R28" s="28" t="s">
        <v>29</v>
      </c>
      <c r="S28" s="28" t="s">
        <v>30</v>
      </c>
      <c r="T28" s="28" t="s">
        <v>31</v>
      </c>
      <c r="U28" s="28" t="s">
        <v>32</v>
      </c>
      <c r="V28" s="28" t="s">
        <v>33</v>
      </c>
      <c r="W28" s="28" t="s">
        <v>12</v>
      </c>
    </row>
    <row r="29" ht="14.25" customHeight="1">
      <c r="A29" s="16" t="s">
        <v>32</v>
      </c>
      <c r="B29" s="30" t="s">
        <v>306</v>
      </c>
      <c r="C29" s="18"/>
      <c r="D29" s="20"/>
      <c r="E29" s="27">
        <v>4.0</v>
      </c>
      <c r="F29" s="27">
        <v>10.0</v>
      </c>
      <c r="G29" s="27"/>
      <c r="H29" s="27"/>
      <c r="I29" s="24"/>
      <c r="J29" s="9"/>
      <c r="M29" s="34" t="s">
        <v>36</v>
      </c>
      <c r="N29" s="35">
        <f>SUMIF($A65:$A74,"Pecho",$E65:$E74)</f>
        <v>0</v>
      </c>
      <c r="O29" s="35">
        <f>SUMIF($A65:$A74,"Espalda",$E65:$E74)</f>
        <v>0</v>
      </c>
      <c r="P29" s="35">
        <f>SUMIF($A65:$A74,"Hombros",$E65:$E74)</f>
        <v>0</v>
      </c>
      <c r="Q29" s="35">
        <f>SUMIF($A65:$A74,"Bíceps",$E65:$E74)</f>
        <v>0</v>
      </c>
      <c r="R29" s="35">
        <f>SUMIF($A65:$A74,"Tríceps",$E65:$E74)</f>
        <v>0</v>
      </c>
      <c r="S29" s="35">
        <f>SUMIF($A65:$A74,"Cuádriceps",$E65:$E74)</f>
        <v>0</v>
      </c>
      <c r="T29" s="35">
        <f>SUMIF($A65:$A74,"Isquios",$E65:$E74)</f>
        <v>0</v>
      </c>
      <c r="U29" s="35">
        <f>SUMIF($A65:$A74,"Glúteos",$E65:$E74)</f>
        <v>0</v>
      </c>
      <c r="V29" s="35">
        <f>SUMIF($A65:$A74,"Pantorrillas",$E65:$E74)</f>
        <v>0</v>
      </c>
      <c r="W29" s="35">
        <f>SUMIF($A65:$A74,"Otros",$E65:$E74)</f>
        <v>0</v>
      </c>
    </row>
    <row r="30" ht="14.25" customHeight="1">
      <c r="A30" s="16" t="s">
        <v>27</v>
      </c>
      <c r="B30" s="30" t="s">
        <v>310</v>
      </c>
      <c r="C30" s="18"/>
      <c r="D30" s="20"/>
      <c r="E30" s="27">
        <v>3.0</v>
      </c>
      <c r="F30" s="27">
        <v>10.0</v>
      </c>
      <c r="G30" s="27"/>
      <c r="H30" s="27"/>
      <c r="I30" s="24"/>
      <c r="J30" s="9"/>
      <c r="M30" s="34" t="s">
        <v>7</v>
      </c>
      <c r="N30" s="35" t="str">
        <f>AVERAGEIF($A65:$A74,"Pecho",$G65:$G74)</f>
        <v>#DIV/0!</v>
      </c>
      <c r="O30" s="35" t="str">
        <f>AVERAGEIF($A65:$A74,"Espalda",$G65:$G74)</f>
        <v>#DIV/0!</v>
      </c>
      <c r="P30" s="35" t="str">
        <f>AVERAGEIF($A65:$A74,"Hombros",$G65:$G74)</f>
        <v>#DIV/0!</v>
      </c>
      <c r="Q30" s="35" t="str">
        <f>AVERAGEIF($A65:$A74,"Bíceps",$G65:$G74)</f>
        <v>#DIV/0!</v>
      </c>
      <c r="R30" s="35" t="str">
        <f>AVERAGEIF($A65:$A74,"Tríceps",$G65:$G74)</f>
        <v>#DIV/0!</v>
      </c>
      <c r="S30" s="35" t="str">
        <f>AVERAGEIF($A65:$A74,"Cuádriceps",$G65:$G74)</f>
        <v>#DIV/0!</v>
      </c>
      <c r="T30" s="35" t="str">
        <f>AVERAGEIF($A65:$A74,"Isquios",$G65:$G74)</f>
        <v>#DIV/0!</v>
      </c>
      <c r="U30" s="35" t="str">
        <f>AVERAGEIF($A65:$A74,"Glúteos",$G65:$G74)</f>
        <v>#DIV/0!</v>
      </c>
      <c r="V30" s="35" t="str">
        <f>AVERAGEIF($A65:$A74,"Pantorrillas",$G65:$G74)</f>
        <v>#DIV/0!</v>
      </c>
      <c r="W30" s="35" t="str">
        <f>AVERAGEIF($A65:$A74,"Otros",$G65:$G74)</f>
        <v>#DIV/0!</v>
      </c>
    </row>
    <row r="31" ht="14.25" customHeight="1">
      <c r="A31" s="16" t="s">
        <v>26</v>
      </c>
      <c r="B31" s="118" t="s">
        <v>192</v>
      </c>
      <c r="C31" s="8"/>
      <c r="D31" s="9"/>
      <c r="E31" s="68">
        <v>4.0</v>
      </c>
      <c r="F31" s="68">
        <v>10.0</v>
      </c>
      <c r="G31" s="68"/>
      <c r="H31" s="68"/>
      <c r="I31" s="24"/>
      <c r="J31" s="9"/>
    </row>
    <row r="32" ht="14.25" customHeight="1">
      <c r="A32" s="1" t="s">
        <v>12</v>
      </c>
      <c r="B32" s="119"/>
      <c r="C32" s="120"/>
      <c r="D32" s="120"/>
      <c r="E32" s="121">
        <v>0.0</v>
      </c>
      <c r="F32" s="121">
        <v>12.0</v>
      </c>
      <c r="G32" s="121"/>
      <c r="H32" s="121"/>
      <c r="I32" s="25"/>
      <c r="J32" s="1"/>
    </row>
    <row r="33" ht="14.25" customHeight="1">
      <c r="B33" s="26"/>
      <c r="C33" s="29"/>
      <c r="D33" s="29"/>
    </row>
    <row r="34" ht="14.25" customHeight="1"/>
    <row r="35" ht="14.25" customHeight="1">
      <c r="A35" s="2" t="s">
        <v>57</v>
      </c>
      <c r="B35" s="3"/>
      <c r="C35" s="4"/>
      <c r="J35" s="1"/>
    </row>
    <row r="36" ht="14.25" customHeight="1">
      <c r="A36" s="6" t="s">
        <v>2</v>
      </c>
      <c r="B36" s="10" t="s">
        <v>4</v>
      </c>
      <c r="C36" s="8"/>
      <c r="D36" s="9"/>
      <c r="E36" s="6" t="s">
        <v>5</v>
      </c>
      <c r="F36" s="6" t="s">
        <v>6</v>
      </c>
      <c r="G36" s="6" t="s">
        <v>7</v>
      </c>
      <c r="H36" s="6" t="s">
        <v>8</v>
      </c>
      <c r="I36" s="10" t="s">
        <v>9</v>
      </c>
      <c r="J36" s="9"/>
    </row>
    <row r="37" ht="14.25" customHeight="1">
      <c r="A37" s="122" t="s">
        <v>12</v>
      </c>
      <c r="B37" s="114" t="s">
        <v>318</v>
      </c>
      <c r="C37" s="18"/>
      <c r="D37" s="20"/>
      <c r="E37" s="115">
        <v>3.0</v>
      </c>
      <c r="F37" s="115">
        <v>10.0</v>
      </c>
      <c r="G37" s="115"/>
      <c r="H37" s="115"/>
      <c r="I37" s="24"/>
      <c r="J37" s="9"/>
    </row>
    <row r="38" ht="14.25" customHeight="1">
      <c r="A38" s="122" t="s">
        <v>12</v>
      </c>
      <c r="B38" s="114" t="s">
        <v>320</v>
      </c>
      <c r="C38" s="18"/>
      <c r="D38" s="20"/>
      <c r="E38" s="115">
        <v>3.0</v>
      </c>
      <c r="F38" s="115">
        <v>12.0</v>
      </c>
      <c r="G38" s="115"/>
      <c r="H38" s="115"/>
      <c r="I38" s="24"/>
      <c r="J38" s="9"/>
    </row>
    <row r="39" ht="14.25" customHeight="1">
      <c r="A39" s="122" t="s">
        <v>12</v>
      </c>
      <c r="B39" s="114" t="s">
        <v>322</v>
      </c>
      <c r="C39" s="18"/>
      <c r="D39" s="20"/>
      <c r="E39" s="115">
        <v>3.0</v>
      </c>
      <c r="F39" s="115">
        <v>12.0</v>
      </c>
      <c r="G39" s="115"/>
      <c r="H39" s="115"/>
      <c r="I39" s="24"/>
      <c r="J39" s="9"/>
    </row>
    <row r="40" ht="14.25" customHeight="1">
      <c r="A40" s="16" t="s">
        <v>16</v>
      </c>
      <c r="B40" s="30" t="s">
        <v>323</v>
      </c>
      <c r="C40" s="18"/>
      <c r="D40" s="20"/>
      <c r="E40" s="27">
        <v>4.0</v>
      </c>
      <c r="F40" s="27">
        <v>10.0</v>
      </c>
      <c r="G40" s="27">
        <v>8.0</v>
      </c>
      <c r="H40" s="27" t="s">
        <v>55</v>
      </c>
      <c r="I40" s="24"/>
      <c r="J40" s="9"/>
    </row>
    <row r="41" ht="14.25" customHeight="1">
      <c r="A41" s="16" t="s">
        <v>26</v>
      </c>
      <c r="B41" s="30" t="s">
        <v>326</v>
      </c>
      <c r="C41" s="18"/>
      <c r="D41" s="20"/>
      <c r="E41" s="27">
        <v>4.0</v>
      </c>
      <c r="F41" s="27">
        <v>12.0</v>
      </c>
      <c r="G41" s="27"/>
      <c r="H41" s="27"/>
      <c r="I41" s="24"/>
      <c r="J41" s="9"/>
    </row>
    <row r="42" ht="14.25" customHeight="1">
      <c r="A42" s="68" t="s">
        <v>31</v>
      </c>
      <c r="B42" s="30" t="s">
        <v>328</v>
      </c>
      <c r="C42" s="18"/>
      <c r="D42" s="20"/>
      <c r="E42" s="27">
        <v>4.0</v>
      </c>
      <c r="F42" s="27">
        <v>12.0</v>
      </c>
      <c r="G42" s="27"/>
      <c r="H42" s="27"/>
      <c r="I42" s="24"/>
      <c r="J42" s="9"/>
    </row>
    <row r="43" ht="14.25" customHeight="1">
      <c r="A43" s="68" t="s">
        <v>30</v>
      </c>
      <c r="B43" s="30" t="s">
        <v>332</v>
      </c>
      <c r="C43" s="18"/>
      <c r="D43" s="20"/>
      <c r="E43" s="27">
        <v>4.0</v>
      </c>
      <c r="F43" s="27">
        <v>10.0</v>
      </c>
      <c r="G43" s="27"/>
      <c r="H43" s="27"/>
      <c r="I43" s="24"/>
      <c r="J43" s="9"/>
    </row>
    <row r="44" ht="14.25" customHeight="1">
      <c r="A44" s="16" t="s">
        <v>28</v>
      </c>
      <c r="B44" s="30" t="s">
        <v>334</v>
      </c>
      <c r="C44" s="18"/>
      <c r="D44" s="20"/>
      <c r="E44" s="27">
        <v>4.0</v>
      </c>
      <c r="F44" s="27">
        <v>10.0</v>
      </c>
      <c r="G44" s="27"/>
      <c r="H44" s="27"/>
      <c r="I44" s="24"/>
      <c r="J44" s="9"/>
    </row>
    <row r="45" ht="14.25" customHeight="1">
      <c r="A45" s="16" t="s">
        <v>27</v>
      </c>
      <c r="B45" s="30" t="s">
        <v>337</v>
      </c>
      <c r="C45" s="18"/>
      <c r="D45" s="20"/>
      <c r="E45" s="27">
        <v>3.0</v>
      </c>
      <c r="F45" s="27">
        <v>12.0</v>
      </c>
      <c r="G45" s="27"/>
      <c r="H45" s="27"/>
      <c r="I45" s="24"/>
      <c r="J45" s="9"/>
    </row>
    <row r="46" ht="14.25" customHeight="1">
      <c r="A46" s="16" t="s">
        <v>32</v>
      </c>
      <c r="B46" s="60" t="s">
        <v>339</v>
      </c>
      <c r="C46" s="8"/>
      <c r="D46" s="9"/>
      <c r="E46" s="27">
        <v>3.0</v>
      </c>
      <c r="F46" s="27">
        <v>12.0</v>
      </c>
      <c r="G46" s="27"/>
      <c r="H46" s="27"/>
      <c r="I46" s="24"/>
      <c r="J46" s="9"/>
    </row>
    <row r="47" ht="14.25" customHeight="1">
      <c r="B47" s="26"/>
      <c r="C47" s="29"/>
      <c r="D47" s="29"/>
    </row>
    <row r="48" ht="14.25" customHeight="1"/>
    <row r="49" ht="14.25" customHeight="1">
      <c r="A49" s="2" t="s">
        <v>66</v>
      </c>
      <c r="B49" s="3"/>
      <c r="C49" s="4"/>
      <c r="J49" s="1"/>
    </row>
    <row r="50" ht="14.25" customHeight="1">
      <c r="A50" s="6" t="s">
        <v>2</v>
      </c>
      <c r="B50" s="10" t="s">
        <v>4</v>
      </c>
      <c r="C50" s="8"/>
      <c r="D50" s="9"/>
      <c r="E50" s="6" t="s">
        <v>5</v>
      </c>
      <c r="F50" s="6" t="s">
        <v>6</v>
      </c>
      <c r="G50" s="6" t="s">
        <v>7</v>
      </c>
      <c r="H50" s="6" t="s">
        <v>8</v>
      </c>
      <c r="I50" s="10" t="s">
        <v>9</v>
      </c>
      <c r="J50" s="9"/>
    </row>
    <row r="51" ht="14.25" customHeight="1">
      <c r="A51" s="16"/>
      <c r="B51" s="26"/>
      <c r="C51" s="29"/>
      <c r="D51" s="29"/>
      <c r="E51" s="16"/>
      <c r="F51" s="16"/>
      <c r="G51" s="16"/>
      <c r="H51" s="16"/>
      <c r="I51" s="24"/>
      <c r="J51" s="9"/>
    </row>
    <row r="52" ht="14.25" customHeight="1">
      <c r="A52" s="16"/>
      <c r="B52" s="26"/>
      <c r="C52" s="29"/>
      <c r="D52" s="29"/>
      <c r="E52" s="16"/>
      <c r="F52" s="16"/>
      <c r="G52" s="16"/>
      <c r="H52" s="16"/>
      <c r="I52" s="24"/>
      <c r="J52" s="9"/>
    </row>
    <row r="53" ht="14.25" customHeight="1">
      <c r="A53" s="16" t="s">
        <v>12</v>
      </c>
      <c r="B53" s="26" t="s">
        <v>329</v>
      </c>
      <c r="C53" s="29"/>
      <c r="D53" s="29"/>
      <c r="E53" s="16"/>
      <c r="F53" s="16">
        <v>10.0</v>
      </c>
      <c r="G53" s="16"/>
      <c r="H53" s="16"/>
      <c r="I53" s="24"/>
      <c r="J53" s="9"/>
    </row>
    <row r="54" ht="14.25" customHeight="1">
      <c r="A54" s="16" t="s">
        <v>31</v>
      </c>
      <c r="B54" s="30" t="s">
        <v>331</v>
      </c>
      <c r="C54" s="18"/>
      <c r="D54" s="20"/>
      <c r="E54" s="27"/>
      <c r="F54" s="27">
        <v>10.0</v>
      </c>
      <c r="G54" s="27"/>
      <c r="H54" s="27"/>
      <c r="I54" s="24"/>
      <c r="J54" s="9"/>
    </row>
    <row r="55" ht="14.25" customHeight="1">
      <c r="A55" s="16" t="s">
        <v>32</v>
      </c>
      <c r="B55" s="30" t="s">
        <v>333</v>
      </c>
      <c r="C55" s="18"/>
      <c r="D55" s="20"/>
      <c r="E55" s="27"/>
      <c r="F55" s="27" t="s">
        <v>278</v>
      </c>
      <c r="G55" s="27"/>
      <c r="H55" s="27"/>
      <c r="I55" s="24"/>
      <c r="J55" s="9"/>
    </row>
    <row r="56" ht="14.25" customHeight="1">
      <c r="A56" s="16" t="s">
        <v>26</v>
      </c>
      <c r="B56" s="30" t="s">
        <v>335</v>
      </c>
      <c r="C56" s="18"/>
      <c r="D56" s="20"/>
      <c r="E56" s="27"/>
      <c r="F56" s="27">
        <v>8.0</v>
      </c>
      <c r="G56" s="27"/>
      <c r="H56" s="27"/>
      <c r="I56" s="24"/>
      <c r="J56" s="9"/>
    </row>
    <row r="57" ht="14.25" customHeight="1">
      <c r="A57" s="16" t="s">
        <v>32</v>
      </c>
      <c r="B57" s="30" t="s">
        <v>338</v>
      </c>
      <c r="C57" s="18"/>
      <c r="D57" s="20"/>
      <c r="E57" s="27"/>
      <c r="F57" s="27">
        <v>8.0</v>
      </c>
      <c r="G57" s="27"/>
      <c r="H57" s="27"/>
      <c r="I57" s="24"/>
      <c r="J57" s="9"/>
    </row>
    <row r="58" ht="14.25" customHeight="1">
      <c r="A58" s="16" t="s">
        <v>26</v>
      </c>
      <c r="B58" s="30" t="s">
        <v>340</v>
      </c>
      <c r="C58" s="18"/>
      <c r="D58" s="20"/>
      <c r="E58" s="27"/>
      <c r="F58" s="27">
        <v>10.0</v>
      </c>
      <c r="G58" s="27"/>
      <c r="H58" s="27"/>
      <c r="I58" s="24"/>
      <c r="J58" s="9"/>
    </row>
    <row r="59" ht="14.25" customHeight="1">
      <c r="A59" s="16" t="s">
        <v>28</v>
      </c>
      <c r="B59" s="30" t="s">
        <v>341</v>
      </c>
      <c r="C59" s="18"/>
      <c r="D59" s="20"/>
      <c r="E59" s="27"/>
      <c r="F59" s="27"/>
      <c r="G59" s="27"/>
      <c r="H59" s="27"/>
      <c r="I59" s="24"/>
      <c r="J59" s="9"/>
    </row>
    <row r="60" ht="14.25" customHeight="1">
      <c r="A60" s="16" t="s">
        <v>33</v>
      </c>
      <c r="B60" s="60" t="s">
        <v>342</v>
      </c>
      <c r="C60" s="8"/>
      <c r="D60" s="9"/>
      <c r="E60" s="27"/>
      <c r="F60" s="27">
        <v>10.0</v>
      </c>
      <c r="G60" s="27"/>
      <c r="H60" s="27"/>
      <c r="I60" s="24"/>
      <c r="J60" s="9"/>
    </row>
    <row r="61" ht="14.25" customHeight="1">
      <c r="B61" s="26"/>
      <c r="C61" s="29"/>
      <c r="D61" s="29"/>
    </row>
    <row r="62" ht="14.25" customHeight="1"/>
    <row r="63" ht="14.25" customHeight="1">
      <c r="A63" s="2" t="s">
        <v>76</v>
      </c>
      <c r="B63" s="3"/>
      <c r="C63" s="4"/>
      <c r="J63" s="1"/>
    </row>
    <row r="64" ht="14.25" customHeight="1">
      <c r="A64" s="6" t="s">
        <v>2</v>
      </c>
      <c r="B64" s="10" t="s">
        <v>4</v>
      </c>
      <c r="C64" s="8"/>
      <c r="D64" s="9"/>
      <c r="E64" s="6" t="s">
        <v>5</v>
      </c>
      <c r="F64" s="6" t="s">
        <v>6</v>
      </c>
      <c r="G64" s="6" t="s">
        <v>7</v>
      </c>
      <c r="H64" s="6" t="s">
        <v>8</v>
      </c>
      <c r="I64" s="10" t="s">
        <v>9</v>
      </c>
      <c r="J64" s="9"/>
    </row>
    <row r="65" ht="14.25" customHeight="1">
      <c r="A65" s="16"/>
      <c r="B65" s="26"/>
      <c r="C65" s="29"/>
      <c r="D65" s="29"/>
      <c r="E65" s="16"/>
      <c r="F65" s="16"/>
      <c r="G65" s="16"/>
      <c r="H65" s="16"/>
      <c r="I65" s="24"/>
      <c r="J65" s="9"/>
    </row>
    <row r="66" ht="14.25" customHeight="1">
      <c r="A66" s="16"/>
      <c r="B66" s="26"/>
      <c r="C66" s="29"/>
      <c r="D66" s="29"/>
      <c r="E66" s="16"/>
      <c r="F66" s="16"/>
      <c r="G66" s="16"/>
      <c r="H66" s="16"/>
      <c r="I66" s="24"/>
      <c r="J66" s="9"/>
    </row>
    <row r="67" ht="14.25" customHeight="1">
      <c r="A67" s="16"/>
      <c r="B67" s="26"/>
      <c r="C67" s="29"/>
      <c r="D67" s="29"/>
      <c r="E67" s="16"/>
      <c r="F67" s="16"/>
      <c r="G67" s="16"/>
      <c r="H67" s="16"/>
      <c r="I67" s="24"/>
      <c r="J67" s="9"/>
    </row>
    <row r="68" ht="14.25" customHeight="1">
      <c r="A68" s="16"/>
      <c r="B68" s="26"/>
      <c r="C68" s="29"/>
      <c r="D68" s="29"/>
      <c r="E68" s="16"/>
      <c r="F68" s="16"/>
      <c r="G68" s="16"/>
      <c r="H68" s="16"/>
      <c r="I68" s="24"/>
      <c r="J68" s="9"/>
    </row>
    <row r="69" ht="14.25" customHeight="1">
      <c r="A69" s="16"/>
      <c r="B69" s="26"/>
      <c r="C69" s="29"/>
      <c r="D69" s="29"/>
      <c r="E69" s="16"/>
      <c r="F69" s="16"/>
      <c r="G69" s="16"/>
      <c r="H69" s="16"/>
      <c r="I69" s="24"/>
      <c r="J69" s="9"/>
    </row>
    <row r="70" ht="14.25" customHeight="1">
      <c r="A70" s="16"/>
      <c r="B70" s="26"/>
      <c r="C70" s="29"/>
      <c r="D70" s="29"/>
      <c r="E70" s="16"/>
      <c r="F70" s="16"/>
      <c r="G70" s="16"/>
      <c r="H70" s="16"/>
      <c r="I70" s="24"/>
      <c r="J70" s="9"/>
    </row>
    <row r="71" ht="14.25" customHeight="1">
      <c r="A71" s="16"/>
      <c r="B71" s="26"/>
      <c r="C71" s="29"/>
      <c r="D71" s="29"/>
      <c r="E71" s="16"/>
      <c r="F71" s="16"/>
      <c r="G71" s="16"/>
      <c r="H71" s="16"/>
      <c r="I71" s="24"/>
      <c r="J71" s="9"/>
    </row>
    <row r="72" ht="14.25" customHeight="1">
      <c r="A72" s="16"/>
      <c r="B72" s="26"/>
      <c r="C72" s="29"/>
      <c r="D72" s="29"/>
      <c r="E72" s="16"/>
      <c r="F72" s="16"/>
      <c r="G72" s="16"/>
      <c r="H72" s="16"/>
      <c r="I72" s="24"/>
      <c r="J72" s="9"/>
    </row>
    <row r="73" ht="14.25" customHeight="1">
      <c r="A73" s="16"/>
      <c r="B73" s="26"/>
      <c r="C73" s="29"/>
      <c r="D73" s="29"/>
      <c r="E73" s="16"/>
      <c r="F73" s="16"/>
      <c r="G73" s="16"/>
      <c r="H73" s="16"/>
      <c r="I73" s="24"/>
      <c r="J73" s="9"/>
    </row>
    <row r="74" ht="14.25" customHeight="1">
      <c r="A74" s="16"/>
      <c r="B74" s="58"/>
      <c r="C74" s="8"/>
      <c r="D74" s="9"/>
      <c r="E74" s="16"/>
      <c r="F74" s="16"/>
      <c r="G74" s="16"/>
      <c r="H74" s="16"/>
      <c r="I74" s="24"/>
      <c r="J74" s="9"/>
    </row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5">
    <mergeCell ref="I26:J26"/>
    <mergeCell ref="I27:J27"/>
    <mergeCell ref="I11:J11"/>
    <mergeCell ref="I13:J13"/>
    <mergeCell ref="I21:J21"/>
    <mergeCell ref="I22:J22"/>
    <mergeCell ref="I23:J23"/>
    <mergeCell ref="I24:J24"/>
    <mergeCell ref="I25:J25"/>
    <mergeCell ref="B26:D26"/>
    <mergeCell ref="B27:D27"/>
    <mergeCell ref="M27:W27"/>
    <mergeCell ref="I28:J28"/>
    <mergeCell ref="B28:D28"/>
    <mergeCell ref="B29:D29"/>
    <mergeCell ref="I29:J29"/>
    <mergeCell ref="B30:D30"/>
    <mergeCell ref="I30:J30"/>
    <mergeCell ref="B31:D31"/>
    <mergeCell ref="I31:J31"/>
    <mergeCell ref="A6:C6"/>
    <mergeCell ref="B7:D7"/>
    <mergeCell ref="I7:J7"/>
    <mergeCell ref="M7:W7"/>
    <mergeCell ref="Z7:AB7"/>
    <mergeCell ref="B8:D8"/>
    <mergeCell ref="B9:D9"/>
    <mergeCell ref="I12:J12"/>
    <mergeCell ref="M12:W12"/>
    <mergeCell ref="I8:J8"/>
    <mergeCell ref="I9:J9"/>
    <mergeCell ref="B10:D10"/>
    <mergeCell ref="I10:J10"/>
    <mergeCell ref="B11:D11"/>
    <mergeCell ref="B12:D12"/>
    <mergeCell ref="B13:D13"/>
    <mergeCell ref="I17:J17"/>
    <mergeCell ref="M17:W17"/>
    <mergeCell ref="M22:W22"/>
    <mergeCell ref="B14:D14"/>
    <mergeCell ref="I14:J14"/>
    <mergeCell ref="B15:D15"/>
    <mergeCell ref="I15:J15"/>
    <mergeCell ref="B16:D16"/>
    <mergeCell ref="I16:J16"/>
    <mergeCell ref="B17:D17"/>
    <mergeCell ref="B18:D18"/>
    <mergeCell ref="A20:C20"/>
    <mergeCell ref="B21:D21"/>
    <mergeCell ref="B22:D22"/>
    <mergeCell ref="B23:D23"/>
    <mergeCell ref="B24:D24"/>
    <mergeCell ref="B25:D25"/>
    <mergeCell ref="I39:J39"/>
    <mergeCell ref="I40:J40"/>
    <mergeCell ref="A49:C49"/>
    <mergeCell ref="B50:D50"/>
    <mergeCell ref="I50:J50"/>
    <mergeCell ref="B51:D51"/>
    <mergeCell ref="I51:J51"/>
    <mergeCell ref="B52:D52"/>
    <mergeCell ref="B53:D53"/>
    <mergeCell ref="B54:D54"/>
    <mergeCell ref="I54:J54"/>
    <mergeCell ref="B55:D55"/>
    <mergeCell ref="I55:J55"/>
    <mergeCell ref="B56:D56"/>
    <mergeCell ref="I56:J56"/>
    <mergeCell ref="I57:J57"/>
    <mergeCell ref="I68:J68"/>
    <mergeCell ref="I69:J69"/>
    <mergeCell ref="I58:J58"/>
    <mergeCell ref="I59:J59"/>
    <mergeCell ref="I60:J60"/>
    <mergeCell ref="I64:J64"/>
    <mergeCell ref="I65:J65"/>
    <mergeCell ref="I66:J66"/>
    <mergeCell ref="I67:J67"/>
    <mergeCell ref="B33:D33"/>
    <mergeCell ref="A35:C35"/>
    <mergeCell ref="B36:D36"/>
    <mergeCell ref="I36:J36"/>
    <mergeCell ref="B37:D37"/>
    <mergeCell ref="I37:J37"/>
    <mergeCell ref="I38:J38"/>
    <mergeCell ref="I42:J42"/>
    <mergeCell ref="I43:J43"/>
    <mergeCell ref="B38:D38"/>
    <mergeCell ref="B39:D39"/>
    <mergeCell ref="B40:D40"/>
    <mergeCell ref="B41:D41"/>
    <mergeCell ref="I41:J41"/>
    <mergeCell ref="B42:D42"/>
    <mergeCell ref="B43:D43"/>
    <mergeCell ref="B44:D44"/>
    <mergeCell ref="I44:J44"/>
    <mergeCell ref="B45:D45"/>
    <mergeCell ref="I45:J45"/>
    <mergeCell ref="B46:D46"/>
    <mergeCell ref="I46:J46"/>
    <mergeCell ref="B47:D47"/>
    <mergeCell ref="I52:J52"/>
    <mergeCell ref="I53:J53"/>
    <mergeCell ref="I70:J70"/>
    <mergeCell ref="I71:J71"/>
    <mergeCell ref="I72:J72"/>
    <mergeCell ref="I73:J73"/>
    <mergeCell ref="I74:J74"/>
    <mergeCell ref="B57:D57"/>
    <mergeCell ref="B58:D58"/>
    <mergeCell ref="B59:D59"/>
    <mergeCell ref="B60:D60"/>
    <mergeCell ref="B61:D61"/>
    <mergeCell ref="A63:C63"/>
    <mergeCell ref="B64:D64"/>
    <mergeCell ref="B72:D72"/>
    <mergeCell ref="B73:D73"/>
    <mergeCell ref="B74:D74"/>
    <mergeCell ref="B65:D65"/>
    <mergeCell ref="B66:D66"/>
    <mergeCell ref="B67:D67"/>
    <mergeCell ref="B68:D68"/>
    <mergeCell ref="B69:D69"/>
    <mergeCell ref="B70:D70"/>
    <mergeCell ref="B71:D71"/>
  </mergeCells>
  <dataValidations>
    <dataValidation type="list" allowBlank="1" showErrorMessage="1" sqref="A8:A17 A22:A32 A37:A46 A51:A60 A65:A74">
      <formula1>Datos!$D$2:$D$11</formula1>
    </dataValidation>
    <dataValidation type="list" allowBlank="1" showErrorMessage="1" sqref="J5">
      <formula1>Datos!$B$2:$B$12</formula1>
    </dataValidation>
    <dataValidation type="list" allowBlank="1" showErrorMessage="1" sqref="J6 J20 J35 J49 J63">
      <formula1>Datos!$D$2:$D$14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10.71"/>
    <col customWidth="1" min="24" max="24" width="7.86"/>
    <col customWidth="1" min="25" max="25" width="15.43"/>
    <col customWidth="1" min="26" max="28" width="10.71"/>
  </cols>
  <sheetData>
    <row r="1" ht="14.25" customHeight="1"/>
    <row r="2" ht="14.25" customHeight="1"/>
    <row r="3" ht="14.25" customHeight="1"/>
    <row r="4" ht="14.25" customHeight="1"/>
    <row r="5" ht="14.25" customHeight="1">
      <c r="J5" s="1"/>
    </row>
    <row r="6" ht="14.25" customHeight="1">
      <c r="A6" s="2" t="s">
        <v>0</v>
      </c>
      <c r="B6" s="3"/>
      <c r="C6" s="4"/>
      <c r="J6" s="1"/>
    </row>
    <row r="7" ht="14.25" customHeight="1">
      <c r="A7" s="6" t="s">
        <v>2</v>
      </c>
      <c r="B7" s="10" t="s">
        <v>4</v>
      </c>
      <c r="C7" s="8"/>
      <c r="D7" s="9"/>
      <c r="E7" s="6" t="s">
        <v>5</v>
      </c>
      <c r="F7" s="6" t="s">
        <v>6</v>
      </c>
      <c r="G7" s="6" t="s">
        <v>7</v>
      </c>
      <c r="H7" s="6" t="s">
        <v>8</v>
      </c>
      <c r="I7" s="10" t="s">
        <v>9</v>
      </c>
      <c r="J7" s="9"/>
      <c r="M7" s="11" t="s">
        <v>0</v>
      </c>
      <c r="N7" s="12"/>
      <c r="O7" s="12"/>
      <c r="P7" s="12"/>
      <c r="Q7" s="12"/>
      <c r="R7" s="12"/>
      <c r="S7" s="12"/>
      <c r="T7" s="12"/>
      <c r="U7" s="12"/>
      <c r="V7" s="12"/>
      <c r="W7" s="13"/>
      <c r="Y7" s="1"/>
      <c r="Z7" s="14" t="s">
        <v>10</v>
      </c>
      <c r="AA7" s="12"/>
      <c r="AB7" s="13"/>
    </row>
    <row r="8" ht="14.25" customHeight="1">
      <c r="A8" s="16" t="s">
        <v>12</v>
      </c>
      <c r="B8" s="110" t="s">
        <v>268</v>
      </c>
      <c r="C8" s="18"/>
      <c r="D8" s="20"/>
      <c r="E8" s="111">
        <v>3.0</v>
      </c>
      <c r="F8" s="111">
        <v>10.0</v>
      </c>
      <c r="G8" s="111"/>
      <c r="H8" s="111"/>
      <c r="I8" s="24"/>
      <c r="J8" s="9"/>
      <c r="M8" s="25"/>
      <c r="N8" s="28" t="s">
        <v>16</v>
      </c>
      <c r="O8" s="28" t="s">
        <v>26</v>
      </c>
      <c r="P8" s="28" t="s">
        <v>27</v>
      </c>
      <c r="Q8" s="28" t="s">
        <v>28</v>
      </c>
      <c r="R8" s="28" t="s">
        <v>29</v>
      </c>
      <c r="S8" s="28" t="s">
        <v>30</v>
      </c>
      <c r="T8" s="28" t="s">
        <v>31</v>
      </c>
      <c r="U8" s="28" t="s">
        <v>32</v>
      </c>
      <c r="V8" s="28" t="s">
        <v>33</v>
      </c>
      <c r="W8" s="28" t="s">
        <v>12</v>
      </c>
      <c r="Z8" s="28" t="s">
        <v>16</v>
      </c>
      <c r="AA8" s="1">
        <f>SUM(N9,N14,N19,N24,N29)</f>
        <v>11</v>
      </c>
    </row>
    <row r="9" ht="14.25" customHeight="1">
      <c r="A9" s="16" t="s">
        <v>12</v>
      </c>
      <c r="B9" s="110" t="s">
        <v>269</v>
      </c>
      <c r="C9" s="18"/>
      <c r="D9" s="20"/>
      <c r="E9" s="111">
        <v>3.0</v>
      </c>
      <c r="F9" s="111">
        <v>10.0</v>
      </c>
      <c r="G9" s="111"/>
      <c r="H9" s="111"/>
      <c r="I9" s="24"/>
      <c r="J9" s="9"/>
      <c r="M9" s="34" t="s">
        <v>36</v>
      </c>
      <c r="N9" s="37">
        <f>SUMIF(A8:A17,"Pecho",E8:E17)</f>
        <v>0</v>
      </c>
      <c r="O9" s="37">
        <f>SUMIF(A8:A17,"Espalda",E8:E17)</f>
        <v>7</v>
      </c>
      <c r="P9" s="37">
        <f>SUMIF($A8:$A17,"Hombros",$E8:$E17)</f>
        <v>0</v>
      </c>
      <c r="Q9" s="37">
        <f>SUMIF($A8:$A17,"Bíceps",$E8:$E17)</f>
        <v>0</v>
      </c>
      <c r="R9" s="37">
        <f>SUMIF($A8:$A17,"Tríceps",$E8:$E17)</f>
        <v>0</v>
      </c>
      <c r="S9" s="38">
        <f>SUMIF(A8:A17,"Cuádriceps",E8:E17)</f>
        <v>3</v>
      </c>
      <c r="T9" s="37">
        <f>SUMIF($A8:$A17,"Isquios",$E8:$E17)</f>
        <v>4</v>
      </c>
      <c r="U9" s="37">
        <f>SUMIF($A8:$A17,"Glúteos",$E8:$E17)</f>
        <v>7</v>
      </c>
      <c r="V9" s="37">
        <f>SUMIF($A8:$A17,"Pantorrillas",$E8:$E17)</f>
        <v>0</v>
      </c>
      <c r="W9" s="37">
        <f>SUMIF($A8:$A17,"Otros",$E8:$E17)</f>
        <v>12</v>
      </c>
      <c r="Z9" s="28" t="s">
        <v>26</v>
      </c>
      <c r="AA9" s="1">
        <f>SUM(O9,O14,O19,O24,O29)</f>
        <v>7</v>
      </c>
    </row>
    <row r="10" ht="14.25" customHeight="1">
      <c r="A10" s="16" t="s">
        <v>12</v>
      </c>
      <c r="B10" s="110" t="s">
        <v>274</v>
      </c>
      <c r="C10" s="18"/>
      <c r="D10" s="20"/>
      <c r="E10" s="111">
        <v>3.0</v>
      </c>
      <c r="F10" s="111">
        <v>10.0</v>
      </c>
      <c r="G10" s="111"/>
      <c r="H10" s="111"/>
      <c r="I10" s="24"/>
      <c r="J10" s="9"/>
      <c r="M10" s="34" t="s">
        <v>7</v>
      </c>
      <c r="N10" s="35" t="str">
        <f>AVERAGEIF($A8:$A17,"Pecho",$G8:$G17)</f>
        <v>#DIV/0!</v>
      </c>
      <c r="O10" s="35" t="str">
        <f>AVERAGEIF($A8:$A17,"Espalda",$G8:$G17)</f>
        <v>#DIV/0!</v>
      </c>
      <c r="P10" s="35" t="str">
        <f>AVERAGEIF($A8:$A17,"Hombros",$G8:$G17)</f>
        <v>#DIV/0!</v>
      </c>
      <c r="Q10" s="35" t="str">
        <f>AVERAGEIF($A8:$A17,"Bíceps",$G8:$G17)</f>
        <v>#DIV/0!</v>
      </c>
      <c r="R10" s="35" t="str">
        <f>AVERAGEIF($A8:$A17,"Tríceps",$G8:$G17)</f>
        <v>#DIV/0!</v>
      </c>
      <c r="S10" s="35" t="str">
        <f>AVERAGEIF($A8:$A17,"Cuádriceps",$G8:$G17)</f>
        <v>#DIV/0!</v>
      </c>
      <c r="T10" s="35" t="str">
        <f>AVERAGEIF($A8:$A17,"Isquios",$G8:$G17)</f>
        <v>#DIV/0!</v>
      </c>
      <c r="U10" s="35">
        <f>AVERAGEIF($A8:$A17,"Glúteos",$G8:$G17)</f>
        <v>8</v>
      </c>
      <c r="V10" s="35" t="str">
        <f>AVERAGEIF($A8:$A17,"Pantorrillas",$G8:$G17)</f>
        <v>#DIV/0!</v>
      </c>
      <c r="W10" s="35" t="str">
        <f>AVERAGEIF($A8:$A17,"Otros",$G8:$G17)</f>
        <v>#DIV/0!</v>
      </c>
      <c r="Z10" s="28" t="s">
        <v>27</v>
      </c>
      <c r="AA10" s="1">
        <f>SUM(P9,P14,P19,P24,P29)</f>
        <v>7</v>
      </c>
    </row>
    <row r="11" ht="14.25" customHeight="1">
      <c r="A11" s="16" t="s">
        <v>32</v>
      </c>
      <c r="B11" s="30" t="s">
        <v>277</v>
      </c>
      <c r="C11" s="18"/>
      <c r="D11" s="20"/>
      <c r="E11" s="27">
        <v>4.0</v>
      </c>
      <c r="F11" s="27" t="s">
        <v>278</v>
      </c>
      <c r="G11" s="27">
        <v>8.0</v>
      </c>
      <c r="H11" s="27" t="s">
        <v>55</v>
      </c>
      <c r="I11" s="24"/>
      <c r="J11" s="9"/>
      <c r="M11" s="25"/>
      <c r="N11" s="25"/>
      <c r="O11" s="25"/>
      <c r="P11" s="25"/>
      <c r="Q11" s="25"/>
      <c r="R11" s="25"/>
      <c r="S11" s="25"/>
      <c r="T11" s="25"/>
      <c r="U11" s="25"/>
      <c r="Z11" s="28" t="s">
        <v>28</v>
      </c>
      <c r="AA11" s="1">
        <f>SUM(Q9,Q14,Q19,Q24,Q29)</f>
        <v>0</v>
      </c>
    </row>
    <row r="12" ht="14.25" customHeight="1">
      <c r="A12" s="16" t="s">
        <v>32</v>
      </c>
      <c r="B12" s="30" t="s">
        <v>280</v>
      </c>
      <c r="C12" s="18"/>
      <c r="D12" s="20"/>
      <c r="E12" s="27">
        <v>3.0</v>
      </c>
      <c r="F12" s="27">
        <v>10.0</v>
      </c>
      <c r="G12" s="27"/>
      <c r="H12" s="27"/>
      <c r="I12" s="24"/>
      <c r="J12" s="9"/>
      <c r="M12" s="11" t="s">
        <v>45</v>
      </c>
      <c r="N12" s="12"/>
      <c r="O12" s="12"/>
      <c r="P12" s="12"/>
      <c r="Q12" s="12"/>
      <c r="R12" s="12"/>
      <c r="S12" s="12"/>
      <c r="T12" s="12"/>
      <c r="U12" s="12"/>
      <c r="V12" s="12"/>
      <c r="W12" s="13"/>
      <c r="Z12" s="28" t="s">
        <v>29</v>
      </c>
      <c r="AA12" s="1">
        <f>SUM(R9,R14,R19,R24,R29)</f>
        <v>4</v>
      </c>
    </row>
    <row r="13" ht="14.25" customHeight="1">
      <c r="A13" s="16" t="s">
        <v>26</v>
      </c>
      <c r="B13" s="108" t="s">
        <v>281</v>
      </c>
      <c r="C13" s="18"/>
      <c r="D13" s="20"/>
      <c r="E13" s="109">
        <v>4.0</v>
      </c>
      <c r="F13" s="109">
        <v>12.0</v>
      </c>
      <c r="G13" s="109"/>
      <c r="H13" s="109"/>
      <c r="I13" s="24"/>
      <c r="J13" s="9"/>
      <c r="M13" s="25"/>
      <c r="N13" s="28" t="s">
        <v>16</v>
      </c>
      <c r="O13" s="28" t="s">
        <v>26</v>
      </c>
      <c r="P13" s="28" t="s">
        <v>27</v>
      </c>
      <c r="Q13" s="28" t="s">
        <v>28</v>
      </c>
      <c r="R13" s="28" t="s">
        <v>29</v>
      </c>
      <c r="S13" s="28" t="s">
        <v>30</v>
      </c>
      <c r="T13" s="28" t="s">
        <v>31</v>
      </c>
      <c r="U13" s="28" t="s">
        <v>32</v>
      </c>
      <c r="V13" s="28" t="s">
        <v>33</v>
      </c>
      <c r="W13" s="28" t="s">
        <v>12</v>
      </c>
      <c r="Z13" s="28" t="s">
        <v>30</v>
      </c>
      <c r="AA13" s="1">
        <f>SUM(S9,S14,S19,S24,S29)</f>
        <v>17</v>
      </c>
    </row>
    <row r="14" ht="14.25" customHeight="1">
      <c r="A14" s="16" t="s">
        <v>31</v>
      </c>
      <c r="B14" s="108" t="s">
        <v>285</v>
      </c>
      <c r="C14" s="18"/>
      <c r="D14" s="20"/>
      <c r="E14" s="109">
        <v>4.0</v>
      </c>
      <c r="F14" s="109">
        <v>15.0</v>
      </c>
      <c r="G14" s="109"/>
      <c r="H14" s="109"/>
      <c r="I14" s="24"/>
      <c r="J14" s="9"/>
      <c r="M14" s="34" t="s">
        <v>36</v>
      </c>
      <c r="N14" s="35">
        <f>SUMIF($A22:$A31,"Pecho",$E22:$E31)</f>
        <v>3</v>
      </c>
      <c r="O14" s="35">
        <f>SUMIF($A22:$A31,"Espalda",$E22:$E31)</f>
        <v>0</v>
      </c>
      <c r="P14" s="35">
        <f>SUMIF($A22:$A31,"Hombros",$E22:$E31)</f>
        <v>7</v>
      </c>
      <c r="Q14" s="35">
        <f>SUMIF($A22:$A31,"Bíceps",$E22:$E31)</f>
        <v>0</v>
      </c>
      <c r="R14" s="35">
        <f>SUMIF($A22:$A31,"Tríceps",$E22:$E31)</f>
        <v>4</v>
      </c>
      <c r="S14" s="35">
        <f>SUMIF($A22:$A31,"Cuádriceps",$E22:$E31)</f>
        <v>7</v>
      </c>
      <c r="T14" s="35">
        <f>SUMIF($A22:$A31,"Isquios",$E22:$E31)</f>
        <v>3</v>
      </c>
      <c r="U14" s="35">
        <f>SUMIF($A22:$A31,"Glúteos",$E22:$E31)</f>
        <v>0</v>
      </c>
      <c r="V14" s="35">
        <f>SUMIF($A22:$A31,"Pantorrillas",$E22:$E31)</f>
        <v>0</v>
      </c>
      <c r="W14" s="35">
        <f>SUMIF($A22:$A31,"Otros",$E22:$E31)</f>
        <v>9</v>
      </c>
      <c r="Z14" s="28" t="s">
        <v>31</v>
      </c>
      <c r="AA14" s="1">
        <f>SUM(T9,T14,T19,T24,T29)</f>
        <v>10</v>
      </c>
    </row>
    <row r="15" ht="14.25" customHeight="1">
      <c r="A15" s="16" t="s">
        <v>30</v>
      </c>
      <c r="B15" s="30" t="s">
        <v>290</v>
      </c>
      <c r="C15" s="18"/>
      <c r="D15" s="20"/>
      <c r="E15" s="27">
        <v>3.0</v>
      </c>
      <c r="F15" s="27">
        <v>12.0</v>
      </c>
      <c r="G15" s="27"/>
      <c r="H15" s="27"/>
      <c r="I15" s="24"/>
      <c r="J15" s="9"/>
      <c r="M15" s="34" t="s">
        <v>7</v>
      </c>
      <c r="N15" s="35" t="str">
        <f>AVERAGEIF($A22:$A31,"Pecho",$G22:$G31)</f>
        <v>#DIV/0!</v>
      </c>
      <c r="O15" s="35" t="str">
        <f>AVERAGEIF($A22:$A31,"Espalda",$G22:$G31)</f>
        <v>#DIV/0!</v>
      </c>
      <c r="P15" s="35" t="str">
        <f>AVERAGEIF($A22:$A31,"Hombros",$G22:$G31)</f>
        <v>#DIV/0!</v>
      </c>
      <c r="Q15" s="35" t="str">
        <f>AVERAGEIF($A22:$A31,"Bíceps",$G22:$G31)</f>
        <v>#DIV/0!</v>
      </c>
      <c r="R15" s="35" t="str">
        <f>AVERAGEIF($A22:$A31,"Tríceps",$G22:$G31)</f>
        <v>#DIV/0!</v>
      </c>
      <c r="S15" s="35" t="str">
        <f>AVERAGEIF($A22:$A31,"Cuádriceps",$G22:$G31)</f>
        <v>#DIV/0!</v>
      </c>
      <c r="T15" s="35">
        <f>AVERAGEIF($A22:$A31,"Isquios",$G22:$G31)</f>
        <v>8</v>
      </c>
      <c r="U15" s="35" t="str">
        <f>AVERAGEIF($A22:$A31,"Glúteos",$G22:$G31)</f>
        <v>#DIV/0!</v>
      </c>
      <c r="V15" s="35" t="str">
        <f>AVERAGEIF($A22:$A31,"Pantorrillas",$G22:$G31)</f>
        <v>#DIV/0!</v>
      </c>
      <c r="W15" s="35" t="str">
        <f>AVERAGEIF($A22:$A31,"Otros",$G22:$G31)</f>
        <v>#DIV/0!</v>
      </c>
      <c r="Z15" s="28" t="s">
        <v>32</v>
      </c>
      <c r="AA15" s="1">
        <f>SUM(U9,U14,U19,U24,U29)</f>
        <v>13</v>
      </c>
    </row>
    <row r="16" ht="14.25" customHeight="1">
      <c r="A16" s="16" t="s">
        <v>26</v>
      </c>
      <c r="B16" s="30" t="s">
        <v>294</v>
      </c>
      <c r="C16" s="18"/>
      <c r="D16" s="20"/>
      <c r="E16" s="27">
        <v>3.0</v>
      </c>
      <c r="F16" s="27">
        <v>20.0</v>
      </c>
      <c r="G16" s="27"/>
      <c r="H16" s="27"/>
      <c r="I16" s="24"/>
      <c r="J16" s="9"/>
      <c r="M16" s="25"/>
      <c r="N16" s="25"/>
      <c r="O16" s="25"/>
      <c r="P16" s="25"/>
      <c r="Q16" s="25"/>
      <c r="R16" s="25"/>
      <c r="S16" s="25"/>
      <c r="T16" s="25"/>
      <c r="U16" s="25"/>
      <c r="Z16" s="28" t="s">
        <v>33</v>
      </c>
      <c r="AA16" s="1">
        <f>SUM(V9,V14,V19,V24,V29)</f>
        <v>0</v>
      </c>
    </row>
    <row r="17" ht="14.25" customHeight="1">
      <c r="A17" s="16" t="s">
        <v>12</v>
      </c>
      <c r="B17" s="108" t="s">
        <v>298</v>
      </c>
      <c r="C17" s="18"/>
      <c r="D17" s="20"/>
      <c r="E17" s="109">
        <v>3.0</v>
      </c>
      <c r="F17" s="109">
        <v>12.0</v>
      </c>
      <c r="G17" s="109"/>
      <c r="H17" s="109"/>
      <c r="I17" s="24"/>
      <c r="J17" s="9"/>
      <c r="M17" s="11" t="s">
        <v>57</v>
      </c>
      <c r="N17" s="12"/>
      <c r="O17" s="12"/>
      <c r="P17" s="12"/>
      <c r="Q17" s="12"/>
      <c r="R17" s="12"/>
      <c r="S17" s="12"/>
      <c r="T17" s="12"/>
      <c r="U17" s="12"/>
      <c r="V17" s="12"/>
      <c r="W17" s="13"/>
      <c r="Z17" s="28" t="s">
        <v>12</v>
      </c>
      <c r="AA17" s="1">
        <f>SUM(W9,W14,W19,W24,W29)</f>
        <v>30</v>
      </c>
    </row>
    <row r="18" ht="14.25" customHeight="1">
      <c r="B18" s="26"/>
      <c r="C18" s="29"/>
      <c r="D18" s="29"/>
      <c r="M18" s="25"/>
      <c r="N18" s="28" t="s">
        <v>16</v>
      </c>
      <c r="O18" s="28" t="s">
        <v>26</v>
      </c>
      <c r="P18" s="28" t="s">
        <v>27</v>
      </c>
      <c r="Q18" s="28" t="s">
        <v>28</v>
      </c>
      <c r="R18" s="28" t="s">
        <v>29</v>
      </c>
      <c r="S18" s="28" t="s">
        <v>30</v>
      </c>
      <c r="T18" s="28" t="s">
        <v>31</v>
      </c>
      <c r="U18" s="28" t="s">
        <v>32</v>
      </c>
      <c r="V18" s="28" t="s">
        <v>33</v>
      </c>
      <c r="W18" s="28" t="s">
        <v>12</v>
      </c>
    </row>
    <row r="19" ht="14.25" customHeight="1">
      <c r="M19" s="34" t="s">
        <v>36</v>
      </c>
      <c r="N19" s="35">
        <f>SUMIF($A37:$A46,"Pecho",$E37:$E46)</f>
        <v>8</v>
      </c>
      <c r="O19" s="35">
        <f>SUMIF($A37:$A46,"Espalda",$E37:$E46)</f>
        <v>0</v>
      </c>
      <c r="P19" s="35">
        <f>SUMIF($A37:$A46,"Hombros",$E37:$E46)</f>
        <v>0</v>
      </c>
      <c r="Q19" s="35">
        <f>SUMIF($A37:$A46,"Bíceps",$E37:$E46)</f>
        <v>0</v>
      </c>
      <c r="R19" s="35">
        <f>SUMIF($A37:$A46,"Tríceps",$E37:$E46)</f>
        <v>0</v>
      </c>
      <c r="S19" s="35">
        <f>SUMIF($A37:$A46,"Cuádriceps",$E37:$E46)</f>
        <v>7</v>
      </c>
      <c r="T19" s="35">
        <f>SUMIF($A37:$A46,"Isquios",$E37:$E46)</f>
        <v>3</v>
      </c>
      <c r="U19" s="35">
        <f>SUMIF($A37:$A46,"Glúteos",$E37:$E46)</f>
        <v>6</v>
      </c>
      <c r="V19" s="35">
        <f>SUMIF($A37:$A46,"Pantorrillas",$E37:$E46)</f>
        <v>0</v>
      </c>
      <c r="W19" s="35">
        <f>SUMIF($A37:$A46,"Otros",$E37:$E46)</f>
        <v>9</v>
      </c>
    </row>
    <row r="20" ht="14.25" customHeight="1">
      <c r="A20" s="2" t="s">
        <v>45</v>
      </c>
      <c r="B20" s="3"/>
      <c r="C20" s="4"/>
      <c r="J20" s="1"/>
      <c r="M20" s="34" t="s">
        <v>7</v>
      </c>
      <c r="N20" s="35" t="str">
        <f>AVERAGEIF($A37:$A46,"Pecho",$G37:$G46)</f>
        <v>#DIV/0!</v>
      </c>
      <c r="O20" s="35" t="str">
        <f>AVERAGEIF($A37:$A46,"Espalda",$G37:$G46)</f>
        <v>#DIV/0!</v>
      </c>
      <c r="P20" s="35" t="str">
        <f>AVERAGEIF($A37:$A46,"Hombros",$G37:$G46)</f>
        <v>#DIV/0!</v>
      </c>
      <c r="Q20" s="35" t="str">
        <f>AVERAGEIF($A37:$A46,"Bíceps",$G37:$G46)</f>
        <v>#DIV/0!</v>
      </c>
      <c r="R20" s="35" t="str">
        <f>AVERAGEIF($A37:$A46,"Tríceps",$G37:$G46)</f>
        <v>#DIV/0!</v>
      </c>
      <c r="S20" s="35">
        <f>AVERAGEIF($A37:$A46,"Cuádriceps",$G37:$G46)</f>
        <v>8</v>
      </c>
      <c r="T20" s="35" t="str">
        <f>AVERAGEIF($A37:$A46,"Isquios",$G37:$G46)</f>
        <v>#DIV/0!</v>
      </c>
      <c r="U20" s="35" t="str">
        <f>AVERAGEIF($A37:$A46,"Glúteos",$G37:$G46)</f>
        <v>#DIV/0!</v>
      </c>
      <c r="V20" s="35" t="str">
        <f>AVERAGEIF($A37:$A46,"Pantorrillas",$G37:$G46)</f>
        <v>#DIV/0!</v>
      </c>
      <c r="W20" s="35" t="str">
        <f>AVERAGEIF($A37:$A46,"Otros",$G37:$G46)</f>
        <v>#DIV/0!</v>
      </c>
    </row>
    <row r="21" ht="14.25" customHeight="1">
      <c r="A21" s="6" t="s">
        <v>2</v>
      </c>
      <c r="B21" s="10" t="s">
        <v>4</v>
      </c>
      <c r="C21" s="8"/>
      <c r="D21" s="9"/>
      <c r="E21" s="6" t="s">
        <v>5</v>
      </c>
      <c r="F21" s="6" t="s">
        <v>6</v>
      </c>
      <c r="G21" s="6" t="s">
        <v>7</v>
      </c>
      <c r="H21" s="6" t="s">
        <v>8</v>
      </c>
      <c r="I21" s="10" t="s">
        <v>9</v>
      </c>
      <c r="J21" s="9"/>
      <c r="M21" s="25"/>
      <c r="N21" s="25"/>
      <c r="O21" s="25"/>
      <c r="P21" s="25"/>
      <c r="Q21" s="25"/>
      <c r="R21" s="25"/>
      <c r="S21" s="25"/>
      <c r="T21" s="25"/>
      <c r="U21" s="25"/>
    </row>
    <row r="22" ht="14.25" customHeight="1">
      <c r="A22" s="16" t="s">
        <v>12</v>
      </c>
      <c r="B22" s="114" t="s">
        <v>309</v>
      </c>
      <c r="C22" s="18"/>
      <c r="D22" s="20"/>
      <c r="E22" s="115">
        <v>3.0</v>
      </c>
      <c r="F22" s="115">
        <v>10.0</v>
      </c>
      <c r="G22" s="115"/>
      <c r="H22" s="115"/>
      <c r="I22" s="24"/>
      <c r="J22" s="9"/>
      <c r="M22" s="11" t="s">
        <v>66</v>
      </c>
      <c r="N22" s="12"/>
      <c r="O22" s="12"/>
      <c r="P22" s="12"/>
      <c r="Q22" s="12"/>
      <c r="R22" s="12"/>
      <c r="S22" s="12"/>
      <c r="T22" s="12"/>
      <c r="U22" s="12"/>
      <c r="V22" s="12"/>
      <c r="W22" s="13"/>
    </row>
    <row r="23" ht="14.25" customHeight="1">
      <c r="A23" s="16" t="s">
        <v>12</v>
      </c>
      <c r="B23" s="114" t="s">
        <v>288</v>
      </c>
      <c r="C23" s="18"/>
      <c r="D23" s="20"/>
      <c r="E23" s="115">
        <v>3.0</v>
      </c>
      <c r="F23" s="115" t="s">
        <v>289</v>
      </c>
      <c r="G23" s="115"/>
      <c r="H23" s="115"/>
      <c r="I23" s="24"/>
      <c r="J23" s="9"/>
      <c r="M23" s="25"/>
      <c r="N23" s="28" t="s">
        <v>16</v>
      </c>
      <c r="O23" s="28" t="s">
        <v>26</v>
      </c>
      <c r="P23" s="28" t="s">
        <v>27</v>
      </c>
      <c r="Q23" s="28" t="s">
        <v>28</v>
      </c>
      <c r="R23" s="28" t="s">
        <v>29</v>
      </c>
      <c r="S23" s="28" t="s">
        <v>30</v>
      </c>
      <c r="T23" s="28" t="s">
        <v>31</v>
      </c>
      <c r="U23" s="28" t="s">
        <v>32</v>
      </c>
      <c r="V23" s="28" t="s">
        <v>33</v>
      </c>
      <c r="W23" s="28" t="s">
        <v>12</v>
      </c>
    </row>
    <row r="24" ht="14.25" customHeight="1">
      <c r="A24" s="16" t="s">
        <v>12</v>
      </c>
      <c r="B24" s="114" t="s">
        <v>312</v>
      </c>
      <c r="C24" s="18"/>
      <c r="D24" s="20"/>
      <c r="E24" s="115">
        <v>3.0</v>
      </c>
      <c r="F24" s="115">
        <v>10.0</v>
      </c>
      <c r="G24" s="115"/>
      <c r="H24" s="115"/>
      <c r="I24" s="24"/>
      <c r="J24" s="9"/>
      <c r="M24" s="34" t="s">
        <v>36</v>
      </c>
      <c r="N24" s="35">
        <f>SUMIF($A51:$A60,"Pecho",$E51:$E60)</f>
        <v>0</v>
      </c>
      <c r="O24" s="35">
        <f>SUMIF($A51:$A60,"Espalda",$E51:$E60)</f>
        <v>0</v>
      </c>
      <c r="P24" s="35">
        <f>SUMIF($A51:$A60,"Hombros",$E51:$E60)</f>
        <v>0</v>
      </c>
      <c r="Q24" s="35">
        <f>SUMIF($A51:$A60,"Bíceps",$E51:$E60)</f>
        <v>0</v>
      </c>
      <c r="R24" s="35">
        <f>SUMIF($A51:$A60,"Tríceps",$E51:$E60)</f>
        <v>0</v>
      </c>
      <c r="S24" s="35">
        <f>SUMIF($A51:$A60,"Cuádriceps",$E51:$E60)</f>
        <v>0</v>
      </c>
      <c r="T24" s="35">
        <f>SUMIF($A51:$A60,"Isquios",$E51:$E60)</f>
        <v>0</v>
      </c>
      <c r="U24" s="35">
        <f>SUMIF($A51:$A60,"Glúteos",$E51:$E60)</f>
        <v>0</v>
      </c>
      <c r="V24" s="35">
        <f>SUMIF($A51:$A60,"Pantorrillas",$E51:$E60)</f>
        <v>0</v>
      </c>
      <c r="W24" s="35">
        <f>SUMIF($A51:$A60,"Otros",$E51:$E60)</f>
        <v>0</v>
      </c>
    </row>
    <row r="25" ht="14.25" customHeight="1">
      <c r="A25" s="16" t="s">
        <v>31</v>
      </c>
      <c r="B25" s="30" t="s">
        <v>242</v>
      </c>
      <c r="C25" s="18"/>
      <c r="D25" s="20"/>
      <c r="E25" s="27">
        <v>3.0</v>
      </c>
      <c r="F25" s="27">
        <v>15.0</v>
      </c>
      <c r="G25" s="27">
        <v>8.0</v>
      </c>
      <c r="H25" s="27" t="s">
        <v>55</v>
      </c>
      <c r="I25" s="24"/>
      <c r="J25" s="9"/>
      <c r="M25" s="34" t="s">
        <v>7</v>
      </c>
      <c r="N25" s="35" t="str">
        <f>AVERAGEIF($A51:$A60,"Pecho",$G51:$G60)</f>
        <v>#DIV/0!</v>
      </c>
      <c r="O25" s="35" t="str">
        <f>AVERAGEIF($A51:$A60,"Espalda",$G51:$G60)</f>
        <v>#DIV/0!</v>
      </c>
      <c r="P25" s="35" t="str">
        <f>AVERAGEIF($A51:$A60,"Hombros",$G51:$G60)</f>
        <v>#DIV/0!</v>
      </c>
      <c r="Q25" s="35" t="str">
        <f>AVERAGEIF($A51:$A60,"Bíceps",$G51:$G60)</f>
        <v>#DIV/0!</v>
      </c>
      <c r="R25" s="35" t="str">
        <f>AVERAGEIF($A51:$A60,"Tríceps",$G51:$G60)</f>
        <v>#DIV/0!</v>
      </c>
      <c r="S25" s="35" t="str">
        <f>AVERAGEIF($A51:$A60,"Cuádriceps",$G51:$G60)</f>
        <v>#DIV/0!</v>
      </c>
      <c r="T25" s="35" t="str">
        <f>AVERAGEIF($A51:$A60,"Isquios",$G51:$G60)</f>
        <v>#DIV/0!</v>
      </c>
      <c r="U25" s="35" t="str">
        <f>AVERAGEIF($A51:$A60,"Glúteos",$G51:$G60)</f>
        <v>#DIV/0!</v>
      </c>
      <c r="V25" s="35" t="str">
        <f>AVERAGEIF($A51:$A60,"Pantorrillas",$G51:$G60)</f>
        <v>#DIV/0!</v>
      </c>
      <c r="W25" s="35" t="str">
        <f>AVERAGEIF($A51:$A60,"Otros",$G51:$G60)</f>
        <v>#DIV/0!</v>
      </c>
    </row>
    <row r="26" ht="14.25" customHeight="1">
      <c r="A26" s="16" t="s">
        <v>30</v>
      </c>
      <c r="B26" s="30" t="s">
        <v>324</v>
      </c>
      <c r="C26" s="18"/>
      <c r="D26" s="20"/>
      <c r="E26" s="27">
        <v>3.0</v>
      </c>
      <c r="F26" s="27" t="s">
        <v>325</v>
      </c>
      <c r="G26" s="27"/>
      <c r="H26" s="27"/>
      <c r="I26" s="24"/>
      <c r="J26" s="9"/>
      <c r="M26" s="25"/>
      <c r="N26" s="25"/>
      <c r="O26" s="25"/>
      <c r="P26" s="25"/>
      <c r="Q26" s="25"/>
      <c r="R26" s="25"/>
      <c r="S26" s="25"/>
      <c r="T26" s="25"/>
      <c r="U26" s="25"/>
    </row>
    <row r="27" ht="14.25" customHeight="1">
      <c r="A27" s="16" t="s">
        <v>29</v>
      </c>
      <c r="B27" s="108" t="s">
        <v>327</v>
      </c>
      <c r="C27" s="18"/>
      <c r="D27" s="20"/>
      <c r="E27" s="109">
        <v>4.0</v>
      </c>
      <c r="F27" s="109">
        <v>15.0</v>
      </c>
      <c r="G27" s="109"/>
      <c r="H27" s="109"/>
      <c r="I27" s="24"/>
      <c r="J27" s="9"/>
      <c r="M27" s="11" t="s">
        <v>76</v>
      </c>
      <c r="N27" s="12"/>
      <c r="O27" s="12"/>
      <c r="P27" s="12"/>
      <c r="Q27" s="12"/>
      <c r="R27" s="12"/>
      <c r="S27" s="12"/>
      <c r="T27" s="12"/>
      <c r="U27" s="12"/>
      <c r="V27" s="12"/>
      <c r="W27" s="13"/>
    </row>
    <row r="28" ht="14.25" customHeight="1">
      <c r="A28" s="16" t="s">
        <v>16</v>
      </c>
      <c r="B28" s="108" t="s">
        <v>330</v>
      </c>
      <c r="C28" s="18"/>
      <c r="D28" s="20"/>
      <c r="E28" s="109">
        <v>3.0</v>
      </c>
      <c r="F28" s="109">
        <v>15.0</v>
      </c>
      <c r="G28" s="109"/>
      <c r="H28" s="109"/>
      <c r="I28" s="24"/>
      <c r="J28" s="9"/>
      <c r="M28" s="25"/>
      <c r="N28" s="28" t="s">
        <v>16</v>
      </c>
      <c r="O28" s="28" t="s">
        <v>26</v>
      </c>
      <c r="P28" s="28" t="s">
        <v>27</v>
      </c>
      <c r="Q28" s="28" t="s">
        <v>28</v>
      </c>
      <c r="R28" s="28" t="s">
        <v>29</v>
      </c>
      <c r="S28" s="28" t="s">
        <v>30</v>
      </c>
      <c r="T28" s="28" t="s">
        <v>31</v>
      </c>
      <c r="U28" s="28" t="s">
        <v>32</v>
      </c>
      <c r="V28" s="28" t="s">
        <v>33</v>
      </c>
      <c r="W28" s="28" t="s">
        <v>12</v>
      </c>
    </row>
    <row r="29" ht="14.25" customHeight="1">
      <c r="A29" s="16" t="s">
        <v>27</v>
      </c>
      <c r="B29" s="30" t="s">
        <v>336</v>
      </c>
      <c r="C29" s="18"/>
      <c r="D29" s="20"/>
      <c r="E29" s="27">
        <v>4.0</v>
      </c>
      <c r="F29" s="27">
        <v>10.0</v>
      </c>
      <c r="G29" s="27"/>
      <c r="H29" s="27"/>
      <c r="I29" s="24"/>
      <c r="J29" s="9"/>
      <c r="M29" s="34" t="s">
        <v>36</v>
      </c>
      <c r="N29" s="35">
        <f>SUMIF($A65:$A74,"Pecho",$E65:$E74)</f>
        <v>0</v>
      </c>
      <c r="O29" s="35">
        <f>SUMIF($A65:$A74,"Espalda",$E65:$E74)</f>
        <v>0</v>
      </c>
      <c r="P29" s="35">
        <f>SUMIF($A65:$A74,"Hombros",$E65:$E74)</f>
        <v>0</v>
      </c>
      <c r="Q29" s="35">
        <f>SUMIF($A65:$A74,"Bíceps",$E65:$E74)</f>
        <v>0</v>
      </c>
      <c r="R29" s="35">
        <f>SUMIF($A65:$A74,"Tríceps",$E65:$E74)</f>
        <v>0</v>
      </c>
      <c r="S29" s="35">
        <f>SUMIF($A65:$A74,"Cuádriceps",$E65:$E74)</f>
        <v>0</v>
      </c>
      <c r="T29" s="35">
        <f>SUMIF($A65:$A74,"Isquios",$E65:$E74)</f>
        <v>0</v>
      </c>
      <c r="U29" s="35">
        <f>SUMIF($A65:$A74,"Glúteos",$E65:$E74)</f>
        <v>0</v>
      </c>
      <c r="V29" s="35">
        <f>SUMIF($A65:$A74,"Pantorrillas",$E65:$E74)</f>
        <v>0</v>
      </c>
      <c r="W29" s="35">
        <f>SUMIF($A65:$A74,"Otros",$E65:$E74)</f>
        <v>0</v>
      </c>
    </row>
    <row r="30" ht="14.25" customHeight="1">
      <c r="A30" s="16" t="s">
        <v>27</v>
      </c>
      <c r="B30" s="30" t="s">
        <v>344</v>
      </c>
      <c r="C30" s="18"/>
      <c r="D30" s="20"/>
      <c r="E30" s="27">
        <v>3.0</v>
      </c>
      <c r="F30" s="27">
        <v>20.0</v>
      </c>
      <c r="G30" s="27"/>
      <c r="H30" s="27"/>
      <c r="I30" s="24"/>
      <c r="J30" s="9"/>
      <c r="M30" s="34" t="s">
        <v>7</v>
      </c>
      <c r="N30" s="35" t="str">
        <f>AVERAGEIF($A65:$A74,"Pecho",$G65:$G74)</f>
        <v>#DIV/0!</v>
      </c>
      <c r="O30" s="35" t="str">
        <f>AVERAGEIF($A65:$A74,"Espalda",$G65:$G74)</f>
        <v>#DIV/0!</v>
      </c>
      <c r="P30" s="35" t="str">
        <f>AVERAGEIF($A65:$A74,"Hombros",$G65:$G74)</f>
        <v>#DIV/0!</v>
      </c>
      <c r="Q30" s="35" t="str">
        <f>AVERAGEIF($A65:$A74,"Bíceps",$G65:$G74)</f>
        <v>#DIV/0!</v>
      </c>
      <c r="R30" s="35" t="str">
        <f>AVERAGEIF($A65:$A74,"Tríceps",$G65:$G74)</f>
        <v>#DIV/0!</v>
      </c>
      <c r="S30" s="35" t="str">
        <f>AVERAGEIF($A65:$A74,"Cuádriceps",$G65:$G74)</f>
        <v>#DIV/0!</v>
      </c>
      <c r="T30" s="35" t="str">
        <f>AVERAGEIF($A65:$A74,"Isquios",$G65:$G74)</f>
        <v>#DIV/0!</v>
      </c>
      <c r="U30" s="35" t="str">
        <f>AVERAGEIF($A65:$A74,"Glúteos",$G65:$G74)</f>
        <v>#DIV/0!</v>
      </c>
      <c r="V30" s="35" t="str">
        <f>AVERAGEIF($A65:$A74,"Pantorrillas",$G65:$G74)</f>
        <v>#DIV/0!</v>
      </c>
      <c r="W30" s="35" t="str">
        <f>AVERAGEIF($A65:$A74,"Otros",$G65:$G74)</f>
        <v>#DIV/0!</v>
      </c>
    </row>
    <row r="31" ht="14.25" customHeight="1">
      <c r="A31" s="16" t="s">
        <v>30</v>
      </c>
      <c r="B31" s="118" t="s">
        <v>84</v>
      </c>
      <c r="C31" s="8"/>
      <c r="D31" s="9"/>
      <c r="E31" s="68">
        <v>4.0</v>
      </c>
      <c r="F31" s="68">
        <v>12.0</v>
      </c>
      <c r="G31" s="68"/>
      <c r="H31" s="68"/>
      <c r="I31" s="24"/>
      <c r="J31" s="9"/>
    </row>
    <row r="32" ht="14.25" customHeight="1">
      <c r="A32" s="1" t="s">
        <v>32</v>
      </c>
      <c r="B32" s="120"/>
      <c r="C32" s="119" t="s">
        <v>346</v>
      </c>
      <c r="D32" s="123" t="s">
        <v>347</v>
      </c>
      <c r="E32" s="121">
        <v>3.0</v>
      </c>
      <c r="F32" s="121">
        <v>12.0</v>
      </c>
      <c r="G32" s="121"/>
      <c r="H32" s="121"/>
      <c r="I32" s="25"/>
      <c r="J32" s="1"/>
    </row>
    <row r="33" ht="14.25" customHeight="1">
      <c r="B33" s="26"/>
      <c r="C33" s="29"/>
      <c r="D33" s="29"/>
    </row>
    <row r="34" ht="14.25" customHeight="1"/>
    <row r="35" ht="14.25" customHeight="1">
      <c r="A35" s="2" t="s">
        <v>57</v>
      </c>
      <c r="B35" s="3"/>
      <c r="C35" s="4"/>
      <c r="J35" s="1"/>
    </row>
    <row r="36" ht="14.25" customHeight="1">
      <c r="A36" s="6" t="s">
        <v>2</v>
      </c>
      <c r="B36" s="10" t="s">
        <v>4</v>
      </c>
      <c r="C36" s="8"/>
      <c r="D36" s="9"/>
      <c r="E36" s="6" t="s">
        <v>5</v>
      </c>
      <c r="F36" s="6" t="s">
        <v>6</v>
      </c>
      <c r="G36" s="6" t="s">
        <v>7</v>
      </c>
      <c r="H36" s="6" t="s">
        <v>8</v>
      </c>
      <c r="I36" s="10" t="s">
        <v>9</v>
      </c>
      <c r="J36" s="9"/>
    </row>
    <row r="37" ht="14.25" customHeight="1">
      <c r="A37" s="122" t="s">
        <v>12</v>
      </c>
      <c r="B37" s="114" t="s">
        <v>348</v>
      </c>
      <c r="C37" s="18"/>
      <c r="D37" s="20"/>
      <c r="E37" s="115">
        <v>3.0</v>
      </c>
      <c r="F37" s="115">
        <v>10.0</v>
      </c>
      <c r="G37" s="115"/>
      <c r="H37" s="115"/>
      <c r="I37" s="24"/>
      <c r="J37" s="9"/>
    </row>
    <row r="38" ht="14.25" customHeight="1">
      <c r="A38" s="122" t="s">
        <v>12</v>
      </c>
      <c r="B38" s="114" t="s">
        <v>349</v>
      </c>
      <c r="C38" s="18"/>
      <c r="D38" s="20"/>
      <c r="E38" s="115">
        <v>3.0</v>
      </c>
      <c r="F38" s="115">
        <v>12.0</v>
      </c>
      <c r="G38" s="115"/>
      <c r="H38" s="115"/>
      <c r="I38" s="24"/>
      <c r="J38" s="9"/>
    </row>
    <row r="39" ht="14.25" customHeight="1">
      <c r="A39" s="122" t="s">
        <v>12</v>
      </c>
      <c r="B39" s="114" t="s">
        <v>350</v>
      </c>
      <c r="C39" s="18"/>
      <c r="D39" s="20"/>
      <c r="E39" s="115">
        <v>3.0</v>
      </c>
      <c r="F39" s="115">
        <v>12.0</v>
      </c>
      <c r="G39" s="115"/>
      <c r="H39" s="115"/>
      <c r="I39" s="24"/>
      <c r="J39" s="9"/>
    </row>
    <row r="40" ht="14.25" customHeight="1">
      <c r="A40" s="16" t="s">
        <v>30</v>
      </c>
      <c r="B40" s="30" t="s">
        <v>351</v>
      </c>
      <c r="C40" s="18"/>
      <c r="D40" s="20"/>
      <c r="E40" s="27">
        <v>3.0</v>
      </c>
      <c r="F40" s="27">
        <v>15.0</v>
      </c>
      <c r="G40" s="27">
        <v>8.0</v>
      </c>
      <c r="H40" s="27" t="s">
        <v>55</v>
      </c>
      <c r="I40" s="24"/>
      <c r="J40" s="9"/>
    </row>
    <row r="41" ht="14.25" customHeight="1">
      <c r="A41" s="16" t="s">
        <v>30</v>
      </c>
      <c r="B41" s="30" t="s">
        <v>352</v>
      </c>
      <c r="C41" s="18"/>
      <c r="D41" s="20"/>
      <c r="E41" s="27">
        <v>4.0</v>
      </c>
      <c r="F41" s="27">
        <v>10.0</v>
      </c>
      <c r="G41" s="27"/>
      <c r="H41" s="27"/>
      <c r="I41" s="24"/>
      <c r="J41" s="9"/>
    </row>
    <row r="42" ht="14.25" customHeight="1">
      <c r="A42" s="109" t="s">
        <v>31</v>
      </c>
      <c r="B42" s="108" t="s">
        <v>353</v>
      </c>
      <c r="C42" s="18"/>
      <c r="D42" s="20"/>
      <c r="E42" s="109">
        <v>3.0</v>
      </c>
      <c r="F42" s="109">
        <v>12.0</v>
      </c>
      <c r="G42" s="109"/>
      <c r="H42" s="109"/>
      <c r="I42" s="24"/>
      <c r="J42" s="9"/>
    </row>
    <row r="43" ht="14.25" customHeight="1">
      <c r="A43" s="109" t="s">
        <v>16</v>
      </c>
      <c r="B43" s="108" t="s">
        <v>354</v>
      </c>
      <c r="C43" s="18"/>
      <c r="D43" s="20"/>
      <c r="E43" s="109">
        <v>4.0</v>
      </c>
      <c r="F43" s="109">
        <v>15.0</v>
      </c>
      <c r="G43" s="109"/>
      <c r="H43" s="109"/>
      <c r="I43" s="24"/>
      <c r="J43" s="9"/>
    </row>
    <row r="44" ht="14.25" customHeight="1">
      <c r="A44" s="16" t="s">
        <v>16</v>
      </c>
      <c r="B44" s="30" t="s">
        <v>355</v>
      </c>
      <c r="C44" s="18"/>
      <c r="D44" s="20"/>
      <c r="E44" s="27">
        <v>4.0</v>
      </c>
      <c r="F44" s="27">
        <v>12.0</v>
      </c>
      <c r="G44" s="27"/>
      <c r="H44" s="27"/>
      <c r="I44" s="24"/>
      <c r="J44" s="9"/>
    </row>
    <row r="45" ht="14.25" customHeight="1">
      <c r="A45" s="16" t="s">
        <v>32</v>
      </c>
      <c r="B45" s="30" t="s">
        <v>356</v>
      </c>
      <c r="C45" s="18"/>
      <c r="D45" s="20"/>
      <c r="E45" s="27">
        <v>3.0</v>
      </c>
      <c r="F45" s="27">
        <v>20.0</v>
      </c>
      <c r="G45" s="27"/>
      <c r="H45" s="27"/>
      <c r="I45" s="24"/>
      <c r="J45" s="9"/>
    </row>
    <row r="46" ht="14.25" customHeight="1">
      <c r="A46" s="16" t="s">
        <v>32</v>
      </c>
      <c r="B46" s="60" t="s">
        <v>357</v>
      </c>
      <c r="C46" s="8"/>
      <c r="D46" s="9"/>
      <c r="E46" s="27">
        <v>3.0</v>
      </c>
      <c r="F46" s="27">
        <v>12.0</v>
      </c>
      <c r="G46" s="27"/>
      <c r="H46" s="27"/>
      <c r="I46" s="24"/>
      <c r="J46" s="9"/>
    </row>
    <row r="47" ht="14.25" customHeight="1">
      <c r="B47" s="26"/>
      <c r="C47" s="29"/>
      <c r="D47" s="29"/>
    </row>
    <row r="48" ht="14.25" customHeight="1"/>
    <row r="49" ht="14.25" customHeight="1">
      <c r="A49" s="2" t="s">
        <v>66</v>
      </c>
      <c r="B49" s="3"/>
      <c r="C49" s="4"/>
      <c r="J49" s="1"/>
    </row>
    <row r="50" ht="14.25" customHeight="1">
      <c r="A50" s="6" t="s">
        <v>2</v>
      </c>
      <c r="B50" s="10" t="s">
        <v>4</v>
      </c>
      <c r="C50" s="8"/>
      <c r="D50" s="9"/>
      <c r="E50" s="6" t="s">
        <v>5</v>
      </c>
      <c r="F50" s="6" t="s">
        <v>6</v>
      </c>
      <c r="G50" s="6" t="s">
        <v>7</v>
      </c>
      <c r="H50" s="6" t="s">
        <v>8</v>
      </c>
      <c r="I50" s="10" t="s">
        <v>9</v>
      </c>
      <c r="J50" s="9"/>
    </row>
    <row r="51" ht="14.25" customHeight="1">
      <c r="A51" s="16"/>
      <c r="B51" s="26"/>
      <c r="C51" s="29"/>
      <c r="D51" s="29"/>
      <c r="E51" s="16"/>
      <c r="F51" s="16"/>
      <c r="G51" s="16"/>
      <c r="H51" s="16"/>
      <c r="I51" s="24"/>
      <c r="J51" s="9"/>
    </row>
    <row r="52" ht="14.25" customHeight="1">
      <c r="A52" s="16"/>
      <c r="B52" s="26"/>
      <c r="C52" s="29"/>
      <c r="D52" s="29"/>
      <c r="E52" s="16"/>
      <c r="F52" s="16"/>
      <c r="G52" s="16"/>
      <c r="H52" s="16"/>
      <c r="I52" s="24"/>
      <c r="J52" s="9"/>
    </row>
    <row r="53" ht="14.25" customHeight="1">
      <c r="A53" s="16" t="s">
        <v>12</v>
      </c>
      <c r="B53" s="26" t="s">
        <v>329</v>
      </c>
      <c r="C53" s="29"/>
      <c r="D53" s="29"/>
      <c r="E53" s="16"/>
      <c r="F53" s="16">
        <v>10.0</v>
      </c>
      <c r="G53" s="16"/>
      <c r="H53" s="16"/>
      <c r="I53" s="24"/>
      <c r="J53" s="9"/>
    </row>
    <row r="54" ht="14.25" customHeight="1">
      <c r="A54" s="16" t="s">
        <v>31</v>
      </c>
      <c r="B54" s="30" t="s">
        <v>331</v>
      </c>
      <c r="C54" s="18"/>
      <c r="D54" s="20"/>
      <c r="E54" s="27"/>
      <c r="F54" s="27">
        <v>10.0</v>
      </c>
      <c r="G54" s="27"/>
      <c r="H54" s="27"/>
      <c r="I54" s="24"/>
      <c r="J54" s="9"/>
    </row>
    <row r="55" ht="14.25" customHeight="1">
      <c r="A55" s="16" t="s">
        <v>32</v>
      </c>
      <c r="B55" s="30" t="s">
        <v>333</v>
      </c>
      <c r="C55" s="18"/>
      <c r="D55" s="20"/>
      <c r="E55" s="27"/>
      <c r="F55" s="27" t="s">
        <v>278</v>
      </c>
      <c r="G55" s="27"/>
      <c r="H55" s="27"/>
      <c r="I55" s="24"/>
      <c r="J55" s="9"/>
    </row>
    <row r="56" ht="14.25" customHeight="1">
      <c r="A56" s="16" t="s">
        <v>26</v>
      </c>
      <c r="B56" s="30" t="s">
        <v>335</v>
      </c>
      <c r="C56" s="18"/>
      <c r="D56" s="20"/>
      <c r="E56" s="27"/>
      <c r="F56" s="27">
        <v>8.0</v>
      </c>
      <c r="G56" s="27"/>
      <c r="H56" s="27"/>
      <c r="I56" s="24"/>
      <c r="J56" s="9"/>
    </row>
    <row r="57" ht="14.25" customHeight="1">
      <c r="A57" s="16" t="s">
        <v>32</v>
      </c>
      <c r="B57" s="30" t="s">
        <v>338</v>
      </c>
      <c r="C57" s="18"/>
      <c r="D57" s="20"/>
      <c r="E57" s="27"/>
      <c r="F57" s="27">
        <v>8.0</v>
      </c>
      <c r="G57" s="27"/>
      <c r="H57" s="27"/>
      <c r="I57" s="24"/>
      <c r="J57" s="9"/>
    </row>
    <row r="58" ht="14.25" customHeight="1">
      <c r="A58" s="16" t="s">
        <v>26</v>
      </c>
      <c r="B58" s="30" t="s">
        <v>340</v>
      </c>
      <c r="C58" s="18"/>
      <c r="D58" s="20"/>
      <c r="E58" s="27"/>
      <c r="F58" s="27">
        <v>10.0</v>
      </c>
      <c r="G58" s="27"/>
      <c r="H58" s="27"/>
      <c r="I58" s="24"/>
      <c r="J58" s="9"/>
    </row>
    <row r="59" ht="14.25" customHeight="1">
      <c r="A59" s="16" t="s">
        <v>28</v>
      </c>
      <c r="B59" s="30" t="s">
        <v>341</v>
      </c>
      <c r="C59" s="18"/>
      <c r="D59" s="20"/>
      <c r="E59" s="27"/>
      <c r="F59" s="27"/>
      <c r="G59" s="27"/>
      <c r="H59" s="27"/>
      <c r="I59" s="24"/>
      <c r="J59" s="9"/>
    </row>
    <row r="60" ht="14.25" customHeight="1">
      <c r="A60" s="16" t="s">
        <v>33</v>
      </c>
      <c r="B60" s="60" t="s">
        <v>342</v>
      </c>
      <c r="C60" s="8"/>
      <c r="D60" s="9"/>
      <c r="E60" s="27"/>
      <c r="F60" s="27">
        <v>10.0</v>
      </c>
      <c r="G60" s="27"/>
      <c r="H60" s="27"/>
      <c r="I60" s="24"/>
      <c r="J60" s="9"/>
    </row>
    <row r="61" ht="14.25" customHeight="1">
      <c r="B61" s="26"/>
      <c r="C61" s="29"/>
      <c r="D61" s="29"/>
    </row>
    <row r="62" ht="14.25" customHeight="1"/>
    <row r="63" ht="14.25" customHeight="1">
      <c r="A63" s="2" t="s">
        <v>76</v>
      </c>
      <c r="B63" s="3"/>
      <c r="C63" s="4"/>
      <c r="J63" s="1"/>
    </row>
    <row r="64" ht="14.25" customHeight="1">
      <c r="A64" s="6" t="s">
        <v>2</v>
      </c>
      <c r="B64" s="10" t="s">
        <v>4</v>
      </c>
      <c r="C64" s="8"/>
      <c r="D64" s="9"/>
      <c r="E64" s="6" t="s">
        <v>5</v>
      </c>
      <c r="F64" s="6" t="s">
        <v>6</v>
      </c>
      <c r="G64" s="6" t="s">
        <v>7</v>
      </c>
      <c r="H64" s="6" t="s">
        <v>8</v>
      </c>
      <c r="I64" s="10" t="s">
        <v>9</v>
      </c>
      <c r="J64" s="9"/>
    </row>
    <row r="65" ht="14.25" customHeight="1">
      <c r="A65" s="16"/>
      <c r="B65" s="26"/>
      <c r="C65" s="29"/>
      <c r="D65" s="29"/>
      <c r="E65" s="16"/>
      <c r="F65" s="16"/>
      <c r="G65" s="16"/>
      <c r="H65" s="16"/>
      <c r="I65" s="24"/>
      <c r="J65" s="9"/>
    </row>
    <row r="66" ht="14.25" customHeight="1">
      <c r="A66" s="16"/>
      <c r="B66" s="26"/>
      <c r="C66" s="29"/>
      <c r="D66" s="29"/>
      <c r="E66" s="16"/>
      <c r="F66" s="16"/>
      <c r="G66" s="16"/>
      <c r="H66" s="16"/>
      <c r="I66" s="24"/>
      <c r="J66" s="9"/>
    </row>
    <row r="67" ht="14.25" customHeight="1">
      <c r="A67" s="16"/>
      <c r="B67" s="26"/>
      <c r="C67" s="29"/>
      <c r="D67" s="29"/>
      <c r="E67" s="16"/>
      <c r="F67" s="16"/>
      <c r="G67" s="16"/>
      <c r="H67" s="16"/>
      <c r="I67" s="24"/>
      <c r="J67" s="9"/>
    </row>
    <row r="68" ht="14.25" customHeight="1">
      <c r="A68" s="16"/>
      <c r="B68" s="26"/>
      <c r="C68" s="29"/>
      <c r="D68" s="29"/>
      <c r="E68" s="16"/>
      <c r="F68" s="16"/>
      <c r="G68" s="16"/>
      <c r="H68" s="16"/>
      <c r="I68" s="24"/>
      <c r="J68" s="9"/>
    </row>
    <row r="69" ht="14.25" customHeight="1">
      <c r="A69" s="16"/>
      <c r="B69" s="26"/>
      <c r="C69" s="29"/>
      <c r="D69" s="29"/>
      <c r="E69" s="16"/>
      <c r="F69" s="16"/>
      <c r="G69" s="16"/>
      <c r="H69" s="16"/>
      <c r="I69" s="24"/>
      <c r="J69" s="9"/>
    </row>
    <row r="70" ht="14.25" customHeight="1">
      <c r="A70" s="16"/>
      <c r="B70" s="26"/>
      <c r="C70" s="29"/>
      <c r="D70" s="29"/>
      <c r="E70" s="16"/>
      <c r="F70" s="16"/>
      <c r="G70" s="16"/>
      <c r="H70" s="16"/>
      <c r="I70" s="24"/>
      <c r="J70" s="9"/>
    </row>
    <row r="71" ht="14.25" customHeight="1">
      <c r="A71" s="16"/>
      <c r="B71" s="26"/>
      <c r="C71" s="29"/>
      <c r="D71" s="29"/>
      <c r="E71" s="16"/>
      <c r="F71" s="16"/>
      <c r="G71" s="16"/>
      <c r="H71" s="16"/>
      <c r="I71" s="24"/>
      <c r="J71" s="9"/>
    </row>
    <row r="72" ht="14.25" customHeight="1">
      <c r="A72" s="16"/>
      <c r="B72" s="26"/>
      <c r="C72" s="29"/>
      <c r="D72" s="29"/>
      <c r="E72" s="16"/>
      <c r="F72" s="16"/>
      <c r="G72" s="16"/>
      <c r="H72" s="16"/>
      <c r="I72" s="24"/>
      <c r="J72" s="9"/>
    </row>
    <row r="73" ht="14.25" customHeight="1">
      <c r="A73" s="16"/>
      <c r="B73" s="26"/>
      <c r="C73" s="29"/>
      <c r="D73" s="29"/>
      <c r="E73" s="16"/>
      <c r="F73" s="16"/>
      <c r="G73" s="16"/>
      <c r="H73" s="16"/>
      <c r="I73" s="24"/>
      <c r="J73" s="9"/>
    </row>
    <row r="74" ht="14.25" customHeight="1">
      <c r="A74" s="16"/>
      <c r="B74" s="58"/>
      <c r="C74" s="8"/>
      <c r="D74" s="9"/>
      <c r="E74" s="16"/>
      <c r="F74" s="16"/>
      <c r="G74" s="16"/>
      <c r="H74" s="16"/>
      <c r="I74" s="24"/>
      <c r="J74" s="9"/>
    </row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5">
    <mergeCell ref="I26:J26"/>
    <mergeCell ref="I27:J27"/>
    <mergeCell ref="I11:J11"/>
    <mergeCell ref="I13:J13"/>
    <mergeCell ref="I21:J21"/>
    <mergeCell ref="I22:J22"/>
    <mergeCell ref="I23:J23"/>
    <mergeCell ref="I24:J24"/>
    <mergeCell ref="I25:J25"/>
    <mergeCell ref="B26:D26"/>
    <mergeCell ref="B27:D27"/>
    <mergeCell ref="M27:W27"/>
    <mergeCell ref="I28:J28"/>
    <mergeCell ref="B28:D28"/>
    <mergeCell ref="B29:D29"/>
    <mergeCell ref="I29:J29"/>
    <mergeCell ref="B30:D30"/>
    <mergeCell ref="I30:J30"/>
    <mergeCell ref="B31:D31"/>
    <mergeCell ref="I31:J31"/>
    <mergeCell ref="A6:C6"/>
    <mergeCell ref="B7:D7"/>
    <mergeCell ref="I7:J7"/>
    <mergeCell ref="M7:W7"/>
    <mergeCell ref="Z7:AB7"/>
    <mergeCell ref="B8:D8"/>
    <mergeCell ref="B9:D9"/>
    <mergeCell ref="I12:J12"/>
    <mergeCell ref="M12:W12"/>
    <mergeCell ref="I8:J8"/>
    <mergeCell ref="I9:J9"/>
    <mergeCell ref="B10:D10"/>
    <mergeCell ref="I10:J10"/>
    <mergeCell ref="B11:D11"/>
    <mergeCell ref="B12:D12"/>
    <mergeCell ref="B13:D13"/>
    <mergeCell ref="I17:J17"/>
    <mergeCell ref="M17:W17"/>
    <mergeCell ref="M22:W22"/>
    <mergeCell ref="B14:D14"/>
    <mergeCell ref="I14:J14"/>
    <mergeCell ref="B15:D15"/>
    <mergeCell ref="I15:J15"/>
    <mergeCell ref="B16:D16"/>
    <mergeCell ref="I16:J16"/>
    <mergeCell ref="B17:D17"/>
    <mergeCell ref="B18:D18"/>
    <mergeCell ref="A20:C20"/>
    <mergeCell ref="B21:D21"/>
    <mergeCell ref="B22:D22"/>
    <mergeCell ref="B23:D23"/>
    <mergeCell ref="B24:D24"/>
    <mergeCell ref="B25:D25"/>
    <mergeCell ref="I39:J39"/>
    <mergeCell ref="I40:J40"/>
    <mergeCell ref="A49:C49"/>
    <mergeCell ref="B50:D50"/>
    <mergeCell ref="I50:J50"/>
    <mergeCell ref="B51:D51"/>
    <mergeCell ref="I51:J51"/>
    <mergeCell ref="B52:D52"/>
    <mergeCell ref="B53:D53"/>
    <mergeCell ref="B54:D54"/>
    <mergeCell ref="I54:J54"/>
    <mergeCell ref="B55:D55"/>
    <mergeCell ref="I55:J55"/>
    <mergeCell ref="B56:D56"/>
    <mergeCell ref="I56:J56"/>
    <mergeCell ref="I57:J57"/>
    <mergeCell ref="I68:J68"/>
    <mergeCell ref="I69:J69"/>
    <mergeCell ref="I58:J58"/>
    <mergeCell ref="I59:J59"/>
    <mergeCell ref="I60:J60"/>
    <mergeCell ref="I64:J64"/>
    <mergeCell ref="I65:J65"/>
    <mergeCell ref="I66:J66"/>
    <mergeCell ref="I67:J67"/>
    <mergeCell ref="B33:D33"/>
    <mergeCell ref="A35:C35"/>
    <mergeCell ref="B36:D36"/>
    <mergeCell ref="I36:J36"/>
    <mergeCell ref="B37:D37"/>
    <mergeCell ref="I37:J37"/>
    <mergeCell ref="I38:J38"/>
    <mergeCell ref="I42:J42"/>
    <mergeCell ref="I43:J43"/>
    <mergeCell ref="B38:D38"/>
    <mergeCell ref="B39:D39"/>
    <mergeCell ref="B40:D40"/>
    <mergeCell ref="B41:D41"/>
    <mergeCell ref="I41:J41"/>
    <mergeCell ref="B42:D42"/>
    <mergeCell ref="B43:D43"/>
    <mergeCell ref="B44:D44"/>
    <mergeCell ref="I44:J44"/>
    <mergeCell ref="B45:D45"/>
    <mergeCell ref="I45:J45"/>
    <mergeCell ref="B46:D46"/>
    <mergeCell ref="I46:J46"/>
    <mergeCell ref="B47:D47"/>
    <mergeCell ref="I52:J52"/>
    <mergeCell ref="I53:J53"/>
    <mergeCell ref="I70:J70"/>
    <mergeCell ref="I71:J71"/>
    <mergeCell ref="I72:J72"/>
    <mergeCell ref="I73:J73"/>
    <mergeCell ref="I74:J74"/>
    <mergeCell ref="B57:D57"/>
    <mergeCell ref="B58:D58"/>
    <mergeCell ref="B59:D59"/>
    <mergeCell ref="B60:D60"/>
    <mergeCell ref="B61:D61"/>
    <mergeCell ref="A63:C63"/>
    <mergeCell ref="B64:D64"/>
    <mergeCell ref="B72:D72"/>
    <mergeCell ref="B73:D73"/>
    <mergeCell ref="B74:D74"/>
    <mergeCell ref="B65:D65"/>
    <mergeCell ref="B66:D66"/>
    <mergeCell ref="B67:D67"/>
    <mergeCell ref="B68:D68"/>
    <mergeCell ref="B69:D69"/>
    <mergeCell ref="B70:D70"/>
    <mergeCell ref="B71:D71"/>
  </mergeCells>
  <dataValidations>
    <dataValidation type="list" allowBlank="1" showErrorMessage="1" sqref="A8:A17 A22:A32 A37:A46 A51:A60 A65:A74">
      <formula1>Datos!$D$2:$D$11</formula1>
    </dataValidation>
    <dataValidation type="list" allowBlank="1" showErrorMessage="1" sqref="J5">
      <formula1>Datos!$B$2:$B$12</formula1>
    </dataValidation>
    <dataValidation type="list" allowBlank="1" showErrorMessage="1" sqref="J6 J20 J35 J49 J63">
      <formula1>Datos!$D$2:$D$14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10.71"/>
    <col customWidth="1" min="24" max="24" width="7.86"/>
    <col customWidth="1" min="25" max="25" width="15.43"/>
    <col customWidth="1" min="26" max="28" width="10.71"/>
  </cols>
  <sheetData>
    <row r="1" ht="14.25" customHeight="1"/>
    <row r="2" ht="14.25" customHeight="1"/>
    <row r="3" ht="14.25" customHeight="1"/>
    <row r="4" ht="14.25" customHeight="1"/>
    <row r="5" ht="14.25" customHeight="1">
      <c r="J5" s="1"/>
    </row>
    <row r="6" ht="14.25" customHeight="1">
      <c r="A6" s="2" t="s">
        <v>0</v>
      </c>
      <c r="B6" s="3"/>
      <c r="C6" s="4"/>
      <c r="J6" s="1"/>
    </row>
    <row r="7" ht="14.25" customHeight="1">
      <c r="A7" s="6" t="s">
        <v>2</v>
      </c>
      <c r="B7" s="10" t="s">
        <v>4</v>
      </c>
      <c r="C7" s="8"/>
      <c r="D7" s="9"/>
      <c r="E7" s="6" t="s">
        <v>5</v>
      </c>
      <c r="F7" s="6" t="s">
        <v>6</v>
      </c>
      <c r="G7" s="6" t="s">
        <v>7</v>
      </c>
      <c r="H7" s="6" t="s">
        <v>8</v>
      </c>
      <c r="I7" s="10" t="s">
        <v>9</v>
      </c>
      <c r="J7" s="9"/>
      <c r="M7" s="11" t="s">
        <v>0</v>
      </c>
      <c r="N7" s="12"/>
      <c r="O7" s="12"/>
      <c r="P7" s="12"/>
      <c r="Q7" s="12"/>
      <c r="R7" s="12"/>
      <c r="S7" s="12"/>
      <c r="T7" s="12"/>
      <c r="U7" s="12"/>
      <c r="V7" s="12"/>
      <c r="W7" s="13"/>
      <c r="Y7" s="1"/>
      <c r="Z7" s="14" t="s">
        <v>10</v>
      </c>
      <c r="AA7" s="12"/>
      <c r="AB7" s="13"/>
    </row>
    <row r="8" ht="14.25" customHeight="1">
      <c r="A8" s="21" t="s">
        <v>12</v>
      </c>
      <c r="B8" s="19" t="s">
        <v>279</v>
      </c>
      <c r="C8" s="18"/>
      <c r="D8" s="20"/>
      <c r="E8" s="21">
        <v>2.0</v>
      </c>
      <c r="F8" s="21">
        <v>10.0</v>
      </c>
      <c r="G8" s="21"/>
      <c r="H8" s="21"/>
      <c r="I8" s="113"/>
      <c r="J8" s="9"/>
      <c r="M8" s="25"/>
      <c r="N8" s="28" t="s">
        <v>16</v>
      </c>
      <c r="O8" s="28" t="s">
        <v>26</v>
      </c>
      <c r="P8" s="28" t="s">
        <v>27</v>
      </c>
      <c r="Q8" s="28" t="s">
        <v>28</v>
      </c>
      <c r="R8" s="28" t="s">
        <v>29</v>
      </c>
      <c r="S8" s="28" t="s">
        <v>30</v>
      </c>
      <c r="T8" s="28" t="s">
        <v>31</v>
      </c>
      <c r="U8" s="28" t="s">
        <v>32</v>
      </c>
      <c r="V8" s="28" t="s">
        <v>33</v>
      </c>
      <c r="W8" s="28" t="s">
        <v>12</v>
      </c>
      <c r="Z8" s="28" t="s">
        <v>16</v>
      </c>
      <c r="AA8" s="1">
        <f>SUM(N9,N14,N19,N24,N29)</f>
        <v>7</v>
      </c>
    </row>
    <row r="9" ht="14.25" customHeight="1">
      <c r="A9" s="21" t="s">
        <v>12</v>
      </c>
      <c r="B9" s="19" t="s">
        <v>283</v>
      </c>
      <c r="C9" s="18"/>
      <c r="D9" s="20"/>
      <c r="E9" s="21">
        <v>3.0</v>
      </c>
      <c r="F9" s="21">
        <v>12.0</v>
      </c>
      <c r="G9" s="21"/>
      <c r="H9" s="21"/>
      <c r="I9" s="113"/>
      <c r="J9" s="9"/>
      <c r="M9" s="34" t="s">
        <v>36</v>
      </c>
      <c r="N9" s="37">
        <f>SUMIF(A8:A17,"Pecho",E8:E17)</f>
        <v>7</v>
      </c>
      <c r="O9" s="37">
        <f>SUMIF(A8:A17,"Espalda",E8:E17)</f>
        <v>0</v>
      </c>
      <c r="P9" s="37">
        <f>SUMIF($A8:$A17,"Hombros",$E8:$E17)</f>
        <v>3</v>
      </c>
      <c r="Q9" s="37">
        <f>SUMIF($A8:$A17,"Bíceps",$E8:$E17)</f>
        <v>0</v>
      </c>
      <c r="R9" s="37">
        <f>SUMIF($A8:$A17,"Tríceps",$E8:$E17)</f>
        <v>3</v>
      </c>
      <c r="S9" s="38">
        <f>SUMIF(A8:A17,"Cuádriceps",E8:E17)</f>
        <v>4</v>
      </c>
      <c r="T9" s="37">
        <f>SUMIF($A8:$A17,"Isquios",$E8:$E17)</f>
        <v>0</v>
      </c>
      <c r="U9" s="37">
        <f>SUMIF($A8:$A17,"Glúteos",$E8:$E17)</f>
        <v>3</v>
      </c>
      <c r="V9" s="37">
        <f>SUMIF($A8:$A17,"Pantorrillas",$E8:$E17)</f>
        <v>0</v>
      </c>
      <c r="W9" s="37">
        <f>SUMIF($A8:$A17,"Otros",$E8:$E17)</f>
        <v>11</v>
      </c>
      <c r="Z9" s="28" t="s">
        <v>26</v>
      </c>
      <c r="AA9" s="1">
        <f>SUM(O9,O14,O19,O24,O29)</f>
        <v>10</v>
      </c>
    </row>
    <row r="10" ht="14.25" customHeight="1">
      <c r="A10" s="21" t="s">
        <v>12</v>
      </c>
      <c r="B10" s="19" t="s">
        <v>292</v>
      </c>
      <c r="C10" s="18"/>
      <c r="D10" s="20"/>
      <c r="E10" s="21">
        <v>3.0</v>
      </c>
      <c r="F10" s="21">
        <v>10.0</v>
      </c>
      <c r="G10" s="21"/>
      <c r="H10" s="21"/>
      <c r="I10" s="113"/>
      <c r="J10" s="9"/>
      <c r="M10" s="34" t="s">
        <v>7</v>
      </c>
      <c r="N10" s="35">
        <f>AVERAGEIF($A8:$A17,"Pecho",$G8:$G17)</f>
        <v>8</v>
      </c>
      <c r="O10" s="35" t="str">
        <f>AVERAGEIF($A8:$A17,"Espalda",$G8:$G17)</f>
        <v>#DIV/0!</v>
      </c>
      <c r="P10" s="35" t="str">
        <f>AVERAGEIF($A8:$A17,"Hombros",$G8:$G17)</f>
        <v>#DIV/0!</v>
      </c>
      <c r="Q10" s="35" t="str">
        <f>AVERAGEIF($A8:$A17,"Bíceps",$G8:$G17)</f>
        <v>#DIV/0!</v>
      </c>
      <c r="R10" s="35" t="str">
        <f>AVERAGEIF($A8:$A17,"Tríceps",$G8:$G17)</f>
        <v>#DIV/0!</v>
      </c>
      <c r="S10" s="35" t="str">
        <f>AVERAGEIF($A8:$A17,"Cuádriceps",$G8:$G17)</f>
        <v>#DIV/0!</v>
      </c>
      <c r="T10" s="35" t="str">
        <f>AVERAGEIF($A8:$A17,"Isquios",$G8:$G17)</f>
        <v>#DIV/0!</v>
      </c>
      <c r="U10" s="35" t="str">
        <f>AVERAGEIF($A8:$A17,"Glúteos",$G8:$G17)</f>
        <v>#DIV/0!</v>
      </c>
      <c r="V10" s="35" t="str">
        <f>AVERAGEIF($A8:$A17,"Pantorrillas",$G8:$G17)</f>
        <v>#DIV/0!</v>
      </c>
      <c r="W10" s="35" t="str">
        <f>AVERAGEIF($A8:$A17,"Otros",$G8:$G17)</f>
        <v>#DIV/0!</v>
      </c>
      <c r="Z10" s="28" t="s">
        <v>27</v>
      </c>
      <c r="AA10" s="1">
        <f>SUM(P9,P14,P19,P24,P29)</f>
        <v>3</v>
      </c>
    </row>
    <row r="11" ht="14.25" customHeight="1">
      <c r="A11" s="16" t="s">
        <v>16</v>
      </c>
      <c r="B11" s="30" t="s">
        <v>302</v>
      </c>
      <c r="C11" s="18"/>
      <c r="D11" s="20"/>
      <c r="E11" s="27">
        <v>3.0</v>
      </c>
      <c r="F11" s="27">
        <v>10.0</v>
      </c>
      <c r="G11" s="27">
        <v>8.0</v>
      </c>
      <c r="H11" s="27" t="s">
        <v>55</v>
      </c>
      <c r="I11" s="33"/>
      <c r="J11" s="9"/>
      <c r="M11" s="25"/>
      <c r="N11" s="25"/>
      <c r="O11" s="25"/>
      <c r="P11" s="25"/>
      <c r="Q11" s="25"/>
      <c r="R11" s="25"/>
      <c r="S11" s="25"/>
      <c r="T11" s="25"/>
      <c r="U11" s="25"/>
      <c r="Z11" s="28" t="s">
        <v>28</v>
      </c>
      <c r="AA11" s="1">
        <f>SUM(Q9,Q14,Q19,Q24,Q29)</f>
        <v>3</v>
      </c>
    </row>
    <row r="12" ht="14.25" customHeight="1">
      <c r="A12" s="21" t="s">
        <v>30</v>
      </c>
      <c r="B12" s="19" t="s">
        <v>307</v>
      </c>
      <c r="C12" s="18"/>
      <c r="D12" s="20"/>
      <c r="E12" s="21">
        <v>4.0</v>
      </c>
      <c r="F12" s="21" t="s">
        <v>71</v>
      </c>
      <c r="G12" s="21"/>
      <c r="H12" s="21"/>
      <c r="I12" s="113"/>
      <c r="J12" s="9"/>
      <c r="M12" s="11" t="s">
        <v>45</v>
      </c>
      <c r="N12" s="12"/>
      <c r="O12" s="12"/>
      <c r="P12" s="12"/>
      <c r="Q12" s="12"/>
      <c r="R12" s="12"/>
      <c r="S12" s="12"/>
      <c r="T12" s="12"/>
      <c r="U12" s="12"/>
      <c r="V12" s="12"/>
      <c r="W12" s="13"/>
      <c r="Z12" s="28" t="s">
        <v>29</v>
      </c>
      <c r="AA12" s="1">
        <f>SUM(R9,R14,R19,R24,R29)</f>
        <v>10</v>
      </c>
    </row>
    <row r="13" ht="14.25" customHeight="1">
      <c r="A13" s="21" t="s">
        <v>27</v>
      </c>
      <c r="B13" s="19" t="s">
        <v>311</v>
      </c>
      <c r="C13" s="18"/>
      <c r="D13" s="20"/>
      <c r="E13" s="21">
        <v>3.0</v>
      </c>
      <c r="F13" s="21">
        <v>10.0</v>
      </c>
      <c r="G13" s="21"/>
      <c r="H13" s="21"/>
      <c r="I13" s="113"/>
      <c r="J13" s="9"/>
      <c r="M13" s="25"/>
      <c r="N13" s="28" t="s">
        <v>16</v>
      </c>
      <c r="O13" s="28" t="s">
        <v>26</v>
      </c>
      <c r="P13" s="28" t="s">
        <v>27</v>
      </c>
      <c r="Q13" s="28" t="s">
        <v>28</v>
      </c>
      <c r="R13" s="28" t="s">
        <v>29</v>
      </c>
      <c r="S13" s="28" t="s">
        <v>30</v>
      </c>
      <c r="T13" s="28" t="s">
        <v>31</v>
      </c>
      <c r="U13" s="28" t="s">
        <v>32</v>
      </c>
      <c r="V13" s="28" t="s">
        <v>33</v>
      </c>
      <c r="W13" s="28" t="s">
        <v>12</v>
      </c>
      <c r="Z13" s="28" t="s">
        <v>30</v>
      </c>
      <c r="AA13" s="1">
        <f>SUM(S9,S14,S19,S24,S29)</f>
        <v>4</v>
      </c>
    </row>
    <row r="14" ht="14.25" customHeight="1">
      <c r="A14" s="16" t="s">
        <v>32</v>
      </c>
      <c r="B14" s="30" t="s">
        <v>313</v>
      </c>
      <c r="C14" s="18"/>
      <c r="D14" s="20"/>
      <c r="E14" s="27">
        <v>3.0</v>
      </c>
      <c r="F14" s="27">
        <v>10.0</v>
      </c>
      <c r="G14" s="27"/>
      <c r="H14" s="27"/>
      <c r="I14" s="33"/>
      <c r="J14" s="9"/>
      <c r="M14" s="34" t="s">
        <v>36</v>
      </c>
      <c r="N14" s="35">
        <f>SUMIF($A22:$A31,"Pecho",$E22:$E31)</f>
        <v>0</v>
      </c>
      <c r="O14" s="35">
        <f>SUMIF($A22:$A31,"Espalda",$E22:$E31)</f>
        <v>7</v>
      </c>
      <c r="P14" s="35">
        <f>SUMIF($A22:$A31,"Hombros",$E22:$E31)</f>
        <v>0</v>
      </c>
      <c r="Q14" s="35">
        <f>SUMIF($A22:$A31,"Bíceps",$E22:$E31)</f>
        <v>0</v>
      </c>
      <c r="R14" s="35">
        <f>SUMIF($A22:$A31,"Tríceps",$E22:$E31)</f>
        <v>3</v>
      </c>
      <c r="S14" s="35">
        <f>SUMIF($A22:$A31,"Cuádriceps",$E22:$E31)</f>
        <v>0</v>
      </c>
      <c r="T14" s="35">
        <f>SUMIF($A22:$A31,"Isquios",$E22:$E31)</f>
        <v>4</v>
      </c>
      <c r="U14" s="35">
        <f>SUMIF($A22:$A31,"Glúteos",$E22:$E31)</f>
        <v>9</v>
      </c>
      <c r="V14" s="35">
        <f>SUMIF($A22:$A31,"Pantorrillas",$E22:$E31)</f>
        <v>0</v>
      </c>
      <c r="W14" s="35">
        <f>SUMIF($A22:$A31,"Otros",$E22:$E31)</f>
        <v>9</v>
      </c>
      <c r="Z14" s="28" t="s">
        <v>31</v>
      </c>
      <c r="AA14" s="1">
        <f>SUM(T9,T14,T19,T24,T29)</f>
        <v>11</v>
      </c>
    </row>
    <row r="15" ht="14.25" customHeight="1">
      <c r="A15" s="16" t="s">
        <v>16</v>
      </c>
      <c r="B15" s="30" t="s">
        <v>321</v>
      </c>
      <c r="C15" s="18"/>
      <c r="D15" s="20"/>
      <c r="E15" s="27">
        <v>4.0</v>
      </c>
      <c r="F15" s="112" t="s">
        <v>272</v>
      </c>
      <c r="G15" s="27"/>
      <c r="H15" s="27"/>
      <c r="I15" s="33"/>
      <c r="J15" s="9"/>
      <c r="M15" s="34" t="s">
        <v>7</v>
      </c>
      <c r="N15" s="35" t="str">
        <f>AVERAGEIF($A22:$A31,"Pecho",$G22:$G31)</f>
        <v>#DIV/0!</v>
      </c>
      <c r="O15" s="35" t="str">
        <f>AVERAGEIF($A22:$A31,"Espalda",$G22:$G31)</f>
        <v>#DIV/0!</v>
      </c>
      <c r="P15" s="35" t="str">
        <f>AVERAGEIF($A22:$A31,"Hombros",$G22:$G31)</f>
        <v>#DIV/0!</v>
      </c>
      <c r="Q15" s="35" t="str">
        <f>AVERAGEIF($A22:$A31,"Bíceps",$G22:$G31)</f>
        <v>#DIV/0!</v>
      </c>
      <c r="R15" s="35" t="str">
        <f>AVERAGEIF($A22:$A31,"Tríceps",$G22:$G31)</f>
        <v>#DIV/0!</v>
      </c>
      <c r="S15" s="35" t="str">
        <f>AVERAGEIF($A22:$A31,"Cuádriceps",$G22:$G31)</f>
        <v>#DIV/0!</v>
      </c>
      <c r="T15" s="35">
        <f>AVERAGEIF($A22:$A31,"Isquios",$G22:$G31)</f>
        <v>8</v>
      </c>
      <c r="U15" s="35" t="str">
        <f>AVERAGEIF($A22:$A31,"Glúteos",$G22:$G31)</f>
        <v>#DIV/0!</v>
      </c>
      <c r="V15" s="35" t="str">
        <f>AVERAGEIF($A22:$A31,"Pantorrillas",$G22:$G31)</f>
        <v>#DIV/0!</v>
      </c>
      <c r="W15" s="35" t="str">
        <f>AVERAGEIF($A22:$A31,"Otros",$G22:$G31)</f>
        <v>#DIV/0!</v>
      </c>
      <c r="Z15" s="28" t="s">
        <v>32</v>
      </c>
      <c r="AA15" s="1">
        <f>SUM(U9,U14,U19,U24,U29)</f>
        <v>12</v>
      </c>
    </row>
    <row r="16" ht="14.25" customHeight="1">
      <c r="A16" s="21" t="s">
        <v>29</v>
      </c>
      <c r="B16" s="19" t="s">
        <v>343</v>
      </c>
      <c r="C16" s="18"/>
      <c r="D16" s="20"/>
      <c r="E16" s="21">
        <v>3.0</v>
      </c>
      <c r="F16" s="21">
        <v>10.0</v>
      </c>
      <c r="G16" s="21"/>
      <c r="H16" s="21"/>
      <c r="I16" s="113"/>
      <c r="J16" s="9"/>
      <c r="M16" s="25"/>
      <c r="N16" s="25"/>
      <c r="O16" s="25"/>
      <c r="P16" s="25"/>
      <c r="Q16" s="25"/>
      <c r="R16" s="25"/>
      <c r="S16" s="25"/>
      <c r="T16" s="25"/>
      <c r="U16" s="25"/>
      <c r="Z16" s="28" t="s">
        <v>33</v>
      </c>
      <c r="AA16" s="1">
        <f>SUM(V9,V14,V19,V24,V29)</f>
        <v>3</v>
      </c>
    </row>
    <row r="17" ht="14.25" customHeight="1">
      <c r="A17" s="21" t="s">
        <v>12</v>
      </c>
      <c r="B17" s="19" t="s">
        <v>345</v>
      </c>
      <c r="C17" s="18"/>
      <c r="D17" s="20"/>
      <c r="E17" s="21">
        <v>3.0</v>
      </c>
      <c r="F17" s="21">
        <v>4.0</v>
      </c>
      <c r="G17" s="21"/>
      <c r="H17" s="21"/>
      <c r="I17" s="113"/>
      <c r="J17" s="9"/>
      <c r="M17" s="11" t="s">
        <v>57</v>
      </c>
      <c r="N17" s="12"/>
      <c r="O17" s="12"/>
      <c r="P17" s="12"/>
      <c r="Q17" s="12"/>
      <c r="R17" s="12"/>
      <c r="S17" s="12"/>
      <c r="T17" s="12"/>
      <c r="U17" s="12"/>
      <c r="V17" s="12"/>
      <c r="W17" s="13"/>
      <c r="Z17" s="28" t="s">
        <v>12</v>
      </c>
      <c r="AA17" s="1">
        <f>SUM(W9,W14,W19,W24,W29)</f>
        <v>32</v>
      </c>
    </row>
    <row r="18" ht="14.25" customHeight="1">
      <c r="B18" s="26"/>
      <c r="C18" s="29"/>
      <c r="D18" s="29"/>
      <c r="M18" s="25"/>
      <c r="N18" s="28" t="s">
        <v>16</v>
      </c>
      <c r="O18" s="28" t="s">
        <v>26</v>
      </c>
      <c r="P18" s="28" t="s">
        <v>27</v>
      </c>
      <c r="Q18" s="28" t="s">
        <v>28</v>
      </c>
      <c r="R18" s="28" t="s">
        <v>29</v>
      </c>
      <c r="S18" s="28" t="s">
        <v>30</v>
      </c>
      <c r="T18" s="28" t="s">
        <v>31</v>
      </c>
      <c r="U18" s="28" t="s">
        <v>32</v>
      </c>
      <c r="V18" s="28" t="s">
        <v>33</v>
      </c>
      <c r="W18" s="28" t="s">
        <v>12</v>
      </c>
    </row>
    <row r="19" ht="14.25" customHeight="1">
      <c r="M19" s="34" t="s">
        <v>36</v>
      </c>
      <c r="N19" s="35">
        <f>SUMIF($A37:$A46,"Pecho",$E37:$E46)</f>
        <v>0</v>
      </c>
      <c r="O19" s="35">
        <f>SUMIF($A37:$A46,"Espalda",$E37:$E46)</f>
        <v>3</v>
      </c>
      <c r="P19" s="35">
        <f>SUMIF($A37:$A46,"Hombros",$E37:$E46)</f>
        <v>0</v>
      </c>
      <c r="Q19" s="35">
        <f>SUMIF($A37:$A46,"Bíceps",$E37:$E46)</f>
        <v>3</v>
      </c>
      <c r="R19" s="35">
        <f>SUMIF($A37:$A46,"Tríceps",$E37:$E46)</f>
        <v>4</v>
      </c>
      <c r="S19" s="35">
        <f>SUMIF($A37:$A46,"Cuádriceps",$E37:$E46)</f>
        <v>0</v>
      </c>
      <c r="T19" s="35">
        <f>SUMIF($A37:$A46,"Isquios",$E37:$E46)</f>
        <v>7</v>
      </c>
      <c r="U19" s="35">
        <f>SUMIF($A37:$A46,"Glúteos",$E37:$E46)</f>
        <v>0</v>
      </c>
      <c r="V19" s="35">
        <f>SUMIF($A37:$A46,"Pantorrillas",$E37:$E46)</f>
        <v>3</v>
      </c>
      <c r="W19" s="35">
        <f>SUMIF($A37:$A46,"Otros",$E37:$E46)</f>
        <v>12</v>
      </c>
    </row>
    <row r="20" ht="14.25" customHeight="1">
      <c r="A20" s="2" t="s">
        <v>45</v>
      </c>
      <c r="B20" s="3"/>
      <c r="C20" s="4"/>
      <c r="J20" s="1"/>
      <c r="M20" s="34" t="s">
        <v>7</v>
      </c>
      <c r="N20" s="35" t="str">
        <f>AVERAGEIF($A37:$A46,"Pecho",$G37:$G46)</f>
        <v>#DIV/0!</v>
      </c>
      <c r="O20" s="35" t="str">
        <f>AVERAGEIF($A37:$A46,"Espalda",$G37:$G46)</f>
        <v>#DIV/0!</v>
      </c>
      <c r="P20" s="35" t="str">
        <f>AVERAGEIF($A37:$A46,"Hombros",$G37:$G46)</f>
        <v>#DIV/0!</v>
      </c>
      <c r="Q20" s="35" t="str">
        <f>AVERAGEIF($A37:$A46,"Bíceps",$G37:$G46)</f>
        <v>#DIV/0!</v>
      </c>
      <c r="R20" s="35" t="str">
        <f>AVERAGEIF($A37:$A46,"Tríceps",$G37:$G46)</f>
        <v>#DIV/0!</v>
      </c>
      <c r="S20" s="35" t="str">
        <f>AVERAGEIF($A37:$A46,"Cuádriceps",$G37:$G46)</f>
        <v>#DIV/0!</v>
      </c>
      <c r="T20" s="35">
        <f>AVERAGEIF($A37:$A46,"Isquios",$G37:$G46)</f>
        <v>8</v>
      </c>
      <c r="U20" s="35" t="str">
        <f>AVERAGEIF($A37:$A46,"Glúteos",$G37:$G46)</f>
        <v>#DIV/0!</v>
      </c>
      <c r="V20" s="35" t="str">
        <f>AVERAGEIF($A37:$A46,"Pantorrillas",$G37:$G46)</f>
        <v>#DIV/0!</v>
      </c>
      <c r="W20" s="35" t="str">
        <f>AVERAGEIF($A37:$A46,"Otros",$G37:$G46)</f>
        <v>#DIV/0!</v>
      </c>
    </row>
    <row r="21" ht="14.25" customHeight="1">
      <c r="A21" s="6" t="s">
        <v>2</v>
      </c>
      <c r="B21" s="10" t="s">
        <v>4</v>
      </c>
      <c r="C21" s="8"/>
      <c r="D21" s="9"/>
      <c r="E21" s="6" t="s">
        <v>5</v>
      </c>
      <c r="F21" s="6" t="s">
        <v>6</v>
      </c>
      <c r="G21" s="6" t="s">
        <v>7</v>
      </c>
      <c r="H21" s="6" t="s">
        <v>8</v>
      </c>
      <c r="I21" s="10" t="s">
        <v>9</v>
      </c>
      <c r="J21" s="9"/>
      <c r="M21" s="25"/>
      <c r="N21" s="25"/>
      <c r="O21" s="25"/>
      <c r="P21" s="25"/>
      <c r="Q21" s="25"/>
      <c r="R21" s="25"/>
      <c r="S21" s="25"/>
      <c r="T21" s="25"/>
      <c r="U21" s="25"/>
    </row>
    <row r="22" ht="14.25" customHeight="1">
      <c r="A22" s="21" t="s">
        <v>12</v>
      </c>
      <c r="B22" s="19" t="s">
        <v>287</v>
      </c>
      <c r="C22" s="18"/>
      <c r="D22" s="20"/>
      <c r="E22" s="21">
        <v>3.0</v>
      </c>
      <c r="F22" s="21">
        <v>10.0</v>
      </c>
      <c r="G22" s="21"/>
      <c r="H22" s="21"/>
      <c r="I22" s="113"/>
      <c r="J22" s="9"/>
      <c r="M22" s="11" t="s">
        <v>66</v>
      </c>
      <c r="N22" s="12"/>
      <c r="O22" s="12"/>
      <c r="P22" s="12"/>
      <c r="Q22" s="12"/>
      <c r="R22" s="12"/>
      <c r="S22" s="12"/>
      <c r="T22" s="12"/>
      <c r="U22" s="12"/>
      <c r="V22" s="12"/>
      <c r="W22" s="13"/>
    </row>
    <row r="23" ht="14.25" customHeight="1">
      <c r="A23" s="21" t="s">
        <v>12</v>
      </c>
      <c r="B23" s="19" t="s">
        <v>358</v>
      </c>
      <c r="C23" s="18"/>
      <c r="D23" s="20"/>
      <c r="E23" s="21">
        <v>3.0</v>
      </c>
      <c r="F23" s="21">
        <v>12.0</v>
      </c>
      <c r="G23" s="21"/>
      <c r="H23" s="21"/>
      <c r="I23" s="113"/>
      <c r="J23" s="9"/>
      <c r="M23" s="25"/>
      <c r="N23" s="28" t="s">
        <v>16</v>
      </c>
      <c r="O23" s="28" t="s">
        <v>26</v>
      </c>
      <c r="P23" s="28" t="s">
        <v>27</v>
      </c>
      <c r="Q23" s="28" t="s">
        <v>28</v>
      </c>
      <c r="R23" s="28" t="s">
        <v>29</v>
      </c>
      <c r="S23" s="28" t="s">
        <v>30</v>
      </c>
      <c r="T23" s="28" t="s">
        <v>31</v>
      </c>
      <c r="U23" s="28" t="s">
        <v>32</v>
      </c>
      <c r="V23" s="28" t="s">
        <v>33</v>
      </c>
      <c r="W23" s="28" t="s">
        <v>12</v>
      </c>
    </row>
    <row r="24" ht="14.25" customHeight="1">
      <c r="A24" s="21" t="s">
        <v>12</v>
      </c>
      <c r="B24" s="19" t="s">
        <v>291</v>
      </c>
      <c r="C24" s="18"/>
      <c r="D24" s="20"/>
      <c r="E24" s="21">
        <v>3.0</v>
      </c>
      <c r="F24" s="21">
        <v>10.0</v>
      </c>
      <c r="G24" s="21"/>
      <c r="H24" s="21"/>
      <c r="I24" s="113"/>
      <c r="J24" s="9"/>
      <c r="M24" s="34" t="s">
        <v>36</v>
      </c>
      <c r="N24" s="35">
        <f>SUMIF($A51:$A60,"Pecho",$E51:$E60)</f>
        <v>0</v>
      </c>
      <c r="O24" s="35">
        <f>SUMIF($A51:$A60,"Espalda",$E51:$E60)</f>
        <v>0</v>
      </c>
      <c r="P24" s="35">
        <f>SUMIF($A51:$A60,"Hombros",$E51:$E60)</f>
        <v>0</v>
      </c>
      <c r="Q24" s="35">
        <f>SUMIF($A51:$A60,"Bíceps",$E51:$E60)</f>
        <v>0</v>
      </c>
      <c r="R24" s="35">
        <f>SUMIF($A51:$A60,"Tríceps",$E51:$E60)</f>
        <v>0</v>
      </c>
      <c r="S24" s="35">
        <f>SUMIF($A51:$A60,"Cuádriceps",$E51:$E60)</f>
        <v>0</v>
      </c>
      <c r="T24" s="35">
        <f>SUMIF($A51:$A60,"Isquios",$E51:$E60)</f>
        <v>0</v>
      </c>
      <c r="U24" s="35">
        <f>SUMIF($A51:$A60,"Glúteos",$E51:$E60)</f>
        <v>0</v>
      </c>
      <c r="V24" s="35">
        <f>SUMIF($A51:$A60,"Pantorrillas",$E51:$E60)</f>
        <v>0</v>
      </c>
      <c r="W24" s="35">
        <f>SUMIF($A51:$A60,"Otros",$E51:$E60)</f>
        <v>0</v>
      </c>
    </row>
    <row r="25" ht="14.25" customHeight="1">
      <c r="A25" s="16" t="s">
        <v>31</v>
      </c>
      <c r="B25" s="30" t="s">
        <v>359</v>
      </c>
      <c r="C25" s="18"/>
      <c r="D25" s="20"/>
      <c r="E25" s="27">
        <v>4.0</v>
      </c>
      <c r="F25" s="27">
        <v>10.0</v>
      </c>
      <c r="G25" s="27">
        <v>8.0</v>
      </c>
      <c r="H25" s="27" t="s">
        <v>55</v>
      </c>
      <c r="I25" s="24"/>
      <c r="J25" s="9"/>
      <c r="M25" s="34" t="s">
        <v>7</v>
      </c>
      <c r="N25" s="35" t="str">
        <f>AVERAGEIF($A51:$A60,"Pecho",$G51:$G60)</f>
        <v>#DIV/0!</v>
      </c>
      <c r="O25" s="35" t="str">
        <f>AVERAGEIF($A51:$A60,"Espalda",$G51:$G60)</f>
        <v>#DIV/0!</v>
      </c>
      <c r="P25" s="35" t="str">
        <f>AVERAGEIF($A51:$A60,"Hombros",$G51:$G60)</f>
        <v>#DIV/0!</v>
      </c>
      <c r="Q25" s="35" t="str">
        <f>AVERAGEIF($A51:$A60,"Bíceps",$G51:$G60)</f>
        <v>#DIV/0!</v>
      </c>
      <c r="R25" s="35" t="str">
        <f>AVERAGEIF($A51:$A60,"Tríceps",$G51:$G60)</f>
        <v>#DIV/0!</v>
      </c>
      <c r="S25" s="35" t="str">
        <f>AVERAGEIF($A51:$A60,"Cuádriceps",$G51:$G60)</f>
        <v>#DIV/0!</v>
      </c>
      <c r="T25" s="35" t="str">
        <f>AVERAGEIF($A51:$A60,"Isquios",$G51:$G60)</f>
        <v>#DIV/0!</v>
      </c>
      <c r="U25" s="35" t="str">
        <f>AVERAGEIF($A51:$A60,"Glúteos",$G51:$G60)</f>
        <v>#DIV/0!</v>
      </c>
      <c r="V25" s="35" t="str">
        <f>AVERAGEIF($A51:$A60,"Pantorrillas",$G51:$G60)</f>
        <v>#DIV/0!</v>
      </c>
      <c r="W25" s="35" t="str">
        <f>AVERAGEIF($A51:$A60,"Otros",$G51:$G60)</f>
        <v>#DIV/0!</v>
      </c>
    </row>
    <row r="26" ht="14.25" customHeight="1">
      <c r="A26" s="21" t="s">
        <v>32</v>
      </c>
      <c r="B26" s="19" t="s">
        <v>360</v>
      </c>
      <c r="C26" s="18"/>
      <c r="D26" s="20"/>
      <c r="E26" s="21">
        <v>3.0</v>
      </c>
      <c r="F26" s="21" t="s">
        <v>65</v>
      </c>
      <c r="G26" s="21"/>
      <c r="H26" s="21"/>
      <c r="I26" s="113"/>
      <c r="J26" s="9"/>
      <c r="M26" s="25"/>
      <c r="N26" s="25"/>
      <c r="O26" s="25"/>
      <c r="P26" s="25"/>
      <c r="Q26" s="25"/>
      <c r="R26" s="25"/>
      <c r="S26" s="25"/>
      <c r="T26" s="25"/>
      <c r="U26" s="25"/>
    </row>
    <row r="27" ht="14.25" customHeight="1">
      <c r="A27" s="21" t="s">
        <v>26</v>
      </c>
      <c r="B27" s="19" t="s">
        <v>326</v>
      </c>
      <c r="C27" s="18"/>
      <c r="D27" s="20"/>
      <c r="E27" s="21">
        <v>4.0</v>
      </c>
      <c r="F27" s="21">
        <v>8.0</v>
      </c>
      <c r="G27" s="21"/>
      <c r="H27" s="21"/>
      <c r="I27" s="113"/>
      <c r="J27" s="9"/>
      <c r="M27" s="11" t="s">
        <v>76</v>
      </c>
      <c r="N27" s="12"/>
      <c r="O27" s="12"/>
      <c r="P27" s="12"/>
      <c r="Q27" s="12"/>
      <c r="R27" s="12"/>
      <c r="S27" s="12"/>
      <c r="T27" s="12"/>
      <c r="U27" s="12"/>
      <c r="V27" s="12"/>
      <c r="W27" s="13"/>
    </row>
    <row r="28" ht="14.25" customHeight="1">
      <c r="A28" s="16" t="s">
        <v>26</v>
      </c>
      <c r="B28" s="30" t="s">
        <v>361</v>
      </c>
      <c r="C28" s="18"/>
      <c r="D28" s="20"/>
      <c r="E28" s="27">
        <v>3.0</v>
      </c>
      <c r="F28" s="27">
        <v>10.0</v>
      </c>
      <c r="G28" s="27"/>
      <c r="H28" s="27"/>
      <c r="I28" s="24"/>
      <c r="J28" s="9"/>
      <c r="M28" s="25"/>
      <c r="N28" s="28" t="s">
        <v>16</v>
      </c>
      <c r="O28" s="28" t="s">
        <v>26</v>
      </c>
      <c r="P28" s="28" t="s">
        <v>27</v>
      </c>
      <c r="Q28" s="28" t="s">
        <v>28</v>
      </c>
      <c r="R28" s="28" t="s">
        <v>29</v>
      </c>
      <c r="S28" s="28" t="s">
        <v>30</v>
      </c>
      <c r="T28" s="28" t="s">
        <v>31</v>
      </c>
      <c r="U28" s="28" t="s">
        <v>32</v>
      </c>
      <c r="V28" s="28" t="s">
        <v>33</v>
      </c>
      <c r="W28" s="28" t="s">
        <v>12</v>
      </c>
    </row>
    <row r="29" ht="14.25" customHeight="1">
      <c r="A29" s="16" t="s">
        <v>32</v>
      </c>
      <c r="B29" s="30" t="s">
        <v>362</v>
      </c>
      <c r="C29" s="18"/>
      <c r="D29" s="20"/>
      <c r="E29" s="27">
        <v>3.0</v>
      </c>
      <c r="F29" s="27">
        <v>10.0</v>
      </c>
      <c r="G29" s="27"/>
      <c r="H29" s="27"/>
      <c r="I29" s="24"/>
      <c r="J29" s="9"/>
      <c r="M29" s="34" t="s">
        <v>36</v>
      </c>
      <c r="N29" s="35">
        <f>SUMIF($A65:$A74,"Pecho",$E65:$E74)</f>
        <v>0</v>
      </c>
      <c r="O29" s="35">
        <f>SUMIF($A65:$A74,"Espalda",$E65:$E74)</f>
        <v>0</v>
      </c>
      <c r="P29" s="35">
        <f>SUMIF($A65:$A74,"Hombros",$E65:$E74)</f>
        <v>0</v>
      </c>
      <c r="Q29" s="35">
        <f>SUMIF($A65:$A74,"Bíceps",$E65:$E74)</f>
        <v>0</v>
      </c>
      <c r="R29" s="35">
        <f>SUMIF($A65:$A74,"Tríceps",$E65:$E74)</f>
        <v>0</v>
      </c>
      <c r="S29" s="35">
        <f>SUMIF($A65:$A74,"Cuádriceps",$E65:$E74)</f>
        <v>0</v>
      </c>
      <c r="T29" s="35">
        <f>SUMIF($A65:$A74,"Isquios",$E65:$E74)</f>
        <v>0</v>
      </c>
      <c r="U29" s="35">
        <f>SUMIF($A65:$A74,"Glúteos",$E65:$E74)</f>
        <v>0</v>
      </c>
      <c r="V29" s="35">
        <f>SUMIF($A65:$A74,"Pantorrillas",$E65:$E74)</f>
        <v>0</v>
      </c>
      <c r="W29" s="35">
        <f>SUMIF($A65:$A74,"Otros",$E65:$E74)</f>
        <v>0</v>
      </c>
    </row>
    <row r="30" ht="14.25" customHeight="1">
      <c r="A30" s="21" t="s">
        <v>32</v>
      </c>
      <c r="B30" s="124" t="s">
        <v>363</v>
      </c>
      <c r="C30" s="8"/>
      <c r="D30" s="9"/>
      <c r="E30" s="21">
        <v>3.0</v>
      </c>
      <c r="F30" s="21" t="s">
        <v>364</v>
      </c>
      <c r="G30" s="21"/>
      <c r="H30" s="21"/>
      <c r="I30" s="113"/>
      <c r="J30" s="9"/>
      <c r="M30" s="34" t="s">
        <v>7</v>
      </c>
      <c r="N30" s="35" t="str">
        <f>AVERAGEIF($A65:$A74,"Pecho",$G65:$G74)</f>
        <v>#DIV/0!</v>
      </c>
      <c r="O30" s="35" t="str">
        <f>AVERAGEIF($A65:$A74,"Espalda",$G65:$G74)</f>
        <v>#DIV/0!</v>
      </c>
      <c r="P30" s="35" t="str">
        <f>AVERAGEIF($A65:$A74,"Hombros",$G65:$G74)</f>
        <v>#DIV/0!</v>
      </c>
      <c r="Q30" s="35" t="str">
        <f>AVERAGEIF($A65:$A74,"Bíceps",$G65:$G74)</f>
        <v>#DIV/0!</v>
      </c>
      <c r="R30" s="35" t="str">
        <f>AVERAGEIF($A65:$A74,"Tríceps",$G65:$G74)</f>
        <v>#DIV/0!</v>
      </c>
      <c r="S30" s="35" t="str">
        <f>AVERAGEIF($A65:$A74,"Cuádriceps",$G65:$G74)</f>
        <v>#DIV/0!</v>
      </c>
      <c r="T30" s="35" t="str">
        <f>AVERAGEIF($A65:$A74,"Isquios",$G65:$G74)</f>
        <v>#DIV/0!</v>
      </c>
      <c r="U30" s="35" t="str">
        <f>AVERAGEIF($A65:$A74,"Glúteos",$G65:$G74)</f>
        <v>#DIV/0!</v>
      </c>
      <c r="V30" s="35" t="str">
        <f>AVERAGEIF($A65:$A74,"Pantorrillas",$G65:$G74)</f>
        <v>#DIV/0!</v>
      </c>
      <c r="W30" s="35" t="str">
        <f>AVERAGEIF($A65:$A74,"Otros",$G65:$G74)</f>
        <v>#DIV/0!</v>
      </c>
    </row>
    <row r="31" ht="14.25" customHeight="1">
      <c r="A31" s="21" t="s">
        <v>29</v>
      </c>
      <c r="B31" s="124" t="s">
        <v>365</v>
      </c>
      <c r="C31" s="8"/>
      <c r="D31" s="9"/>
      <c r="E31" s="21">
        <v>3.0</v>
      </c>
      <c r="F31" s="21">
        <v>10.0</v>
      </c>
      <c r="G31" s="21"/>
      <c r="H31" s="21"/>
      <c r="I31" s="113"/>
      <c r="J31" s="9"/>
    </row>
    <row r="32" ht="14.25" customHeight="1">
      <c r="A32" s="125" t="s">
        <v>12</v>
      </c>
      <c r="B32" s="126" t="s">
        <v>366</v>
      </c>
      <c r="C32" s="127"/>
      <c r="D32" s="127"/>
      <c r="E32" s="125">
        <v>3.0</v>
      </c>
      <c r="F32" s="125" t="s">
        <v>367</v>
      </c>
      <c r="G32" s="125"/>
      <c r="H32" s="125"/>
      <c r="I32" s="128"/>
      <c r="J32" s="125"/>
    </row>
    <row r="33" ht="14.25" customHeight="1">
      <c r="B33" s="26"/>
      <c r="C33" s="29"/>
      <c r="D33" s="29"/>
    </row>
    <row r="34" ht="14.25" customHeight="1"/>
    <row r="35" ht="14.25" customHeight="1">
      <c r="A35" s="2" t="s">
        <v>57</v>
      </c>
      <c r="B35" s="3"/>
      <c r="C35" s="4"/>
      <c r="J35" s="1"/>
    </row>
    <row r="36" ht="14.25" customHeight="1">
      <c r="A36" s="6" t="s">
        <v>2</v>
      </c>
      <c r="B36" s="10" t="s">
        <v>4</v>
      </c>
      <c r="C36" s="8"/>
      <c r="D36" s="9"/>
      <c r="E36" s="6" t="s">
        <v>5</v>
      </c>
      <c r="F36" s="6" t="s">
        <v>6</v>
      </c>
      <c r="G36" s="6" t="s">
        <v>7</v>
      </c>
      <c r="H36" s="6" t="s">
        <v>8</v>
      </c>
      <c r="I36" s="10" t="s">
        <v>9</v>
      </c>
      <c r="J36" s="9"/>
    </row>
    <row r="37" ht="14.25" customHeight="1">
      <c r="A37" s="21" t="s">
        <v>12</v>
      </c>
      <c r="B37" s="19" t="s">
        <v>318</v>
      </c>
      <c r="C37" s="18"/>
      <c r="D37" s="20"/>
      <c r="E37" s="21">
        <v>3.0</v>
      </c>
      <c r="F37" s="21">
        <v>10.0</v>
      </c>
      <c r="G37" s="21"/>
      <c r="H37" s="21"/>
      <c r="I37" s="113"/>
      <c r="J37" s="9"/>
    </row>
    <row r="38" ht="14.25" customHeight="1">
      <c r="A38" s="21" t="s">
        <v>12</v>
      </c>
      <c r="B38" s="19" t="s">
        <v>368</v>
      </c>
      <c r="C38" s="18"/>
      <c r="D38" s="20"/>
      <c r="E38" s="21">
        <v>3.0</v>
      </c>
      <c r="F38" s="21">
        <v>12.0</v>
      </c>
      <c r="G38" s="21"/>
      <c r="H38" s="21"/>
      <c r="I38" s="113"/>
      <c r="J38" s="9"/>
    </row>
    <row r="39" ht="14.25" customHeight="1">
      <c r="A39" s="21" t="s">
        <v>12</v>
      </c>
      <c r="B39" s="19" t="s">
        <v>369</v>
      </c>
      <c r="C39" s="18"/>
      <c r="D39" s="20"/>
      <c r="E39" s="21">
        <v>3.0</v>
      </c>
      <c r="F39" s="21">
        <v>12.0</v>
      </c>
      <c r="G39" s="21"/>
      <c r="H39" s="21"/>
      <c r="I39" s="113"/>
      <c r="J39" s="9"/>
    </row>
    <row r="40" ht="14.25" customHeight="1">
      <c r="A40" s="16" t="s">
        <v>31</v>
      </c>
      <c r="B40" s="30" t="s">
        <v>370</v>
      </c>
      <c r="C40" s="18"/>
      <c r="D40" s="20"/>
      <c r="E40" s="27">
        <v>4.0</v>
      </c>
      <c r="F40" s="27">
        <v>6.0</v>
      </c>
      <c r="G40" s="27">
        <v>8.0</v>
      </c>
      <c r="H40" s="27" t="s">
        <v>55</v>
      </c>
      <c r="I40" s="24"/>
      <c r="J40" s="9"/>
    </row>
    <row r="41" ht="14.25" customHeight="1">
      <c r="A41" s="16" t="s">
        <v>26</v>
      </c>
      <c r="B41" s="30" t="s">
        <v>82</v>
      </c>
      <c r="C41" s="18"/>
      <c r="D41" s="20"/>
      <c r="E41" s="27">
        <v>3.0</v>
      </c>
      <c r="F41" s="27">
        <v>10.0</v>
      </c>
      <c r="G41" s="27"/>
      <c r="H41" s="27"/>
      <c r="I41" s="24"/>
      <c r="J41" s="9"/>
    </row>
    <row r="42" ht="14.25" customHeight="1">
      <c r="A42" s="21" t="s">
        <v>28</v>
      </c>
      <c r="B42" s="19" t="s">
        <v>371</v>
      </c>
      <c r="C42" s="18"/>
      <c r="D42" s="20"/>
      <c r="E42" s="21">
        <v>3.0</v>
      </c>
      <c r="F42" s="21" t="s">
        <v>71</v>
      </c>
      <c r="G42" s="21"/>
      <c r="H42" s="21"/>
      <c r="I42" s="113"/>
      <c r="J42" s="9"/>
    </row>
    <row r="43" ht="14.25" customHeight="1">
      <c r="A43" s="21" t="s">
        <v>31</v>
      </c>
      <c r="B43" s="19" t="s">
        <v>372</v>
      </c>
      <c r="C43" s="18"/>
      <c r="D43" s="20"/>
      <c r="E43" s="21">
        <v>3.0</v>
      </c>
      <c r="F43" s="21">
        <v>10.0</v>
      </c>
      <c r="G43" s="21"/>
      <c r="H43" s="21"/>
      <c r="I43" s="113"/>
      <c r="J43" s="9"/>
    </row>
    <row r="44" ht="14.25" customHeight="1">
      <c r="A44" s="16" t="s">
        <v>29</v>
      </c>
      <c r="B44" s="30" t="s">
        <v>373</v>
      </c>
      <c r="C44" s="18"/>
      <c r="D44" s="20"/>
      <c r="E44" s="27">
        <v>4.0</v>
      </c>
      <c r="F44" s="27">
        <v>10.0</v>
      </c>
      <c r="G44" s="27"/>
      <c r="H44" s="27"/>
      <c r="I44" s="24"/>
      <c r="J44" s="9"/>
    </row>
    <row r="45" ht="14.25" customHeight="1">
      <c r="A45" s="21" t="s">
        <v>33</v>
      </c>
      <c r="B45" s="19" t="s">
        <v>374</v>
      </c>
      <c r="C45" s="18"/>
      <c r="D45" s="20"/>
      <c r="E45" s="21">
        <v>3.0</v>
      </c>
      <c r="F45" s="21">
        <v>12.0</v>
      </c>
      <c r="G45" s="21"/>
      <c r="H45" s="21"/>
      <c r="I45" s="113"/>
      <c r="J45" s="9"/>
    </row>
    <row r="46" ht="14.25" customHeight="1">
      <c r="A46" s="21" t="s">
        <v>12</v>
      </c>
      <c r="B46" s="124" t="s">
        <v>375</v>
      </c>
      <c r="C46" s="8"/>
      <c r="D46" s="9"/>
      <c r="E46" s="21">
        <v>3.0</v>
      </c>
      <c r="F46" s="21" t="s">
        <v>376</v>
      </c>
      <c r="G46" s="21"/>
      <c r="H46" s="21"/>
      <c r="I46" s="113"/>
      <c r="J46" s="9"/>
    </row>
    <row r="47" ht="14.25" customHeight="1">
      <c r="B47" s="26"/>
      <c r="C47" s="29"/>
      <c r="D47" s="29"/>
    </row>
    <row r="48" ht="14.25" customHeight="1"/>
    <row r="49" ht="14.25" customHeight="1">
      <c r="A49" s="2" t="s">
        <v>66</v>
      </c>
      <c r="B49" s="3"/>
      <c r="C49" s="4"/>
      <c r="J49" s="1"/>
    </row>
    <row r="50" ht="14.25" customHeight="1">
      <c r="A50" s="6" t="s">
        <v>2</v>
      </c>
      <c r="B50" s="10" t="s">
        <v>4</v>
      </c>
      <c r="C50" s="8"/>
      <c r="D50" s="9"/>
      <c r="E50" s="6" t="s">
        <v>5</v>
      </c>
      <c r="F50" s="6" t="s">
        <v>6</v>
      </c>
      <c r="G50" s="6" t="s">
        <v>7</v>
      </c>
      <c r="H50" s="6" t="s">
        <v>8</v>
      </c>
      <c r="I50" s="10" t="s">
        <v>9</v>
      </c>
      <c r="J50" s="9"/>
    </row>
    <row r="51" ht="14.25" customHeight="1">
      <c r="A51" s="16"/>
      <c r="B51" s="26"/>
      <c r="C51" s="29"/>
      <c r="D51" s="29"/>
      <c r="E51" s="16"/>
      <c r="F51" s="16"/>
      <c r="G51" s="16"/>
      <c r="H51" s="16"/>
      <c r="I51" s="24"/>
      <c r="J51" s="9"/>
    </row>
    <row r="52" ht="14.25" customHeight="1">
      <c r="A52" s="16"/>
      <c r="B52" s="26"/>
      <c r="C52" s="29"/>
      <c r="D52" s="29"/>
      <c r="E52" s="16"/>
      <c r="F52" s="16"/>
      <c r="G52" s="16"/>
      <c r="H52" s="16"/>
      <c r="I52" s="24"/>
      <c r="J52" s="9"/>
    </row>
    <row r="53" ht="14.25" customHeight="1">
      <c r="A53" s="16" t="s">
        <v>12</v>
      </c>
      <c r="B53" s="26" t="s">
        <v>329</v>
      </c>
      <c r="C53" s="29"/>
      <c r="D53" s="29"/>
      <c r="E53" s="16"/>
      <c r="F53" s="16">
        <v>10.0</v>
      </c>
      <c r="G53" s="16"/>
      <c r="H53" s="16"/>
      <c r="I53" s="24"/>
      <c r="J53" s="9"/>
    </row>
    <row r="54" ht="14.25" customHeight="1">
      <c r="A54" s="16" t="s">
        <v>31</v>
      </c>
      <c r="B54" s="30" t="s">
        <v>331</v>
      </c>
      <c r="C54" s="18"/>
      <c r="D54" s="20"/>
      <c r="E54" s="27"/>
      <c r="F54" s="27">
        <v>10.0</v>
      </c>
      <c r="G54" s="27"/>
      <c r="H54" s="27"/>
      <c r="I54" s="24"/>
      <c r="J54" s="9"/>
    </row>
    <row r="55" ht="14.25" customHeight="1">
      <c r="A55" s="16" t="s">
        <v>32</v>
      </c>
      <c r="B55" s="30" t="s">
        <v>333</v>
      </c>
      <c r="C55" s="18"/>
      <c r="D55" s="20"/>
      <c r="E55" s="27"/>
      <c r="F55" s="27" t="s">
        <v>278</v>
      </c>
      <c r="G55" s="27"/>
      <c r="H55" s="27"/>
      <c r="I55" s="24"/>
      <c r="J55" s="9"/>
    </row>
    <row r="56" ht="14.25" customHeight="1">
      <c r="A56" s="16" t="s">
        <v>26</v>
      </c>
      <c r="B56" s="30" t="s">
        <v>335</v>
      </c>
      <c r="C56" s="18"/>
      <c r="D56" s="20"/>
      <c r="E56" s="27"/>
      <c r="F56" s="27">
        <v>8.0</v>
      </c>
      <c r="G56" s="27"/>
      <c r="H56" s="27"/>
      <c r="I56" s="24"/>
      <c r="J56" s="9"/>
    </row>
    <row r="57" ht="14.25" customHeight="1">
      <c r="A57" s="16" t="s">
        <v>32</v>
      </c>
      <c r="B57" s="30" t="s">
        <v>338</v>
      </c>
      <c r="C57" s="18"/>
      <c r="D57" s="20"/>
      <c r="E57" s="27"/>
      <c r="F57" s="27">
        <v>8.0</v>
      </c>
      <c r="G57" s="27"/>
      <c r="H57" s="27"/>
      <c r="I57" s="24"/>
      <c r="J57" s="9"/>
    </row>
    <row r="58" ht="14.25" customHeight="1">
      <c r="A58" s="16" t="s">
        <v>26</v>
      </c>
      <c r="B58" s="30" t="s">
        <v>340</v>
      </c>
      <c r="C58" s="18"/>
      <c r="D58" s="20"/>
      <c r="E58" s="27"/>
      <c r="F58" s="27">
        <v>10.0</v>
      </c>
      <c r="G58" s="27"/>
      <c r="H58" s="27"/>
      <c r="I58" s="24"/>
      <c r="J58" s="9"/>
    </row>
    <row r="59" ht="14.25" customHeight="1">
      <c r="A59" s="16" t="s">
        <v>28</v>
      </c>
      <c r="B59" s="30" t="s">
        <v>341</v>
      </c>
      <c r="C59" s="18"/>
      <c r="D59" s="20"/>
      <c r="E59" s="27"/>
      <c r="F59" s="27"/>
      <c r="G59" s="27"/>
      <c r="H59" s="27"/>
      <c r="I59" s="24"/>
      <c r="J59" s="9"/>
    </row>
    <row r="60" ht="14.25" customHeight="1">
      <c r="A60" s="16" t="s">
        <v>33</v>
      </c>
      <c r="B60" s="60" t="s">
        <v>342</v>
      </c>
      <c r="C60" s="8"/>
      <c r="D60" s="9"/>
      <c r="E60" s="27"/>
      <c r="F60" s="27">
        <v>10.0</v>
      </c>
      <c r="G60" s="27"/>
      <c r="H60" s="27"/>
      <c r="I60" s="24"/>
      <c r="J60" s="9"/>
    </row>
    <row r="61" ht="14.25" customHeight="1">
      <c r="B61" s="26"/>
      <c r="C61" s="29"/>
      <c r="D61" s="29"/>
    </row>
    <row r="62" ht="14.25" customHeight="1"/>
    <row r="63" ht="14.25" customHeight="1">
      <c r="A63" s="2" t="s">
        <v>76</v>
      </c>
      <c r="B63" s="3"/>
      <c r="C63" s="4"/>
      <c r="J63" s="1"/>
    </row>
    <row r="64" ht="14.25" customHeight="1">
      <c r="A64" s="6" t="s">
        <v>2</v>
      </c>
      <c r="B64" s="10" t="s">
        <v>4</v>
      </c>
      <c r="C64" s="8"/>
      <c r="D64" s="9"/>
      <c r="E64" s="6" t="s">
        <v>5</v>
      </c>
      <c r="F64" s="6" t="s">
        <v>6</v>
      </c>
      <c r="G64" s="6" t="s">
        <v>7</v>
      </c>
      <c r="H64" s="6" t="s">
        <v>8</v>
      </c>
      <c r="I64" s="10" t="s">
        <v>9</v>
      </c>
      <c r="J64" s="9"/>
    </row>
    <row r="65" ht="14.25" customHeight="1">
      <c r="A65" s="16"/>
      <c r="B65" s="26"/>
      <c r="C65" s="29"/>
      <c r="D65" s="29"/>
      <c r="E65" s="16"/>
      <c r="F65" s="16"/>
      <c r="G65" s="16"/>
      <c r="H65" s="16"/>
      <c r="I65" s="24"/>
      <c r="J65" s="9"/>
    </row>
    <row r="66" ht="14.25" customHeight="1">
      <c r="A66" s="16"/>
      <c r="B66" s="26"/>
      <c r="C66" s="29"/>
      <c r="D66" s="29"/>
      <c r="E66" s="16"/>
      <c r="F66" s="16"/>
      <c r="G66" s="16"/>
      <c r="H66" s="16"/>
      <c r="I66" s="24"/>
      <c r="J66" s="9"/>
    </row>
    <row r="67" ht="14.25" customHeight="1">
      <c r="A67" s="16"/>
      <c r="B67" s="26"/>
      <c r="C67" s="29"/>
      <c r="D67" s="29"/>
      <c r="E67" s="16"/>
      <c r="F67" s="16"/>
      <c r="G67" s="16"/>
      <c r="H67" s="16"/>
      <c r="I67" s="24"/>
      <c r="J67" s="9"/>
    </row>
    <row r="68" ht="14.25" customHeight="1">
      <c r="A68" s="16"/>
      <c r="B68" s="26"/>
      <c r="C68" s="29"/>
      <c r="D68" s="29"/>
      <c r="E68" s="16"/>
      <c r="F68" s="16"/>
      <c r="G68" s="16"/>
      <c r="H68" s="16"/>
      <c r="I68" s="24"/>
      <c r="J68" s="9"/>
    </row>
    <row r="69" ht="14.25" customHeight="1">
      <c r="A69" s="16"/>
      <c r="B69" s="26"/>
      <c r="C69" s="29"/>
      <c r="D69" s="29"/>
      <c r="E69" s="16"/>
      <c r="F69" s="16"/>
      <c r="G69" s="16"/>
      <c r="H69" s="16"/>
      <c r="I69" s="24"/>
      <c r="J69" s="9"/>
    </row>
    <row r="70" ht="14.25" customHeight="1">
      <c r="A70" s="16"/>
      <c r="B70" s="26"/>
      <c r="C70" s="29"/>
      <c r="D70" s="29"/>
      <c r="E70" s="16"/>
      <c r="F70" s="16"/>
      <c r="G70" s="16"/>
      <c r="H70" s="16"/>
      <c r="I70" s="24"/>
      <c r="J70" s="9"/>
    </row>
    <row r="71" ht="14.25" customHeight="1">
      <c r="A71" s="16"/>
      <c r="B71" s="26"/>
      <c r="C71" s="29"/>
      <c r="D71" s="29"/>
      <c r="E71" s="16"/>
      <c r="F71" s="16"/>
      <c r="G71" s="16"/>
      <c r="H71" s="16"/>
      <c r="I71" s="24"/>
      <c r="J71" s="9"/>
    </row>
    <row r="72" ht="14.25" customHeight="1">
      <c r="A72" s="16"/>
      <c r="B72" s="26"/>
      <c r="C72" s="29"/>
      <c r="D72" s="29"/>
      <c r="E72" s="16"/>
      <c r="F72" s="16"/>
      <c r="G72" s="16"/>
      <c r="H72" s="16"/>
      <c r="I72" s="24"/>
      <c r="J72" s="9"/>
    </row>
    <row r="73" ht="14.25" customHeight="1">
      <c r="A73" s="16"/>
      <c r="B73" s="26"/>
      <c r="C73" s="29"/>
      <c r="D73" s="29"/>
      <c r="E73" s="16"/>
      <c r="F73" s="16"/>
      <c r="G73" s="16"/>
      <c r="H73" s="16"/>
      <c r="I73" s="24"/>
      <c r="J73" s="9"/>
    </row>
    <row r="74" ht="14.25" customHeight="1">
      <c r="A74" s="16"/>
      <c r="B74" s="58"/>
      <c r="C74" s="8"/>
      <c r="D74" s="9"/>
      <c r="E74" s="16"/>
      <c r="F74" s="16"/>
      <c r="G74" s="16"/>
      <c r="H74" s="16"/>
      <c r="I74" s="24"/>
      <c r="J74" s="9"/>
    </row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5">
    <mergeCell ref="I26:J26"/>
    <mergeCell ref="I27:J27"/>
    <mergeCell ref="I11:J11"/>
    <mergeCell ref="I13:J13"/>
    <mergeCell ref="I21:J21"/>
    <mergeCell ref="I22:J22"/>
    <mergeCell ref="I23:J23"/>
    <mergeCell ref="I24:J24"/>
    <mergeCell ref="I25:J25"/>
    <mergeCell ref="B26:D26"/>
    <mergeCell ref="B27:D27"/>
    <mergeCell ref="M27:W27"/>
    <mergeCell ref="I28:J28"/>
    <mergeCell ref="B28:D28"/>
    <mergeCell ref="B29:D29"/>
    <mergeCell ref="I29:J29"/>
    <mergeCell ref="B30:D30"/>
    <mergeCell ref="I30:J30"/>
    <mergeCell ref="B31:D31"/>
    <mergeCell ref="I31:J31"/>
    <mergeCell ref="A6:C6"/>
    <mergeCell ref="B7:D7"/>
    <mergeCell ref="I7:J7"/>
    <mergeCell ref="M7:W7"/>
    <mergeCell ref="Z7:AB7"/>
    <mergeCell ref="B8:D8"/>
    <mergeCell ref="B9:D9"/>
    <mergeCell ref="I12:J12"/>
    <mergeCell ref="M12:W12"/>
    <mergeCell ref="I8:J8"/>
    <mergeCell ref="I9:J9"/>
    <mergeCell ref="B10:D10"/>
    <mergeCell ref="I10:J10"/>
    <mergeCell ref="B11:D11"/>
    <mergeCell ref="B12:D12"/>
    <mergeCell ref="B13:D13"/>
    <mergeCell ref="I17:J17"/>
    <mergeCell ref="M17:W17"/>
    <mergeCell ref="M22:W22"/>
    <mergeCell ref="B14:D14"/>
    <mergeCell ref="I14:J14"/>
    <mergeCell ref="B15:D15"/>
    <mergeCell ref="I15:J15"/>
    <mergeCell ref="B16:D16"/>
    <mergeCell ref="I16:J16"/>
    <mergeCell ref="B17:D17"/>
    <mergeCell ref="B18:D18"/>
    <mergeCell ref="A20:C20"/>
    <mergeCell ref="B21:D21"/>
    <mergeCell ref="B22:D22"/>
    <mergeCell ref="B23:D23"/>
    <mergeCell ref="B24:D24"/>
    <mergeCell ref="B25:D25"/>
    <mergeCell ref="I39:J39"/>
    <mergeCell ref="I40:J40"/>
    <mergeCell ref="A49:C49"/>
    <mergeCell ref="B50:D50"/>
    <mergeCell ref="I50:J50"/>
    <mergeCell ref="B51:D51"/>
    <mergeCell ref="I51:J51"/>
    <mergeCell ref="B52:D52"/>
    <mergeCell ref="B53:D53"/>
    <mergeCell ref="B54:D54"/>
    <mergeCell ref="I54:J54"/>
    <mergeCell ref="B55:D55"/>
    <mergeCell ref="I55:J55"/>
    <mergeCell ref="B56:D56"/>
    <mergeCell ref="I56:J56"/>
    <mergeCell ref="I57:J57"/>
    <mergeCell ref="I68:J68"/>
    <mergeCell ref="I69:J69"/>
    <mergeCell ref="I58:J58"/>
    <mergeCell ref="I59:J59"/>
    <mergeCell ref="I60:J60"/>
    <mergeCell ref="I64:J64"/>
    <mergeCell ref="I65:J65"/>
    <mergeCell ref="I66:J66"/>
    <mergeCell ref="I67:J67"/>
    <mergeCell ref="B33:D33"/>
    <mergeCell ref="A35:C35"/>
    <mergeCell ref="B36:D36"/>
    <mergeCell ref="I36:J36"/>
    <mergeCell ref="B37:D37"/>
    <mergeCell ref="I37:J37"/>
    <mergeCell ref="I38:J38"/>
    <mergeCell ref="I42:J42"/>
    <mergeCell ref="I43:J43"/>
    <mergeCell ref="B38:D38"/>
    <mergeCell ref="B39:D39"/>
    <mergeCell ref="B40:D40"/>
    <mergeCell ref="B41:D41"/>
    <mergeCell ref="I41:J41"/>
    <mergeCell ref="B42:D42"/>
    <mergeCell ref="B43:D43"/>
    <mergeCell ref="B44:D44"/>
    <mergeCell ref="I44:J44"/>
    <mergeCell ref="B45:D45"/>
    <mergeCell ref="I45:J45"/>
    <mergeCell ref="B46:D46"/>
    <mergeCell ref="I46:J46"/>
    <mergeCell ref="B47:D47"/>
    <mergeCell ref="I52:J52"/>
    <mergeCell ref="I53:J53"/>
    <mergeCell ref="I70:J70"/>
    <mergeCell ref="I71:J71"/>
    <mergeCell ref="I72:J72"/>
    <mergeCell ref="I73:J73"/>
    <mergeCell ref="I74:J74"/>
    <mergeCell ref="B57:D57"/>
    <mergeCell ref="B58:D58"/>
    <mergeCell ref="B59:D59"/>
    <mergeCell ref="B60:D60"/>
    <mergeCell ref="B61:D61"/>
    <mergeCell ref="A63:C63"/>
    <mergeCell ref="B64:D64"/>
    <mergeCell ref="B72:D72"/>
    <mergeCell ref="B73:D73"/>
    <mergeCell ref="B74:D74"/>
    <mergeCell ref="B65:D65"/>
    <mergeCell ref="B66:D66"/>
    <mergeCell ref="B67:D67"/>
    <mergeCell ref="B68:D68"/>
    <mergeCell ref="B69:D69"/>
    <mergeCell ref="B70:D70"/>
    <mergeCell ref="B71:D71"/>
  </mergeCells>
  <dataValidations>
    <dataValidation type="list" allowBlank="1" showErrorMessage="1" sqref="A8:A17 A22:A32 A37:A46 A51:A60 A65:A74">
      <formula1>Datos!$D$2:$D$11</formula1>
    </dataValidation>
    <dataValidation type="list" allowBlank="1" showErrorMessage="1" sqref="J5">
      <formula1>Datos!$B$2:$B$12</formula1>
    </dataValidation>
    <dataValidation type="list" allowBlank="1" showErrorMessage="1" sqref="J6 J20 J35 J49 J63">
      <formula1>Datos!$D$2:$D$14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10.71"/>
    <col customWidth="1" min="24" max="24" width="7.86"/>
    <col customWidth="1" min="25" max="25" width="15.43"/>
    <col customWidth="1" min="26" max="28" width="10.71"/>
  </cols>
  <sheetData>
    <row r="1" ht="14.25" customHeight="1"/>
    <row r="2" ht="14.25" customHeight="1"/>
    <row r="3" ht="14.25" customHeight="1"/>
    <row r="4" ht="14.25" customHeight="1"/>
    <row r="5" ht="14.25" customHeight="1">
      <c r="J5" s="1"/>
    </row>
    <row r="6" ht="14.25" customHeight="1">
      <c r="A6" s="2" t="s">
        <v>377</v>
      </c>
      <c r="B6" s="3"/>
      <c r="C6" s="4"/>
      <c r="J6" s="1"/>
    </row>
    <row r="7" ht="14.25" customHeight="1">
      <c r="A7" s="6" t="s">
        <v>2</v>
      </c>
      <c r="B7" s="10" t="s">
        <v>4</v>
      </c>
      <c r="C7" s="8"/>
      <c r="D7" s="9"/>
      <c r="E7" s="6" t="s">
        <v>5</v>
      </c>
      <c r="F7" s="6" t="s">
        <v>6</v>
      </c>
      <c r="G7" s="6" t="s">
        <v>7</v>
      </c>
      <c r="H7" s="6" t="s">
        <v>8</v>
      </c>
      <c r="I7" s="10" t="s">
        <v>9</v>
      </c>
      <c r="J7" s="9"/>
      <c r="M7" s="11" t="s">
        <v>0</v>
      </c>
      <c r="N7" s="12"/>
      <c r="O7" s="12"/>
      <c r="P7" s="12"/>
      <c r="Q7" s="12"/>
      <c r="R7" s="12"/>
      <c r="S7" s="12"/>
      <c r="T7" s="12"/>
      <c r="U7" s="12"/>
      <c r="V7" s="12"/>
      <c r="W7" s="13"/>
      <c r="Y7" s="1"/>
      <c r="Z7" s="14" t="s">
        <v>10</v>
      </c>
      <c r="AA7" s="12"/>
      <c r="AB7" s="13"/>
    </row>
    <row r="8" ht="14.25" customHeight="1">
      <c r="A8" s="53" t="s">
        <v>12</v>
      </c>
      <c r="B8" s="54" t="s">
        <v>378</v>
      </c>
      <c r="C8" s="18"/>
      <c r="D8" s="20"/>
      <c r="E8" s="53">
        <v>2.0</v>
      </c>
      <c r="F8" s="53">
        <v>10.0</v>
      </c>
      <c r="G8" s="53"/>
      <c r="H8" s="53"/>
      <c r="I8" s="55"/>
      <c r="J8" s="9"/>
      <c r="M8" s="25"/>
      <c r="N8" s="28" t="s">
        <v>16</v>
      </c>
      <c r="O8" s="28" t="s">
        <v>26</v>
      </c>
      <c r="P8" s="28" t="s">
        <v>27</v>
      </c>
      <c r="Q8" s="28" t="s">
        <v>28</v>
      </c>
      <c r="R8" s="28" t="s">
        <v>29</v>
      </c>
      <c r="S8" s="28" t="s">
        <v>30</v>
      </c>
      <c r="T8" s="28" t="s">
        <v>31</v>
      </c>
      <c r="U8" s="28" t="s">
        <v>32</v>
      </c>
      <c r="V8" s="28" t="s">
        <v>33</v>
      </c>
      <c r="W8" s="28" t="s">
        <v>12</v>
      </c>
      <c r="Z8" s="28" t="s">
        <v>16</v>
      </c>
      <c r="AA8" s="1">
        <f>SUM(N9,N14,N19,N24,N29)</f>
        <v>3</v>
      </c>
    </row>
    <row r="9" ht="14.25" customHeight="1">
      <c r="A9" s="53" t="s">
        <v>12</v>
      </c>
      <c r="B9" s="54" t="s">
        <v>379</v>
      </c>
      <c r="C9" s="18"/>
      <c r="D9" s="20"/>
      <c r="E9" s="53">
        <v>3.0</v>
      </c>
      <c r="F9" s="53">
        <v>12.0</v>
      </c>
      <c r="G9" s="53"/>
      <c r="H9" s="53"/>
      <c r="I9" s="55"/>
      <c r="J9" s="9"/>
      <c r="M9" s="34" t="s">
        <v>36</v>
      </c>
      <c r="N9" s="37">
        <f>SUMIF(A8:A17,"Pecho",E8:E17)</f>
        <v>3</v>
      </c>
      <c r="O9" s="37">
        <f>SUMIF(A8:A17,"Espalda",E8:E17)</f>
        <v>6</v>
      </c>
      <c r="P9" s="37">
        <f>SUMIF($A8:$A17,"Hombros",$E8:$E17)</f>
        <v>0</v>
      </c>
      <c r="Q9" s="37">
        <f>SUMIF($A8:$A17,"Bíceps",$E8:$E17)</f>
        <v>0</v>
      </c>
      <c r="R9" s="37">
        <f>SUMIF($A8:$A17,"Tríceps",$E8:$E17)</f>
        <v>4</v>
      </c>
      <c r="S9" s="38">
        <f>SUMIF(A8:A17,"Cuádriceps",E8:E17)</f>
        <v>7</v>
      </c>
      <c r="T9" s="37">
        <f>SUMIF($A8:$A17,"Isquios",$E8:$E17)</f>
        <v>0</v>
      </c>
      <c r="U9" s="37">
        <f>SUMIF($A8:$A17,"Glúteos",$E8:$E17)</f>
        <v>0</v>
      </c>
      <c r="V9" s="37">
        <f>SUMIF($A8:$A17,"Pantorrillas",$E8:$E17)</f>
        <v>0</v>
      </c>
      <c r="W9" s="37">
        <f>SUMIF($A8:$A17,"Otros",$E8:$E17)</f>
        <v>11</v>
      </c>
      <c r="Z9" s="28" t="s">
        <v>26</v>
      </c>
      <c r="AA9" s="1">
        <f>SUM(O9,O14,O19,O24,O29)</f>
        <v>10</v>
      </c>
    </row>
    <row r="10" ht="14.25" customHeight="1">
      <c r="A10" s="53" t="s">
        <v>12</v>
      </c>
      <c r="B10" s="54" t="s">
        <v>381</v>
      </c>
      <c r="C10" s="18"/>
      <c r="D10" s="20"/>
      <c r="E10" s="53">
        <v>3.0</v>
      </c>
      <c r="F10" s="53">
        <v>10.0</v>
      </c>
      <c r="G10" s="53"/>
      <c r="H10" s="53"/>
      <c r="I10" s="55"/>
      <c r="J10" s="9"/>
      <c r="M10" s="34" t="s">
        <v>7</v>
      </c>
      <c r="N10" s="35">
        <f>AVERAGEIF($A8:$A17,"Pecho",$G8:$G17)</f>
        <v>8</v>
      </c>
      <c r="O10" s="35" t="str">
        <f>AVERAGEIF($A8:$A17,"Espalda",$G8:$G17)</f>
        <v>#DIV/0!</v>
      </c>
      <c r="P10" s="35" t="str">
        <f>AVERAGEIF($A8:$A17,"Hombros",$G8:$G17)</f>
        <v>#DIV/0!</v>
      </c>
      <c r="Q10" s="35" t="str">
        <f>AVERAGEIF($A8:$A17,"Bíceps",$G8:$G17)</f>
        <v>#DIV/0!</v>
      </c>
      <c r="R10" s="35" t="str">
        <f>AVERAGEIF($A8:$A17,"Tríceps",$G8:$G17)</f>
        <v>#DIV/0!</v>
      </c>
      <c r="S10" s="35" t="str">
        <f>AVERAGEIF($A8:$A17,"Cuádriceps",$G8:$G17)</f>
        <v>#DIV/0!</v>
      </c>
      <c r="T10" s="35" t="str">
        <f>AVERAGEIF($A8:$A17,"Isquios",$G8:$G17)</f>
        <v>#DIV/0!</v>
      </c>
      <c r="U10" s="35" t="str">
        <f>AVERAGEIF($A8:$A17,"Glúteos",$G8:$G17)</f>
        <v>#DIV/0!</v>
      </c>
      <c r="V10" s="35" t="str">
        <f>AVERAGEIF($A8:$A17,"Pantorrillas",$G8:$G17)</f>
        <v>#DIV/0!</v>
      </c>
      <c r="W10" s="35" t="str">
        <f>AVERAGEIF($A8:$A17,"Otros",$G8:$G17)</f>
        <v>#DIV/0!</v>
      </c>
      <c r="Z10" s="28" t="s">
        <v>27</v>
      </c>
      <c r="AA10" s="1">
        <f>SUM(P9,P14,P19,P24,P29)</f>
        <v>0</v>
      </c>
    </row>
    <row r="11" ht="14.25" customHeight="1">
      <c r="A11" s="16" t="s">
        <v>16</v>
      </c>
      <c r="B11" s="30" t="s">
        <v>384</v>
      </c>
      <c r="C11" s="18"/>
      <c r="D11" s="20"/>
      <c r="E11" s="27">
        <v>3.0</v>
      </c>
      <c r="F11" s="27">
        <v>10.0</v>
      </c>
      <c r="G11" s="27">
        <v>8.0</v>
      </c>
      <c r="H11" s="27" t="s">
        <v>55</v>
      </c>
      <c r="I11" s="33"/>
      <c r="J11" s="9"/>
      <c r="M11" s="25"/>
      <c r="N11" s="25"/>
      <c r="O11" s="25"/>
      <c r="P11" s="25"/>
      <c r="Q11" s="25"/>
      <c r="R11" s="25"/>
      <c r="S11" s="25"/>
      <c r="T11" s="25"/>
      <c r="U11" s="25"/>
      <c r="Z11" s="28" t="s">
        <v>28</v>
      </c>
      <c r="AA11" s="1">
        <f>SUM(Q9,Q14,Q19,Q24,Q29)</f>
        <v>3</v>
      </c>
    </row>
    <row r="12" ht="14.25" customHeight="1">
      <c r="A12" s="53" t="s">
        <v>30</v>
      </c>
      <c r="B12" s="54" t="s">
        <v>385</v>
      </c>
      <c r="C12" s="18"/>
      <c r="D12" s="20"/>
      <c r="E12" s="53">
        <v>4.0</v>
      </c>
      <c r="F12" s="53" t="s">
        <v>386</v>
      </c>
      <c r="G12" s="53"/>
      <c r="H12" s="53"/>
      <c r="I12" s="55"/>
      <c r="J12" s="9"/>
      <c r="M12" s="11" t="s">
        <v>45</v>
      </c>
      <c r="N12" s="12"/>
      <c r="O12" s="12"/>
      <c r="P12" s="12"/>
      <c r="Q12" s="12"/>
      <c r="R12" s="12"/>
      <c r="S12" s="12"/>
      <c r="T12" s="12"/>
      <c r="U12" s="12"/>
      <c r="V12" s="12"/>
      <c r="W12" s="13"/>
      <c r="Z12" s="28" t="s">
        <v>29</v>
      </c>
      <c r="AA12" s="1">
        <f>SUM(R9,R14,R19,R24,R29)</f>
        <v>11</v>
      </c>
    </row>
    <row r="13" ht="14.25" customHeight="1">
      <c r="A13" s="53" t="s">
        <v>26</v>
      </c>
      <c r="B13" s="54" t="s">
        <v>388</v>
      </c>
      <c r="C13" s="18"/>
      <c r="D13" s="20"/>
      <c r="E13" s="53">
        <v>3.0</v>
      </c>
      <c r="F13" s="53">
        <v>10.0</v>
      </c>
      <c r="G13" s="53"/>
      <c r="H13" s="53"/>
      <c r="I13" s="55"/>
      <c r="J13" s="9"/>
      <c r="M13" s="25"/>
      <c r="N13" s="28" t="s">
        <v>16</v>
      </c>
      <c r="O13" s="28" t="s">
        <v>26</v>
      </c>
      <c r="P13" s="28" t="s">
        <v>27</v>
      </c>
      <c r="Q13" s="28" t="s">
        <v>28</v>
      </c>
      <c r="R13" s="28" t="s">
        <v>29</v>
      </c>
      <c r="S13" s="28" t="s">
        <v>30</v>
      </c>
      <c r="T13" s="28" t="s">
        <v>31</v>
      </c>
      <c r="U13" s="28" t="s">
        <v>32</v>
      </c>
      <c r="V13" s="28" t="s">
        <v>33</v>
      </c>
      <c r="W13" s="28" t="s">
        <v>12</v>
      </c>
      <c r="Z13" s="28" t="s">
        <v>30</v>
      </c>
      <c r="AA13" s="1">
        <f>SUM(S9,S14,S19,S24,S29)</f>
        <v>14</v>
      </c>
    </row>
    <row r="14" ht="14.25" customHeight="1">
      <c r="A14" s="16" t="s">
        <v>30</v>
      </c>
      <c r="B14" s="30" t="s">
        <v>389</v>
      </c>
      <c r="C14" s="18"/>
      <c r="D14" s="20"/>
      <c r="E14" s="27">
        <v>3.0</v>
      </c>
      <c r="F14" s="27" t="s">
        <v>390</v>
      </c>
      <c r="G14" s="27"/>
      <c r="H14" s="27"/>
      <c r="I14" s="33"/>
      <c r="J14" s="9"/>
      <c r="M14" s="34" t="s">
        <v>36</v>
      </c>
      <c r="N14" s="35">
        <f>SUMIF($A22:$A31,"Pecho",$E22:$E31)</f>
        <v>0</v>
      </c>
      <c r="O14" s="35">
        <f>SUMIF($A22:$A31,"Espalda",$E22:$E31)</f>
        <v>4</v>
      </c>
      <c r="P14" s="35">
        <f>SUMIF($A22:$A31,"Hombros",$E22:$E31)</f>
        <v>0</v>
      </c>
      <c r="Q14" s="35">
        <f>SUMIF($A22:$A31,"Bíceps",$E22:$E31)</f>
        <v>0</v>
      </c>
      <c r="R14" s="35">
        <f>SUMIF($A22:$A31,"Tríceps",$E22:$E31)</f>
        <v>3</v>
      </c>
      <c r="S14" s="35">
        <f>SUMIF($A22:$A31,"Cuádriceps",$E22:$E31)</f>
        <v>3</v>
      </c>
      <c r="T14" s="35">
        <f>SUMIF($A22:$A31,"Isquios",$E22:$E31)</f>
        <v>4</v>
      </c>
      <c r="U14" s="35">
        <f>SUMIF($A22:$A31,"Glúteos",$E22:$E31)</f>
        <v>9</v>
      </c>
      <c r="V14" s="35">
        <f>SUMIF($A22:$A31,"Pantorrillas",$E22:$E31)</f>
        <v>0</v>
      </c>
      <c r="W14" s="35">
        <f>SUMIF($A22:$A31,"Otros",$E22:$E31)</f>
        <v>9</v>
      </c>
      <c r="Z14" s="28" t="s">
        <v>31</v>
      </c>
      <c r="AA14" s="1">
        <f>SUM(T9,T14,T19,T24,T29)</f>
        <v>7</v>
      </c>
    </row>
    <row r="15" ht="14.25" customHeight="1">
      <c r="A15" s="16" t="s">
        <v>29</v>
      </c>
      <c r="B15" s="30" t="s">
        <v>247</v>
      </c>
      <c r="C15" s="18"/>
      <c r="D15" s="20"/>
      <c r="E15" s="27">
        <v>4.0</v>
      </c>
      <c r="F15" s="112" t="s">
        <v>386</v>
      </c>
      <c r="G15" s="27"/>
      <c r="H15" s="27"/>
      <c r="I15" s="33"/>
      <c r="J15" s="9"/>
      <c r="M15" s="34" t="s">
        <v>7</v>
      </c>
      <c r="N15" s="35" t="str">
        <f>AVERAGEIF($A22:$A31,"Pecho",$G22:$G31)</f>
        <v>#DIV/0!</v>
      </c>
      <c r="O15" s="35" t="str">
        <f>AVERAGEIF($A22:$A31,"Espalda",$G22:$G31)</f>
        <v>#DIV/0!</v>
      </c>
      <c r="P15" s="35" t="str">
        <f>AVERAGEIF($A22:$A31,"Hombros",$G22:$G31)</f>
        <v>#DIV/0!</v>
      </c>
      <c r="Q15" s="35" t="str">
        <f>AVERAGEIF($A22:$A31,"Bíceps",$G22:$G31)</f>
        <v>#DIV/0!</v>
      </c>
      <c r="R15" s="35" t="str">
        <f>AVERAGEIF($A22:$A31,"Tríceps",$G22:$G31)</f>
        <v>#DIV/0!</v>
      </c>
      <c r="S15" s="35" t="str">
        <f>AVERAGEIF($A22:$A31,"Cuádriceps",$G22:$G31)</f>
        <v>#DIV/0!</v>
      </c>
      <c r="T15" s="35">
        <f>AVERAGEIF($A22:$A31,"Isquios",$G22:$G31)</f>
        <v>8</v>
      </c>
      <c r="U15" s="35" t="str">
        <f>AVERAGEIF($A22:$A31,"Glúteos",$G22:$G31)</f>
        <v>#DIV/0!</v>
      </c>
      <c r="V15" s="35" t="str">
        <f>AVERAGEIF($A22:$A31,"Pantorrillas",$G22:$G31)</f>
        <v>#DIV/0!</v>
      </c>
      <c r="W15" s="35" t="str">
        <f>AVERAGEIF($A22:$A31,"Otros",$G22:$G31)</f>
        <v>#DIV/0!</v>
      </c>
      <c r="Z15" s="28" t="s">
        <v>32</v>
      </c>
      <c r="AA15" s="1">
        <f>SUM(U9,U14,U19,U24,U29)</f>
        <v>12</v>
      </c>
    </row>
    <row r="16" ht="14.25" customHeight="1">
      <c r="A16" s="53" t="s">
        <v>26</v>
      </c>
      <c r="B16" s="54" t="s">
        <v>395</v>
      </c>
      <c r="C16" s="18"/>
      <c r="D16" s="20"/>
      <c r="E16" s="53">
        <v>3.0</v>
      </c>
      <c r="F16" s="53">
        <v>12.0</v>
      </c>
      <c r="G16" s="53"/>
      <c r="H16" s="53"/>
      <c r="I16" s="55"/>
      <c r="J16" s="9"/>
      <c r="M16" s="25"/>
      <c r="N16" s="25"/>
      <c r="O16" s="25"/>
      <c r="P16" s="25"/>
      <c r="Q16" s="25"/>
      <c r="R16" s="25"/>
      <c r="S16" s="25"/>
      <c r="T16" s="25"/>
      <c r="U16" s="25"/>
      <c r="Z16" s="28" t="s">
        <v>33</v>
      </c>
      <c r="AA16" s="1">
        <f>SUM(V9,V14,V19,V24,V29)</f>
        <v>3</v>
      </c>
    </row>
    <row r="17" ht="14.25" customHeight="1">
      <c r="A17" s="53" t="s">
        <v>12</v>
      </c>
      <c r="B17" s="54" t="s">
        <v>396</v>
      </c>
      <c r="C17" s="18"/>
      <c r="D17" s="20"/>
      <c r="E17" s="53">
        <v>3.0</v>
      </c>
      <c r="F17" s="53" t="s">
        <v>397</v>
      </c>
      <c r="G17" s="53"/>
      <c r="H17" s="53"/>
      <c r="I17" s="55"/>
      <c r="J17" s="9"/>
      <c r="M17" s="11" t="s">
        <v>57</v>
      </c>
      <c r="N17" s="12"/>
      <c r="O17" s="12"/>
      <c r="P17" s="12"/>
      <c r="Q17" s="12"/>
      <c r="R17" s="12"/>
      <c r="S17" s="12"/>
      <c r="T17" s="12"/>
      <c r="U17" s="12"/>
      <c r="V17" s="12"/>
      <c r="W17" s="13"/>
      <c r="Z17" s="28" t="s">
        <v>12</v>
      </c>
      <c r="AA17" s="1">
        <f>SUM(W9,W14,W19,W24,W29)</f>
        <v>32</v>
      </c>
    </row>
    <row r="18" ht="14.25" customHeight="1">
      <c r="B18" s="26"/>
      <c r="C18" s="29"/>
      <c r="D18" s="29"/>
      <c r="M18" s="25"/>
      <c r="N18" s="28" t="s">
        <v>16</v>
      </c>
      <c r="O18" s="28" t="s">
        <v>26</v>
      </c>
      <c r="P18" s="28" t="s">
        <v>27</v>
      </c>
      <c r="Q18" s="28" t="s">
        <v>28</v>
      </c>
      <c r="R18" s="28" t="s">
        <v>29</v>
      </c>
      <c r="S18" s="28" t="s">
        <v>30</v>
      </c>
      <c r="T18" s="28" t="s">
        <v>31</v>
      </c>
      <c r="U18" s="28" t="s">
        <v>32</v>
      </c>
      <c r="V18" s="28" t="s">
        <v>33</v>
      </c>
      <c r="W18" s="28" t="s">
        <v>12</v>
      </c>
    </row>
    <row r="19" ht="14.25" customHeight="1">
      <c r="M19" s="34" t="s">
        <v>36</v>
      </c>
      <c r="N19" s="35">
        <f>SUMIF($A37:$A46,"Pecho",$E37:$E46)</f>
        <v>0</v>
      </c>
      <c r="O19" s="35">
        <f>SUMIF($A37:$A46,"Espalda",$E37:$E46)</f>
        <v>0</v>
      </c>
      <c r="P19" s="35">
        <f>SUMIF($A37:$A46,"Hombros",$E37:$E46)</f>
        <v>0</v>
      </c>
      <c r="Q19" s="35">
        <f>SUMIF($A37:$A46,"Bíceps",$E37:$E46)</f>
        <v>3</v>
      </c>
      <c r="R19" s="35">
        <f>SUMIF($A37:$A46,"Tríceps",$E37:$E46)</f>
        <v>4</v>
      </c>
      <c r="S19" s="35">
        <f>SUMIF($A37:$A46,"Cuádriceps",$E37:$E46)</f>
        <v>4</v>
      </c>
      <c r="T19" s="35">
        <f>SUMIF($A37:$A46,"Isquios",$E37:$E46)</f>
        <v>3</v>
      </c>
      <c r="U19" s="35">
        <f>SUMIF($A37:$A46,"Glúteos",$E37:$E46)</f>
        <v>3</v>
      </c>
      <c r="V19" s="35">
        <f>SUMIF($A37:$A46,"Pantorrillas",$E37:$E46)</f>
        <v>3</v>
      </c>
      <c r="W19" s="35">
        <f>SUMIF($A37:$A46,"Otros",$E37:$E46)</f>
        <v>12</v>
      </c>
    </row>
    <row r="20" ht="14.25" customHeight="1">
      <c r="A20" s="2" t="s">
        <v>399</v>
      </c>
      <c r="B20" s="3"/>
      <c r="C20" s="4"/>
      <c r="J20" s="1"/>
      <c r="M20" s="34" t="s">
        <v>7</v>
      </c>
      <c r="N20" s="35" t="str">
        <f>AVERAGEIF($A37:$A46,"Pecho",$G37:$G46)</f>
        <v>#DIV/0!</v>
      </c>
      <c r="O20" s="35" t="str">
        <f>AVERAGEIF($A37:$A46,"Espalda",$G37:$G46)</f>
        <v>#DIV/0!</v>
      </c>
      <c r="P20" s="35" t="str">
        <f>AVERAGEIF($A37:$A46,"Hombros",$G37:$G46)</f>
        <v>#DIV/0!</v>
      </c>
      <c r="Q20" s="35" t="str">
        <f>AVERAGEIF($A37:$A46,"Bíceps",$G37:$G46)</f>
        <v>#DIV/0!</v>
      </c>
      <c r="R20" s="35" t="str">
        <f>AVERAGEIF($A37:$A46,"Tríceps",$G37:$G46)</f>
        <v>#DIV/0!</v>
      </c>
      <c r="S20" s="35">
        <f>AVERAGEIF($A37:$A46,"Cuádriceps",$G37:$G46)</f>
        <v>8</v>
      </c>
      <c r="T20" s="35" t="str">
        <f>AVERAGEIF($A37:$A46,"Isquios",$G37:$G46)</f>
        <v>#DIV/0!</v>
      </c>
      <c r="U20" s="35" t="str">
        <f>AVERAGEIF($A37:$A46,"Glúteos",$G37:$G46)</f>
        <v>#DIV/0!</v>
      </c>
      <c r="V20" s="35" t="str">
        <f>AVERAGEIF($A37:$A46,"Pantorrillas",$G37:$G46)</f>
        <v>#DIV/0!</v>
      </c>
      <c r="W20" s="35" t="str">
        <f>AVERAGEIF($A37:$A46,"Otros",$G37:$G46)</f>
        <v>#DIV/0!</v>
      </c>
    </row>
    <row r="21" ht="14.25" customHeight="1">
      <c r="A21" s="6" t="s">
        <v>2</v>
      </c>
      <c r="B21" s="10" t="s">
        <v>4</v>
      </c>
      <c r="C21" s="8"/>
      <c r="D21" s="9"/>
      <c r="E21" s="6" t="s">
        <v>5</v>
      </c>
      <c r="F21" s="6" t="s">
        <v>6</v>
      </c>
      <c r="G21" s="6" t="s">
        <v>7</v>
      </c>
      <c r="H21" s="6" t="s">
        <v>8</v>
      </c>
      <c r="I21" s="10" t="s">
        <v>9</v>
      </c>
      <c r="J21" s="9"/>
      <c r="M21" s="25"/>
      <c r="N21" s="25"/>
      <c r="O21" s="25"/>
      <c r="P21" s="25"/>
      <c r="Q21" s="25"/>
      <c r="R21" s="25"/>
      <c r="S21" s="25"/>
      <c r="T21" s="25"/>
      <c r="U21" s="25"/>
    </row>
    <row r="22" ht="14.25" customHeight="1">
      <c r="A22" s="53" t="s">
        <v>12</v>
      </c>
      <c r="B22" s="54" t="s">
        <v>287</v>
      </c>
      <c r="C22" s="18"/>
      <c r="D22" s="20"/>
      <c r="E22" s="53">
        <v>3.0</v>
      </c>
      <c r="F22" s="53">
        <v>10.0</v>
      </c>
      <c r="G22" s="53"/>
      <c r="H22" s="53"/>
      <c r="I22" s="55"/>
      <c r="J22" s="9"/>
      <c r="M22" s="11" t="s">
        <v>66</v>
      </c>
      <c r="N22" s="12"/>
      <c r="O22" s="12"/>
      <c r="P22" s="12"/>
      <c r="Q22" s="12"/>
      <c r="R22" s="12"/>
      <c r="S22" s="12"/>
      <c r="T22" s="12"/>
      <c r="U22" s="12"/>
      <c r="V22" s="12"/>
      <c r="W22" s="13"/>
    </row>
    <row r="23" ht="14.25" customHeight="1">
      <c r="A23" s="53" t="s">
        <v>12</v>
      </c>
      <c r="B23" s="54" t="s">
        <v>406</v>
      </c>
      <c r="C23" s="18"/>
      <c r="D23" s="20"/>
      <c r="E23" s="53">
        <v>3.0</v>
      </c>
      <c r="F23" s="53">
        <v>12.0</v>
      </c>
      <c r="G23" s="53"/>
      <c r="H23" s="53"/>
      <c r="I23" s="55"/>
      <c r="J23" s="9"/>
      <c r="M23" s="25"/>
      <c r="N23" s="28" t="s">
        <v>16</v>
      </c>
      <c r="O23" s="28" t="s">
        <v>26</v>
      </c>
      <c r="P23" s="28" t="s">
        <v>27</v>
      </c>
      <c r="Q23" s="28" t="s">
        <v>28</v>
      </c>
      <c r="R23" s="28" t="s">
        <v>29</v>
      </c>
      <c r="S23" s="28" t="s">
        <v>30</v>
      </c>
      <c r="T23" s="28" t="s">
        <v>31</v>
      </c>
      <c r="U23" s="28" t="s">
        <v>32</v>
      </c>
      <c r="V23" s="28" t="s">
        <v>33</v>
      </c>
      <c r="W23" s="28" t="s">
        <v>12</v>
      </c>
    </row>
    <row r="24" ht="14.25" customHeight="1">
      <c r="A24" s="53" t="s">
        <v>12</v>
      </c>
      <c r="B24" s="54" t="s">
        <v>408</v>
      </c>
      <c r="C24" s="18"/>
      <c r="D24" s="20"/>
      <c r="E24" s="53">
        <v>3.0</v>
      </c>
      <c r="F24" s="53">
        <v>10.0</v>
      </c>
      <c r="G24" s="53"/>
      <c r="H24" s="53"/>
      <c r="I24" s="55"/>
      <c r="J24" s="9"/>
      <c r="M24" s="34" t="s">
        <v>36</v>
      </c>
      <c r="N24" s="35">
        <f>SUMIF($A51:$A60,"Pecho",$E51:$E60)</f>
        <v>0</v>
      </c>
      <c r="O24" s="35">
        <f>SUMIF($A51:$A60,"Espalda",$E51:$E60)</f>
        <v>0</v>
      </c>
      <c r="P24" s="35">
        <f>SUMIF($A51:$A60,"Hombros",$E51:$E60)</f>
        <v>0</v>
      </c>
      <c r="Q24" s="35">
        <f>SUMIF($A51:$A60,"Bíceps",$E51:$E60)</f>
        <v>0</v>
      </c>
      <c r="R24" s="35">
        <f>SUMIF($A51:$A60,"Tríceps",$E51:$E60)</f>
        <v>0</v>
      </c>
      <c r="S24" s="35">
        <f>SUMIF($A51:$A60,"Cuádriceps",$E51:$E60)</f>
        <v>0</v>
      </c>
      <c r="T24" s="35">
        <f>SUMIF($A51:$A60,"Isquios",$E51:$E60)</f>
        <v>0</v>
      </c>
      <c r="U24" s="35">
        <f>SUMIF($A51:$A60,"Glúteos",$E51:$E60)</f>
        <v>0</v>
      </c>
      <c r="V24" s="35">
        <f>SUMIF($A51:$A60,"Pantorrillas",$E51:$E60)</f>
        <v>0</v>
      </c>
      <c r="W24" s="35">
        <f>SUMIF($A51:$A60,"Otros",$E51:$E60)</f>
        <v>0</v>
      </c>
    </row>
    <row r="25" ht="14.25" customHeight="1">
      <c r="A25" s="16" t="s">
        <v>31</v>
      </c>
      <c r="B25" s="30" t="s">
        <v>410</v>
      </c>
      <c r="C25" s="18"/>
      <c r="D25" s="20"/>
      <c r="E25" s="27">
        <v>4.0</v>
      </c>
      <c r="F25" s="27">
        <v>8.0</v>
      </c>
      <c r="G25" s="27">
        <v>8.0</v>
      </c>
      <c r="H25" s="27" t="s">
        <v>55</v>
      </c>
      <c r="I25" s="24"/>
      <c r="J25" s="9"/>
      <c r="M25" s="34" t="s">
        <v>7</v>
      </c>
      <c r="N25" s="35" t="str">
        <f>AVERAGEIF($A51:$A60,"Pecho",$G51:$G60)</f>
        <v>#DIV/0!</v>
      </c>
      <c r="O25" s="35" t="str">
        <f>AVERAGEIF($A51:$A60,"Espalda",$G51:$G60)</f>
        <v>#DIV/0!</v>
      </c>
      <c r="P25" s="35" t="str">
        <f>AVERAGEIF($A51:$A60,"Hombros",$G51:$G60)</f>
        <v>#DIV/0!</v>
      </c>
      <c r="Q25" s="35" t="str">
        <f>AVERAGEIF($A51:$A60,"Bíceps",$G51:$G60)</f>
        <v>#DIV/0!</v>
      </c>
      <c r="R25" s="35" t="str">
        <f>AVERAGEIF($A51:$A60,"Tríceps",$G51:$G60)</f>
        <v>#DIV/0!</v>
      </c>
      <c r="S25" s="35" t="str">
        <f>AVERAGEIF($A51:$A60,"Cuádriceps",$G51:$G60)</f>
        <v>#DIV/0!</v>
      </c>
      <c r="T25" s="35" t="str">
        <f>AVERAGEIF($A51:$A60,"Isquios",$G51:$G60)</f>
        <v>#DIV/0!</v>
      </c>
      <c r="U25" s="35" t="str">
        <f>AVERAGEIF($A51:$A60,"Glúteos",$G51:$G60)</f>
        <v>#DIV/0!</v>
      </c>
      <c r="V25" s="35" t="str">
        <f>AVERAGEIF($A51:$A60,"Pantorrillas",$G51:$G60)</f>
        <v>#DIV/0!</v>
      </c>
      <c r="W25" s="35" t="str">
        <f>AVERAGEIF($A51:$A60,"Otros",$G51:$G60)</f>
        <v>#DIV/0!</v>
      </c>
    </row>
    <row r="26" ht="14.25" customHeight="1">
      <c r="A26" s="53" t="s">
        <v>32</v>
      </c>
      <c r="B26" s="54" t="s">
        <v>414</v>
      </c>
      <c r="C26" s="18"/>
      <c r="D26" s="20"/>
      <c r="E26" s="53">
        <v>3.0</v>
      </c>
      <c r="F26" s="53" t="s">
        <v>65</v>
      </c>
      <c r="G26" s="53"/>
      <c r="H26" s="53"/>
      <c r="I26" s="55"/>
      <c r="J26" s="9"/>
      <c r="M26" s="25"/>
      <c r="N26" s="25"/>
      <c r="O26" s="25"/>
      <c r="P26" s="25"/>
      <c r="Q26" s="25"/>
      <c r="R26" s="25"/>
      <c r="S26" s="25"/>
      <c r="T26" s="25"/>
      <c r="U26" s="25"/>
    </row>
    <row r="27" ht="14.25" customHeight="1">
      <c r="A27" s="53" t="s">
        <v>26</v>
      </c>
      <c r="B27" s="54" t="s">
        <v>415</v>
      </c>
      <c r="C27" s="18"/>
      <c r="D27" s="20"/>
      <c r="E27" s="53">
        <v>4.0</v>
      </c>
      <c r="F27" s="53">
        <v>8.0</v>
      </c>
      <c r="G27" s="53"/>
      <c r="H27" s="53"/>
      <c r="I27" s="55"/>
      <c r="J27" s="9"/>
      <c r="M27" s="11" t="s">
        <v>76</v>
      </c>
      <c r="N27" s="12"/>
      <c r="O27" s="12"/>
      <c r="P27" s="12"/>
      <c r="Q27" s="12"/>
      <c r="R27" s="12"/>
      <c r="S27" s="12"/>
      <c r="T27" s="12"/>
      <c r="U27" s="12"/>
      <c r="V27" s="12"/>
      <c r="W27" s="13"/>
    </row>
    <row r="28" ht="14.25" customHeight="1">
      <c r="A28" s="16" t="s">
        <v>30</v>
      </c>
      <c r="B28" s="30" t="s">
        <v>214</v>
      </c>
      <c r="C28" s="18"/>
      <c r="D28" s="20"/>
      <c r="E28" s="27">
        <v>3.0</v>
      </c>
      <c r="F28" s="27" t="s">
        <v>416</v>
      </c>
      <c r="G28" s="27"/>
      <c r="H28" s="27"/>
      <c r="I28" s="24"/>
      <c r="J28" s="9"/>
      <c r="M28" s="25"/>
      <c r="N28" s="28" t="s">
        <v>16</v>
      </c>
      <c r="O28" s="28" t="s">
        <v>26</v>
      </c>
      <c r="P28" s="28" t="s">
        <v>27</v>
      </c>
      <c r="Q28" s="28" t="s">
        <v>28</v>
      </c>
      <c r="R28" s="28" t="s">
        <v>29</v>
      </c>
      <c r="S28" s="28" t="s">
        <v>30</v>
      </c>
      <c r="T28" s="28" t="s">
        <v>31</v>
      </c>
      <c r="U28" s="28" t="s">
        <v>32</v>
      </c>
      <c r="V28" s="28" t="s">
        <v>33</v>
      </c>
      <c r="W28" s="28" t="s">
        <v>12</v>
      </c>
    </row>
    <row r="29" ht="14.25" customHeight="1">
      <c r="A29" s="16" t="s">
        <v>32</v>
      </c>
      <c r="B29" s="30" t="s">
        <v>417</v>
      </c>
      <c r="C29" s="18"/>
      <c r="D29" s="20"/>
      <c r="E29" s="27">
        <v>3.0</v>
      </c>
      <c r="F29" s="27" t="s">
        <v>418</v>
      </c>
      <c r="G29" s="27"/>
      <c r="H29" s="27"/>
      <c r="I29" s="24"/>
      <c r="J29" s="9"/>
      <c r="M29" s="34" t="s">
        <v>36</v>
      </c>
      <c r="N29" s="35">
        <f>SUMIF($A65:$A74,"Pecho",$E65:$E74)</f>
        <v>0</v>
      </c>
      <c r="O29" s="35">
        <f>SUMIF($A65:$A74,"Espalda",$E65:$E74)</f>
        <v>0</v>
      </c>
      <c r="P29" s="35">
        <f>SUMIF($A65:$A74,"Hombros",$E65:$E74)</f>
        <v>0</v>
      </c>
      <c r="Q29" s="35">
        <f>SUMIF($A65:$A74,"Bíceps",$E65:$E74)</f>
        <v>0</v>
      </c>
      <c r="R29" s="35">
        <f>SUMIF($A65:$A74,"Tríceps",$E65:$E74)</f>
        <v>0</v>
      </c>
      <c r="S29" s="35">
        <f>SUMIF($A65:$A74,"Cuádriceps",$E65:$E74)</f>
        <v>0</v>
      </c>
      <c r="T29" s="35">
        <f>SUMIF($A65:$A74,"Isquios",$E65:$E74)</f>
        <v>0</v>
      </c>
      <c r="U29" s="35">
        <f>SUMIF($A65:$A74,"Glúteos",$E65:$E74)</f>
        <v>0</v>
      </c>
      <c r="V29" s="35">
        <f>SUMIF($A65:$A74,"Pantorrillas",$E65:$E74)</f>
        <v>0</v>
      </c>
      <c r="W29" s="35">
        <f>SUMIF($A65:$A74,"Otros",$E65:$E74)</f>
        <v>0</v>
      </c>
    </row>
    <row r="30" ht="14.25" customHeight="1">
      <c r="A30" s="53" t="s">
        <v>32</v>
      </c>
      <c r="B30" s="56" t="s">
        <v>363</v>
      </c>
      <c r="C30" s="8"/>
      <c r="D30" s="9"/>
      <c r="E30" s="53">
        <v>3.0</v>
      </c>
      <c r="F30" s="53" t="s">
        <v>215</v>
      </c>
      <c r="G30" s="53"/>
      <c r="H30" s="53"/>
      <c r="I30" s="55"/>
      <c r="J30" s="9"/>
      <c r="M30" s="34" t="s">
        <v>7</v>
      </c>
      <c r="N30" s="35" t="str">
        <f>AVERAGEIF($A65:$A74,"Pecho",$G65:$G74)</f>
        <v>#DIV/0!</v>
      </c>
      <c r="O30" s="35" t="str">
        <f>AVERAGEIF($A65:$A74,"Espalda",$G65:$G74)</f>
        <v>#DIV/0!</v>
      </c>
      <c r="P30" s="35" t="str">
        <f>AVERAGEIF($A65:$A74,"Hombros",$G65:$G74)</f>
        <v>#DIV/0!</v>
      </c>
      <c r="Q30" s="35" t="str">
        <f>AVERAGEIF($A65:$A74,"Bíceps",$G65:$G74)</f>
        <v>#DIV/0!</v>
      </c>
      <c r="R30" s="35" t="str">
        <f>AVERAGEIF($A65:$A74,"Tríceps",$G65:$G74)</f>
        <v>#DIV/0!</v>
      </c>
      <c r="S30" s="35" t="str">
        <f>AVERAGEIF($A65:$A74,"Cuádriceps",$G65:$G74)</f>
        <v>#DIV/0!</v>
      </c>
      <c r="T30" s="35" t="str">
        <f>AVERAGEIF($A65:$A74,"Isquios",$G65:$G74)</f>
        <v>#DIV/0!</v>
      </c>
      <c r="U30" s="35" t="str">
        <f>AVERAGEIF($A65:$A74,"Glúteos",$G65:$G74)</f>
        <v>#DIV/0!</v>
      </c>
      <c r="V30" s="35" t="str">
        <f>AVERAGEIF($A65:$A74,"Pantorrillas",$G65:$G74)</f>
        <v>#DIV/0!</v>
      </c>
      <c r="W30" s="35" t="str">
        <f>AVERAGEIF($A65:$A74,"Otros",$G65:$G74)</f>
        <v>#DIV/0!</v>
      </c>
    </row>
    <row r="31" ht="14.25" customHeight="1">
      <c r="A31" s="53" t="s">
        <v>29</v>
      </c>
      <c r="B31" s="56" t="s">
        <v>423</v>
      </c>
      <c r="C31" s="8"/>
      <c r="D31" s="9"/>
      <c r="E31" s="53">
        <v>3.0</v>
      </c>
      <c r="F31" s="53">
        <v>10.0</v>
      </c>
      <c r="G31" s="53"/>
      <c r="H31" s="53"/>
      <c r="I31" s="55"/>
      <c r="J31" s="9"/>
    </row>
    <row r="32" ht="14.25" customHeight="1">
      <c r="A32" s="131" t="s">
        <v>12</v>
      </c>
      <c r="B32" s="132" t="s">
        <v>366</v>
      </c>
      <c r="C32" s="133" t="s">
        <v>426</v>
      </c>
      <c r="D32" s="133"/>
      <c r="E32" s="131">
        <v>3.0</v>
      </c>
      <c r="F32" s="131" t="s">
        <v>367</v>
      </c>
      <c r="G32" s="131"/>
      <c r="H32" s="131"/>
      <c r="I32" s="134"/>
      <c r="J32" s="131"/>
    </row>
    <row r="33" ht="14.25" customHeight="1">
      <c r="B33" s="26"/>
      <c r="C33" s="29"/>
      <c r="D33" s="29"/>
    </row>
    <row r="34" ht="14.25" customHeight="1"/>
    <row r="35" ht="14.25" customHeight="1">
      <c r="A35" s="2" t="s">
        <v>427</v>
      </c>
      <c r="B35" s="3"/>
      <c r="C35" s="4"/>
      <c r="J35" s="1"/>
    </row>
    <row r="36" ht="14.25" customHeight="1">
      <c r="A36" s="6" t="s">
        <v>2</v>
      </c>
      <c r="B36" s="10" t="s">
        <v>4</v>
      </c>
      <c r="C36" s="8"/>
      <c r="D36" s="9"/>
      <c r="E36" s="6" t="s">
        <v>5</v>
      </c>
      <c r="F36" s="6" t="s">
        <v>6</v>
      </c>
      <c r="G36" s="6" t="s">
        <v>7</v>
      </c>
      <c r="H36" s="6" t="s">
        <v>8</v>
      </c>
      <c r="I36" s="10" t="s">
        <v>9</v>
      </c>
      <c r="J36" s="9"/>
    </row>
    <row r="37" ht="14.25" customHeight="1">
      <c r="A37" s="53" t="s">
        <v>12</v>
      </c>
      <c r="B37" s="54" t="s">
        <v>318</v>
      </c>
      <c r="C37" s="18"/>
      <c r="D37" s="20"/>
      <c r="E37" s="53">
        <v>3.0</v>
      </c>
      <c r="F37" s="53">
        <v>10.0</v>
      </c>
      <c r="G37" s="53"/>
      <c r="H37" s="53"/>
      <c r="I37" s="55"/>
      <c r="J37" s="9"/>
    </row>
    <row r="38" ht="14.25" customHeight="1">
      <c r="A38" s="53" t="s">
        <v>12</v>
      </c>
      <c r="B38" s="54" t="s">
        <v>368</v>
      </c>
      <c r="C38" s="18"/>
      <c r="D38" s="20"/>
      <c r="E38" s="53">
        <v>3.0</v>
      </c>
      <c r="F38" s="53">
        <v>12.0</v>
      </c>
      <c r="G38" s="53"/>
      <c r="H38" s="53"/>
      <c r="I38" s="55"/>
      <c r="J38" s="9"/>
    </row>
    <row r="39" ht="14.25" customHeight="1">
      <c r="A39" s="53" t="s">
        <v>12</v>
      </c>
      <c r="B39" s="54" t="s">
        <v>369</v>
      </c>
      <c r="C39" s="18"/>
      <c r="D39" s="20"/>
      <c r="E39" s="53">
        <v>3.0</v>
      </c>
      <c r="F39" s="53">
        <v>12.0</v>
      </c>
      <c r="G39" s="53"/>
      <c r="H39" s="53"/>
      <c r="I39" s="55"/>
      <c r="J39" s="9"/>
    </row>
    <row r="40" ht="14.25" customHeight="1">
      <c r="A40" s="16" t="s">
        <v>30</v>
      </c>
      <c r="B40" s="30" t="s">
        <v>430</v>
      </c>
      <c r="C40" s="18"/>
      <c r="D40" s="20"/>
      <c r="E40" s="27">
        <v>4.0</v>
      </c>
      <c r="F40" s="27">
        <v>6.0</v>
      </c>
      <c r="G40" s="27">
        <v>8.0</v>
      </c>
      <c r="H40" s="27" t="s">
        <v>55</v>
      </c>
      <c r="I40" s="24"/>
      <c r="J40" s="9"/>
    </row>
    <row r="41" ht="14.25" customHeight="1">
      <c r="A41" s="16" t="s">
        <v>32</v>
      </c>
      <c r="B41" s="30" t="s">
        <v>431</v>
      </c>
      <c r="C41" s="18"/>
      <c r="D41" s="20"/>
      <c r="E41" s="27">
        <v>3.0</v>
      </c>
      <c r="F41" s="27">
        <v>8.0</v>
      </c>
      <c r="G41" s="27"/>
      <c r="H41" s="27"/>
      <c r="I41" s="24"/>
      <c r="J41" s="9"/>
    </row>
    <row r="42" ht="14.25" customHeight="1">
      <c r="A42" s="53" t="s">
        <v>28</v>
      </c>
      <c r="B42" s="54" t="s">
        <v>433</v>
      </c>
      <c r="C42" s="18"/>
      <c r="D42" s="20"/>
      <c r="E42" s="53">
        <v>3.0</v>
      </c>
      <c r="F42" s="53" t="s">
        <v>71</v>
      </c>
      <c r="G42" s="53"/>
      <c r="H42" s="53"/>
      <c r="I42" s="55"/>
      <c r="J42" s="9"/>
    </row>
    <row r="43" ht="14.25" customHeight="1">
      <c r="A43" s="53" t="s">
        <v>31</v>
      </c>
      <c r="B43" s="54" t="s">
        <v>435</v>
      </c>
      <c r="C43" s="18"/>
      <c r="D43" s="20"/>
      <c r="E43" s="53">
        <v>3.0</v>
      </c>
      <c r="F43" s="53">
        <v>10.0</v>
      </c>
      <c r="G43" s="53"/>
      <c r="H43" s="53"/>
      <c r="I43" s="55"/>
      <c r="J43" s="9"/>
    </row>
    <row r="44" ht="14.25" customHeight="1">
      <c r="A44" s="16" t="s">
        <v>29</v>
      </c>
      <c r="B44" s="30" t="s">
        <v>373</v>
      </c>
      <c r="C44" s="18"/>
      <c r="D44" s="20"/>
      <c r="E44" s="27">
        <v>4.0</v>
      </c>
      <c r="F44" s="27">
        <v>10.0</v>
      </c>
      <c r="G44" s="27"/>
      <c r="H44" s="27"/>
      <c r="I44" s="24"/>
      <c r="J44" s="9"/>
    </row>
    <row r="45" ht="14.25" customHeight="1">
      <c r="A45" s="53" t="s">
        <v>33</v>
      </c>
      <c r="B45" s="54" t="s">
        <v>138</v>
      </c>
      <c r="C45" s="18"/>
      <c r="D45" s="20"/>
      <c r="E45" s="53">
        <v>3.0</v>
      </c>
      <c r="F45" s="53">
        <v>12.0</v>
      </c>
      <c r="G45" s="53"/>
      <c r="H45" s="53"/>
      <c r="I45" s="55"/>
      <c r="J45" s="9"/>
    </row>
    <row r="46" ht="14.25" customHeight="1">
      <c r="A46" s="53" t="s">
        <v>12</v>
      </c>
      <c r="B46" s="56" t="s">
        <v>438</v>
      </c>
      <c r="C46" s="8"/>
      <c r="D46" s="9"/>
      <c r="E46" s="53">
        <v>3.0</v>
      </c>
      <c r="F46" s="53" t="s">
        <v>376</v>
      </c>
      <c r="G46" s="53"/>
      <c r="H46" s="53"/>
      <c r="I46" s="55"/>
      <c r="J46" s="9"/>
    </row>
    <row r="47" ht="14.25" customHeight="1">
      <c r="B47" s="26"/>
      <c r="C47" s="29"/>
      <c r="D47" s="29"/>
    </row>
    <row r="48" ht="14.25" customHeight="1"/>
    <row r="49" ht="14.25" customHeight="1">
      <c r="A49" s="2" t="s">
        <v>66</v>
      </c>
      <c r="B49" s="3"/>
      <c r="C49" s="4"/>
      <c r="J49" s="1"/>
    </row>
    <row r="50" ht="14.25" customHeight="1">
      <c r="A50" s="6" t="s">
        <v>2</v>
      </c>
      <c r="B50" s="10" t="s">
        <v>4</v>
      </c>
      <c r="C50" s="8"/>
      <c r="D50" s="9"/>
      <c r="E50" s="6" t="s">
        <v>5</v>
      </c>
      <c r="F50" s="6" t="s">
        <v>6</v>
      </c>
      <c r="G50" s="6" t="s">
        <v>7</v>
      </c>
      <c r="H50" s="6" t="s">
        <v>8</v>
      </c>
      <c r="I50" s="10" t="s">
        <v>9</v>
      </c>
      <c r="J50" s="9"/>
    </row>
    <row r="51" ht="14.25" customHeight="1">
      <c r="A51" s="16"/>
      <c r="B51" s="26"/>
      <c r="C51" s="29"/>
      <c r="D51" s="29"/>
      <c r="E51" s="16"/>
      <c r="F51" s="16"/>
      <c r="G51" s="16"/>
      <c r="H51" s="16"/>
      <c r="I51" s="24"/>
      <c r="J51" s="9"/>
    </row>
    <row r="52" ht="14.25" customHeight="1">
      <c r="A52" s="16"/>
      <c r="B52" s="26"/>
      <c r="C52" s="29"/>
      <c r="D52" s="29"/>
      <c r="E52" s="16"/>
      <c r="F52" s="16"/>
      <c r="G52" s="16"/>
      <c r="H52" s="16"/>
      <c r="I52" s="24"/>
      <c r="J52" s="9"/>
    </row>
    <row r="53" ht="14.25" customHeight="1">
      <c r="A53" s="16" t="s">
        <v>12</v>
      </c>
      <c r="B53" s="26" t="s">
        <v>329</v>
      </c>
      <c r="C53" s="29"/>
      <c r="D53" s="29"/>
      <c r="E53" s="16"/>
      <c r="F53" s="16">
        <v>10.0</v>
      </c>
      <c r="G53" s="16"/>
      <c r="H53" s="16"/>
      <c r="I53" s="24"/>
      <c r="J53" s="9"/>
    </row>
    <row r="54" ht="14.25" customHeight="1">
      <c r="A54" s="16" t="s">
        <v>31</v>
      </c>
      <c r="B54" s="30" t="s">
        <v>331</v>
      </c>
      <c r="C54" s="18"/>
      <c r="D54" s="20"/>
      <c r="E54" s="27"/>
      <c r="F54" s="27">
        <v>10.0</v>
      </c>
      <c r="G54" s="27"/>
      <c r="H54" s="27"/>
      <c r="I54" s="24"/>
      <c r="J54" s="9"/>
    </row>
    <row r="55" ht="14.25" customHeight="1">
      <c r="A55" s="16" t="s">
        <v>32</v>
      </c>
      <c r="B55" s="30" t="s">
        <v>333</v>
      </c>
      <c r="C55" s="18"/>
      <c r="D55" s="20"/>
      <c r="E55" s="27"/>
      <c r="F55" s="27" t="s">
        <v>278</v>
      </c>
      <c r="G55" s="27"/>
      <c r="H55" s="27"/>
      <c r="I55" s="24"/>
      <c r="J55" s="9"/>
    </row>
    <row r="56" ht="14.25" customHeight="1">
      <c r="A56" s="16" t="s">
        <v>26</v>
      </c>
      <c r="B56" s="30" t="s">
        <v>335</v>
      </c>
      <c r="C56" s="18"/>
      <c r="D56" s="20"/>
      <c r="E56" s="27"/>
      <c r="F56" s="27">
        <v>8.0</v>
      </c>
      <c r="G56" s="27"/>
      <c r="H56" s="27"/>
      <c r="I56" s="24"/>
      <c r="J56" s="9"/>
    </row>
    <row r="57" ht="14.25" customHeight="1">
      <c r="A57" s="16" t="s">
        <v>32</v>
      </c>
      <c r="B57" s="30" t="s">
        <v>338</v>
      </c>
      <c r="C57" s="18"/>
      <c r="D57" s="20"/>
      <c r="E57" s="27"/>
      <c r="F57" s="27">
        <v>8.0</v>
      </c>
      <c r="G57" s="27"/>
      <c r="H57" s="27"/>
      <c r="I57" s="24"/>
      <c r="J57" s="9"/>
    </row>
    <row r="58" ht="14.25" customHeight="1">
      <c r="A58" s="16" t="s">
        <v>26</v>
      </c>
      <c r="B58" s="30" t="s">
        <v>340</v>
      </c>
      <c r="C58" s="18"/>
      <c r="D58" s="20"/>
      <c r="E58" s="27"/>
      <c r="F58" s="27">
        <v>10.0</v>
      </c>
      <c r="G58" s="27"/>
      <c r="H58" s="27"/>
      <c r="I58" s="24"/>
      <c r="J58" s="9"/>
    </row>
    <row r="59" ht="14.25" customHeight="1">
      <c r="A59" s="16" t="s">
        <v>28</v>
      </c>
      <c r="B59" s="30" t="s">
        <v>341</v>
      </c>
      <c r="C59" s="18"/>
      <c r="D59" s="20"/>
      <c r="E59" s="27"/>
      <c r="F59" s="27"/>
      <c r="G59" s="27"/>
      <c r="H59" s="27"/>
      <c r="I59" s="24"/>
      <c r="J59" s="9"/>
    </row>
    <row r="60" ht="14.25" customHeight="1">
      <c r="A60" s="16" t="s">
        <v>33</v>
      </c>
      <c r="B60" s="60" t="s">
        <v>342</v>
      </c>
      <c r="C60" s="8"/>
      <c r="D60" s="9"/>
      <c r="E60" s="27"/>
      <c r="F60" s="27">
        <v>10.0</v>
      </c>
      <c r="G60" s="27"/>
      <c r="H60" s="27"/>
      <c r="I60" s="24"/>
      <c r="J60" s="9"/>
    </row>
    <row r="61" ht="14.25" customHeight="1">
      <c r="B61" s="26"/>
      <c r="C61" s="29"/>
      <c r="D61" s="29"/>
    </row>
    <row r="62" ht="14.25" customHeight="1"/>
    <row r="63" ht="14.25" customHeight="1">
      <c r="A63" s="2" t="s">
        <v>76</v>
      </c>
      <c r="B63" s="3"/>
      <c r="C63" s="4"/>
      <c r="J63" s="1"/>
    </row>
    <row r="64" ht="14.25" customHeight="1">
      <c r="A64" s="6" t="s">
        <v>2</v>
      </c>
      <c r="B64" s="10" t="s">
        <v>4</v>
      </c>
      <c r="C64" s="8"/>
      <c r="D64" s="9"/>
      <c r="E64" s="6" t="s">
        <v>5</v>
      </c>
      <c r="F64" s="6" t="s">
        <v>6</v>
      </c>
      <c r="G64" s="6" t="s">
        <v>7</v>
      </c>
      <c r="H64" s="6" t="s">
        <v>8</v>
      </c>
      <c r="I64" s="10" t="s">
        <v>9</v>
      </c>
      <c r="J64" s="9"/>
    </row>
    <row r="65" ht="14.25" customHeight="1">
      <c r="A65" s="16"/>
      <c r="B65" s="26"/>
      <c r="C65" s="29"/>
      <c r="D65" s="29"/>
      <c r="E65" s="16"/>
      <c r="F65" s="16"/>
      <c r="G65" s="16"/>
      <c r="H65" s="16"/>
      <c r="I65" s="24"/>
      <c r="J65" s="9"/>
    </row>
    <row r="66" ht="14.25" customHeight="1">
      <c r="A66" s="16"/>
      <c r="B66" s="26"/>
      <c r="C66" s="29"/>
      <c r="D66" s="29"/>
      <c r="E66" s="16"/>
      <c r="F66" s="16"/>
      <c r="G66" s="16"/>
      <c r="H66" s="16"/>
      <c r="I66" s="24"/>
      <c r="J66" s="9"/>
    </row>
    <row r="67" ht="14.25" customHeight="1">
      <c r="A67" s="16"/>
      <c r="B67" s="26"/>
      <c r="C67" s="29"/>
      <c r="D67" s="29"/>
      <c r="E67" s="16"/>
      <c r="F67" s="16"/>
      <c r="G67" s="16"/>
      <c r="H67" s="16"/>
      <c r="I67" s="24"/>
      <c r="J67" s="9"/>
    </row>
    <row r="68" ht="14.25" customHeight="1">
      <c r="A68" s="16"/>
      <c r="B68" s="26"/>
      <c r="C68" s="29"/>
      <c r="D68" s="29"/>
      <c r="E68" s="16"/>
      <c r="F68" s="16"/>
      <c r="G68" s="16"/>
      <c r="H68" s="16"/>
      <c r="I68" s="24"/>
      <c r="J68" s="9"/>
    </row>
    <row r="69" ht="14.25" customHeight="1">
      <c r="A69" s="16"/>
      <c r="B69" s="26"/>
      <c r="C69" s="29"/>
      <c r="D69" s="29"/>
      <c r="E69" s="16"/>
      <c r="F69" s="16"/>
      <c r="G69" s="16"/>
      <c r="H69" s="16"/>
      <c r="I69" s="24"/>
      <c r="J69" s="9"/>
    </row>
    <row r="70" ht="14.25" customHeight="1">
      <c r="A70" s="16"/>
      <c r="B70" s="26"/>
      <c r="C70" s="29"/>
      <c r="D70" s="29"/>
      <c r="E70" s="16"/>
      <c r="F70" s="16"/>
      <c r="G70" s="16"/>
      <c r="H70" s="16"/>
      <c r="I70" s="24"/>
      <c r="J70" s="9"/>
    </row>
    <row r="71" ht="14.25" customHeight="1">
      <c r="A71" s="16"/>
      <c r="B71" s="26"/>
      <c r="C71" s="29"/>
      <c r="D71" s="29"/>
      <c r="E71" s="16"/>
      <c r="F71" s="16"/>
      <c r="G71" s="16"/>
      <c r="H71" s="16"/>
      <c r="I71" s="24"/>
      <c r="J71" s="9"/>
    </row>
    <row r="72" ht="14.25" customHeight="1">
      <c r="A72" s="16"/>
      <c r="B72" s="26"/>
      <c r="C72" s="29"/>
      <c r="D72" s="29"/>
      <c r="E72" s="16"/>
      <c r="F72" s="16"/>
      <c r="G72" s="16"/>
      <c r="H72" s="16"/>
      <c r="I72" s="24"/>
      <c r="J72" s="9"/>
    </row>
    <row r="73" ht="14.25" customHeight="1">
      <c r="A73" s="16"/>
      <c r="B73" s="26"/>
      <c r="C73" s="29"/>
      <c r="D73" s="29"/>
      <c r="E73" s="16"/>
      <c r="F73" s="16"/>
      <c r="G73" s="16"/>
      <c r="H73" s="16"/>
      <c r="I73" s="24"/>
      <c r="J73" s="9"/>
    </row>
    <row r="74" ht="14.25" customHeight="1">
      <c r="A74" s="16"/>
      <c r="B74" s="58"/>
      <c r="C74" s="8"/>
      <c r="D74" s="9"/>
      <c r="E74" s="16"/>
      <c r="F74" s="16"/>
      <c r="G74" s="16"/>
      <c r="H74" s="16"/>
      <c r="I74" s="24"/>
      <c r="J74" s="9"/>
    </row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5">
    <mergeCell ref="I26:J26"/>
    <mergeCell ref="I27:J27"/>
    <mergeCell ref="I11:J11"/>
    <mergeCell ref="I13:J13"/>
    <mergeCell ref="I21:J21"/>
    <mergeCell ref="I22:J22"/>
    <mergeCell ref="I23:J23"/>
    <mergeCell ref="I24:J24"/>
    <mergeCell ref="I25:J25"/>
    <mergeCell ref="B26:D26"/>
    <mergeCell ref="B27:D27"/>
    <mergeCell ref="M27:W27"/>
    <mergeCell ref="I28:J28"/>
    <mergeCell ref="B28:D28"/>
    <mergeCell ref="B29:D29"/>
    <mergeCell ref="I29:J29"/>
    <mergeCell ref="B30:D30"/>
    <mergeCell ref="I30:J30"/>
    <mergeCell ref="B31:D31"/>
    <mergeCell ref="I31:J31"/>
    <mergeCell ref="A6:C6"/>
    <mergeCell ref="B7:D7"/>
    <mergeCell ref="I7:J7"/>
    <mergeCell ref="M7:W7"/>
    <mergeCell ref="Z7:AB7"/>
    <mergeCell ref="B8:D8"/>
    <mergeCell ref="B9:D9"/>
    <mergeCell ref="I12:J12"/>
    <mergeCell ref="M12:W12"/>
    <mergeCell ref="I8:J8"/>
    <mergeCell ref="I9:J9"/>
    <mergeCell ref="B10:D10"/>
    <mergeCell ref="I10:J10"/>
    <mergeCell ref="B11:D11"/>
    <mergeCell ref="B12:D12"/>
    <mergeCell ref="B13:D13"/>
    <mergeCell ref="I17:J17"/>
    <mergeCell ref="M17:W17"/>
    <mergeCell ref="M22:W22"/>
    <mergeCell ref="B14:D14"/>
    <mergeCell ref="I14:J14"/>
    <mergeCell ref="B15:D15"/>
    <mergeCell ref="I15:J15"/>
    <mergeCell ref="B16:D16"/>
    <mergeCell ref="I16:J16"/>
    <mergeCell ref="B17:D17"/>
    <mergeCell ref="B18:D18"/>
    <mergeCell ref="A20:C20"/>
    <mergeCell ref="B21:D21"/>
    <mergeCell ref="B22:D22"/>
    <mergeCell ref="B23:D23"/>
    <mergeCell ref="B24:D24"/>
    <mergeCell ref="B25:D25"/>
    <mergeCell ref="I39:J39"/>
    <mergeCell ref="I40:J40"/>
    <mergeCell ref="A49:C49"/>
    <mergeCell ref="B50:D50"/>
    <mergeCell ref="I50:J50"/>
    <mergeCell ref="B51:D51"/>
    <mergeCell ref="I51:J51"/>
    <mergeCell ref="B52:D52"/>
    <mergeCell ref="B53:D53"/>
    <mergeCell ref="B54:D54"/>
    <mergeCell ref="I54:J54"/>
    <mergeCell ref="B55:D55"/>
    <mergeCell ref="I55:J55"/>
    <mergeCell ref="B56:D56"/>
    <mergeCell ref="I56:J56"/>
    <mergeCell ref="I57:J57"/>
    <mergeCell ref="I68:J68"/>
    <mergeCell ref="I69:J69"/>
    <mergeCell ref="I58:J58"/>
    <mergeCell ref="I59:J59"/>
    <mergeCell ref="I60:J60"/>
    <mergeCell ref="I64:J64"/>
    <mergeCell ref="I65:J65"/>
    <mergeCell ref="I66:J66"/>
    <mergeCell ref="I67:J67"/>
    <mergeCell ref="B33:D33"/>
    <mergeCell ref="A35:C35"/>
    <mergeCell ref="B36:D36"/>
    <mergeCell ref="I36:J36"/>
    <mergeCell ref="B37:D37"/>
    <mergeCell ref="I37:J37"/>
    <mergeCell ref="I38:J38"/>
    <mergeCell ref="I42:J42"/>
    <mergeCell ref="I43:J43"/>
    <mergeCell ref="B38:D38"/>
    <mergeCell ref="B39:D39"/>
    <mergeCell ref="B40:D40"/>
    <mergeCell ref="B41:D41"/>
    <mergeCell ref="I41:J41"/>
    <mergeCell ref="B42:D42"/>
    <mergeCell ref="B43:D43"/>
    <mergeCell ref="B44:D44"/>
    <mergeCell ref="I44:J44"/>
    <mergeCell ref="B45:D45"/>
    <mergeCell ref="I45:J45"/>
    <mergeCell ref="B46:D46"/>
    <mergeCell ref="I46:J46"/>
    <mergeCell ref="B47:D47"/>
    <mergeCell ref="I52:J52"/>
    <mergeCell ref="I53:J53"/>
    <mergeCell ref="I70:J70"/>
    <mergeCell ref="I71:J71"/>
    <mergeCell ref="I72:J72"/>
    <mergeCell ref="I73:J73"/>
    <mergeCell ref="I74:J74"/>
    <mergeCell ref="B57:D57"/>
    <mergeCell ref="B58:D58"/>
    <mergeCell ref="B59:D59"/>
    <mergeCell ref="B60:D60"/>
    <mergeCell ref="B61:D61"/>
    <mergeCell ref="A63:C63"/>
    <mergeCell ref="B64:D64"/>
    <mergeCell ref="B72:D72"/>
    <mergeCell ref="B73:D73"/>
    <mergeCell ref="B74:D74"/>
    <mergeCell ref="B65:D65"/>
    <mergeCell ref="B66:D66"/>
    <mergeCell ref="B67:D67"/>
    <mergeCell ref="B68:D68"/>
    <mergeCell ref="B69:D69"/>
    <mergeCell ref="B70:D70"/>
    <mergeCell ref="B71:D71"/>
  </mergeCells>
  <dataValidations>
    <dataValidation type="list" allowBlank="1" showErrorMessage="1" sqref="A8:A17 A22:A32 A37:A46 A51:A60 A65:A74">
      <formula1>Datos!$D$2:$D$11</formula1>
    </dataValidation>
    <dataValidation type="list" allowBlank="1" showErrorMessage="1" sqref="J5">
      <formula1>Datos!$B$2:$B$12</formula1>
    </dataValidation>
    <dataValidation type="list" allowBlank="1" showErrorMessage="1" sqref="J6 J20 J35 J49 J63">
      <formula1>Datos!$D$2:$D$14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10.71"/>
    <col customWidth="1" min="24" max="24" width="7.86"/>
    <col customWidth="1" min="25" max="25" width="15.43"/>
    <col customWidth="1" min="26" max="28" width="10.71"/>
  </cols>
  <sheetData>
    <row r="1" ht="14.25" customHeight="1"/>
    <row r="2" ht="14.25" customHeight="1"/>
    <row r="3" ht="14.25" customHeight="1"/>
    <row r="4" ht="14.25" customHeight="1"/>
    <row r="5" ht="14.25" customHeight="1">
      <c r="J5" s="1"/>
    </row>
    <row r="6" ht="14.25" customHeight="1">
      <c r="A6" s="2" t="s">
        <v>380</v>
      </c>
      <c r="B6" s="3"/>
      <c r="C6" s="4"/>
      <c r="J6" s="1"/>
    </row>
    <row r="7" ht="14.25" customHeight="1">
      <c r="A7" s="6" t="s">
        <v>2</v>
      </c>
      <c r="B7" s="10" t="s">
        <v>4</v>
      </c>
      <c r="C7" s="8"/>
      <c r="D7" s="9"/>
      <c r="E7" s="6" t="s">
        <v>5</v>
      </c>
      <c r="F7" s="6" t="s">
        <v>6</v>
      </c>
      <c r="G7" s="6" t="s">
        <v>7</v>
      </c>
      <c r="H7" s="6" t="s">
        <v>8</v>
      </c>
      <c r="I7" s="10" t="s">
        <v>9</v>
      </c>
      <c r="J7" s="9"/>
      <c r="M7" s="11" t="s">
        <v>0</v>
      </c>
      <c r="N7" s="12"/>
      <c r="O7" s="12"/>
      <c r="P7" s="12"/>
      <c r="Q7" s="12"/>
      <c r="R7" s="12"/>
      <c r="S7" s="12"/>
      <c r="T7" s="12"/>
      <c r="U7" s="12"/>
      <c r="V7" s="12"/>
      <c r="W7" s="13"/>
      <c r="Y7" s="1"/>
      <c r="Z7" s="14" t="s">
        <v>10</v>
      </c>
      <c r="AA7" s="12"/>
      <c r="AB7" s="13"/>
    </row>
    <row r="8" ht="14.25" customHeight="1">
      <c r="A8" s="53" t="s">
        <v>12</v>
      </c>
      <c r="B8" s="54" t="s">
        <v>382</v>
      </c>
      <c r="C8" s="18"/>
      <c r="D8" s="20"/>
      <c r="E8" s="53">
        <v>2.0</v>
      </c>
      <c r="F8" s="53">
        <v>10.0</v>
      </c>
      <c r="G8" s="53"/>
      <c r="H8" s="53"/>
      <c r="I8" s="55"/>
      <c r="J8" s="9"/>
      <c r="M8" s="25"/>
      <c r="N8" s="28" t="s">
        <v>16</v>
      </c>
      <c r="O8" s="28" t="s">
        <v>26</v>
      </c>
      <c r="P8" s="28" t="s">
        <v>27</v>
      </c>
      <c r="Q8" s="28" t="s">
        <v>28</v>
      </c>
      <c r="R8" s="28" t="s">
        <v>29</v>
      </c>
      <c r="S8" s="28" t="s">
        <v>30</v>
      </c>
      <c r="T8" s="28" t="s">
        <v>31</v>
      </c>
      <c r="U8" s="28" t="s">
        <v>32</v>
      </c>
      <c r="V8" s="28" t="s">
        <v>33</v>
      </c>
      <c r="W8" s="28" t="s">
        <v>12</v>
      </c>
      <c r="Z8" s="28" t="s">
        <v>16</v>
      </c>
      <c r="AA8" s="1">
        <f>SUM(N9,N14,N19,N24,N29)</f>
        <v>3</v>
      </c>
    </row>
    <row r="9" ht="14.25" customHeight="1">
      <c r="A9" s="53" t="s">
        <v>12</v>
      </c>
      <c r="B9" s="54" t="s">
        <v>383</v>
      </c>
      <c r="C9" s="18"/>
      <c r="D9" s="20"/>
      <c r="E9" s="53">
        <v>3.0</v>
      </c>
      <c r="F9" s="53">
        <v>12.0</v>
      </c>
      <c r="G9" s="53"/>
      <c r="H9" s="53"/>
      <c r="I9" s="55"/>
      <c r="J9" s="9"/>
      <c r="M9" s="34" t="s">
        <v>36</v>
      </c>
      <c r="N9" s="37">
        <f>SUMIF(A8:A17,"Pecho",E8:E17)</f>
        <v>3</v>
      </c>
      <c r="O9" s="37">
        <f>SUMIF(A8:A17,"Espalda",E8:E17)</f>
        <v>3</v>
      </c>
      <c r="P9" s="37">
        <f>SUMIF($A8:$A17,"Hombros",$E8:$E17)</f>
        <v>7</v>
      </c>
      <c r="Q9" s="37">
        <f>SUMIF($A8:$A17,"Bíceps",$E8:$E17)</f>
        <v>0</v>
      </c>
      <c r="R9" s="37">
        <f>SUMIF($A8:$A17,"Tríceps",$E8:$E17)</f>
        <v>0</v>
      </c>
      <c r="S9" s="38">
        <f>SUMIF(A8:A17,"Cuádriceps",E8:E17)</f>
        <v>6</v>
      </c>
      <c r="T9" s="37">
        <f>SUMIF($A8:$A17,"Isquios",$E8:$E17)</f>
        <v>0</v>
      </c>
      <c r="U9" s="37">
        <f>SUMIF($A8:$A17,"Glúteos",$E8:$E17)</f>
        <v>0</v>
      </c>
      <c r="V9" s="37">
        <f>SUMIF($A8:$A17,"Pantorrillas",$E8:$E17)</f>
        <v>0</v>
      </c>
      <c r="W9" s="37">
        <f>SUMIF($A8:$A17,"Otros",$E8:$E17)</f>
        <v>8</v>
      </c>
      <c r="Z9" s="28" t="s">
        <v>26</v>
      </c>
      <c r="AA9" s="1">
        <f>SUM(O9,O14,O19,O24,O29)</f>
        <v>3</v>
      </c>
    </row>
    <row r="10" ht="14.25" customHeight="1">
      <c r="A10" s="53" t="s">
        <v>12</v>
      </c>
      <c r="B10" s="54" t="s">
        <v>387</v>
      </c>
      <c r="C10" s="18"/>
      <c r="D10" s="20"/>
      <c r="E10" s="53">
        <v>3.0</v>
      </c>
      <c r="F10" s="53">
        <v>10.0</v>
      </c>
      <c r="G10" s="53"/>
      <c r="H10" s="53"/>
      <c r="I10" s="55"/>
      <c r="J10" s="9"/>
      <c r="M10" s="34" t="s">
        <v>7</v>
      </c>
      <c r="N10" s="35">
        <f>AVERAGEIF($A8:$A17,"Pecho",$G8:$G17)</f>
        <v>8</v>
      </c>
      <c r="O10" s="35" t="str">
        <f>AVERAGEIF($A8:$A17,"Espalda",$G8:$G17)</f>
        <v>#DIV/0!</v>
      </c>
      <c r="P10" s="35" t="str">
        <f>AVERAGEIF($A8:$A17,"Hombros",$G8:$G17)</f>
        <v>#DIV/0!</v>
      </c>
      <c r="Q10" s="35" t="str">
        <f>AVERAGEIF($A8:$A17,"Bíceps",$G8:$G17)</f>
        <v>#DIV/0!</v>
      </c>
      <c r="R10" s="35" t="str">
        <f>AVERAGEIF($A8:$A17,"Tríceps",$G8:$G17)</f>
        <v>#DIV/0!</v>
      </c>
      <c r="S10" s="35" t="str">
        <f>AVERAGEIF($A8:$A17,"Cuádriceps",$G8:$G17)</f>
        <v>#DIV/0!</v>
      </c>
      <c r="T10" s="35" t="str">
        <f>AVERAGEIF($A8:$A17,"Isquios",$G8:$G17)</f>
        <v>#DIV/0!</v>
      </c>
      <c r="U10" s="35" t="str">
        <f>AVERAGEIF($A8:$A17,"Glúteos",$G8:$G17)</f>
        <v>#DIV/0!</v>
      </c>
      <c r="V10" s="35" t="str">
        <f>AVERAGEIF($A8:$A17,"Pantorrillas",$G8:$G17)</f>
        <v>#DIV/0!</v>
      </c>
      <c r="W10" s="35" t="str">
        <f>AVERAGEIF($A8:$A17,"Otros",$G8:$G17)</f>
        <v>#DIV/0!</v>
      </c>
      <c r="Z10" s="28" t="s">
        <v>27</v>
      </c>
      <c r="AA10" s="1">
        <f>SUM(P9,P14,P19,P24,P29)</f>
        <v>13</v>
      </c>
    </row>
    <row r="11" ht="14.25" customHeight="1">
      <c r="A11" s="16" t="s">
        <v>16</v>
      </c>
      <c r="B11" s="30" t="s">
        <v>391</v>
      </c>
      <c r="C11" s="18"/>
      <c r="D11" s="20"/>
      <c r="E11" s="27">
        <v>3.0</v>
      </c>
      <c r="F11" s="27">
        <v>10.0</v>
      </c>
      <c r="G11" s="27">
        <v>8.0</v>
      </c>
      <c r="H11" s="27" t="s">
        <v>55</v>
      </c>
      <c r="I11" s="33"/>
      <c r="J11" s="9"/>
      <c r="M11" s="25"/>
      <c r="N11" s="25"/>
      <c r="O11" s="25"/>
      <c r="P11" s="25"/>
      <c r="Q11" s="25"/>
      <c r="R11" s="25"/>
      <c r="S11" s="25"/>
      <c r="T11" s="25"/>
      <c r="U11" s="25"/>
      <c r="Z11" s="28" t="s">
        <v>28</v>
      </c>
      <c r="AA11" s="1">
        <f>SUM(Q9,Q14,Q19,Q24,Q29)</f>
        <v>4</v>
      </c>
    </row>
    <row r="12" ht="14.25" customHeight="1">
      <c r="A12" s="53" t="s">
        <v>30</v>
      </c>
      <c r="B12" s="54" t="s">
        <v>392</v>
      </c>
      <c r="C12" s="18"/>
      <c r="D12" s="20"/>
      <c r="E12" s="53">
        <v>3.0</v>
      </c>
      <c r="F12" s="53" t="s">
        <v>386</v>
      </c>
      <c r="G12" s="53"/>
      <c r="H12" s="53"/>
      <c r="I12" s="55"/>
      <c r="J12" s="9"/>
      <c r="M12" s="11" t="s">
        <v>45</v>
      </c>
      <c r="N12" s="12"/>
      <c r="O12" s="12"/>
      <c r="P12" s="12"/>
      <c r="Q12" s="12"/>
      <c r="R12" s="12"/>
      <c r="S12" s="12"/>
      <c r="T12" s="12"/>
      <c r="U12" s="12"/>
      <c r="V12" s="12"/>
      <c r="W12" s="13"/>
      <c r="Z12" s="28" t="s">
        <v>29</v>
      </c>
      <c r="AA12" s="1">
        <f>SUM(R9,R14,R19,R24,R29)</f>
        <v>4</v>
      </c>
    </row>
    <row r="13" ht="14.25" customHeight="1">
      <c r="A13" s="53" t="s">
        <v>26</v>
      </c>
      <c r="B13" s="54" t="s">
        <v>393</v>
      </c>
      <c r="C13" s="18"/>
      <c r="D13" s="20"/>
      <c r="E13" s="53">
        <v>3.0</v>
      </c>
      <c r="F13" s="53">
        <v>10.0</v>
      </c>
      <c r="G13" s="53"/>
      <c r="H13" s="53"/>
      <c r="I13" s="55"/>
      <c r="J13" s="9"/>
      <c r="M13" s="25"/>
      <c r="N13" s="28" t="s">
        <v>16</v>
      </c>
      <c r="O13" s="28" t="s">
        <v>26</v>
      </c>
      <c r="P13" s="28" t="s">
        <v>27</v>
      </c>
      <c r="Q13" s="28" t="s">
        <v>28</v>
      </c>
      <c r="R13" s="28" t="s">
        <v>29</v>
      </c>
      <c r="S13" s="28" t="s">
        <v>30</v>
      </c>
      <c r="T13" s="28" t="s">
        <v>31</v>
      </c>
      <c r="U13" s="28" t="s">
        <v>32</v>
      </c>
      <c r="V13" s="28" t="s">
        <v>33</v>
      </c>
      <c r="W13" s="28" t="s">
        <v>12</v>
      </c>
      <c r="Z13" s="28" t="s">
        <v>30</v>
      </c>
      <c r="AA13" s="1">
        <f>SUM(S9,S14,S19,S24,S29)</f>
        <v>16</v>
      </c>
    </row>
    <row r="14" ht="14.25" customHeight="1">
      <c r="A14" s="16" t="s">
        <v>30</v>
      </c>
      <c r="B14" s="30" t="s">
        <v>389</v>
      </c>
      <c r="C14" s="18"/>
      <c r="D14" s="20"/>
      <c r="E14" s="27">
        <v>3.0</v>
      </c>
      <c r="F14" s="27" t="s">
        <v>390</v>
      </c>
      <c r="G14" s="27"/>
      <c r="H14" s="27"/>
      <c r="I14" s="33"/>
      <c r="J14" s="9"/>
      <c r="M14" s="34" t="s">
        <v>36</v>
      </c>
      <c r="N14" s="35">
        <f>SUMIF($A22:$A32,"Pecho",$E22:$E32)</f>
        <v>0</v>
      </c>
      <c r="O14" s="35">
        <f>SUMIF($A22:$A32,"Espalda",$E22:$E32)</f>
        <v>0</v>
      </c>
      <c r="P14" s="35">
        <f>SUMIF($A22:$A32,"Hombros",$E22:$E32)</f>
        <v>0</v>
      </c>
      <c r="Q14" s="35">
        <f>SUMIF($A22:$A32,"Bíceps",$E22:$E32)</f>
        <v>0</v>
      </c>
      <c r="R14" s="35">
        <f>SUMIF($A22:$A32,"Tríceps",$E22:$E32)</f>
        <v>0</v>
      </c>
      <c r="S14" s="35">
        <f>SUMIF($A22:$A32,"Cuádriceps",$E22:$E32)</f>
        <v>7</v>
      </c>
      <c r="T14" s="35">
        <f>SUMIF($A22:$A32,"Isquios",$E22:$E32)</f>
        <v>4</v>
      </c>
      <c r="U14" s="35">
        <f>SUMIF($A22:$A32,"Glúteos",$E22:$E32)</f>
        <v>6</v>
      </c>
      <c r="V14" s="35">
        <f>SUMIF($A22:$A32,"Pantorrillas",$E22:$E32)</f>
        <v>3</v>
      </c>
      <c r="W14" s="35">
        <f>SUMIF($A22:$A32,"Otros",$E22:$E32)</f>
        <v>12</v>
      </c>
      <c r="Z14" s="28" t="s">
        <v>31</v>
      </c>
      <c r="AA14" s="1">
        <f>SUM(T9,T14,T19,T24,T29)</f>
        <v>4</v>
      </c>
    </row>
    <row r="15" ht="14.25" customHeight="1">
      <c r="A15" s="16" t="s">
        <v>27</v>
      </c>
      <c r="B15" s="30" t="s">
        <v>398</v>
      </c>
      <c r="C15" s="18"/>
      <c r="D15" s="20"/>
      <c r="E15" s="27">
        <v>4.0</v>
      </c>
      <c r="F15" s="112" t="s">
        <v>386</v>
      </c>
      <c r="G15" s="27"/>
      <c r="H15" s="27"/>
      <c r="I15" s="33"/>
      <c r="J15" s="9"/>
      <c r="M15" s="34" t="s">
        <v>7</v>
      </c>
      <c r="N15" s="35" t="str">
        <f>AVERAGEIF($A22:$A32,"Pecho",$G22:$G32)</f>
        <v>#DIV/0!</v>
      </c>
      <c r="O15" s="35" t="str">
        <f>AVERAGEIF($A22:$A32,"Espalda",$G22:$G32)</f>
        <v>#DIV/0!</v>
      </c>
      <c r="P15" s="35" t="str">
        <f>AVERAGEIF($A22:$A32,"Hombros",$G22:$G32)</f>
        <v>#DIV/0!</v>
      </c>
      <c r="Q15" s="35" t="str">
        <f>AVERAGEIF($A22:$A32,"Bíceps",$G22:$G32)</f>
        <v>#DIV/0!</v>
      </c>
      <c r="R15" s="35" t="str">
        <f>AVERAGEIF($A22:$A32,"Tríceps",$G22:$G32)</f>
        <v>#DIV/0!</v>
      </c>
      <c r="S15" s="35" t="str">
        <f>AVERAGEIF($A22:$A32,"Cuádriceps",$G22:$G32)</f>
        <v>#DIV/0!</v>
      </c>
      <c r="T15" s="35">
        <f>AVERAGEIF($A22:$A32,"Isquios",$G22:$G32)</f>
        <v>8</v>
      </c>
      <c r="U15" s="35" t="str">
        <f>AVERAGEIF($A22:$A32,"Glúteos",$G22:$G32)</f>
        <v>#DIV/0!</v>
      </c>
      <c r="V15" s="35" t="str">
        <f>AVERAGEIF($A22:$A32,"Pantorrillas",$G22:$G32)</f>
        <v>#DIV/0!</v>
      </c>
      <c r="W15" s="35" t="str">
        <f>AVERAGEIF($A22:$A32,"Otros",$G22:$G32)</f>
        <v>#DIV/0!</v>
      </c>
      <c r="Z15" s="28" t="s">
        <v>32</v>
      </c>
      <c r="AA15" s="1">
        <f>SUM(U9,U14,U19,U24,U29)</f>
        <v>12</v>
      </c>
    </row>
    <row r="16" ht="14.25" customHeight="1">
      <c r="A16" s="53" t="s">
        <v>27</v>
      </c>
      <c r="B16" s="54" t="s">
        <v>336</v>
      </c>
      <c r="C16" s="18"/>
      <c r="D16" s="20"/>
      <c r="E16" s="53">
        <v>3.0</v>
      </c>
      <c r="F16" s="53">
        <v>12.0</v>
      </c>
      <c r="G16" s="53"/>
      <c r="H16" s="53"/>
      <c r="I16" s="55"/>
      <c r="J16" s="9"/>
      <c r="M16" s="25"/>
      <c r="N16" s="25"/>
      <c r="O16" s="25"/>
      <c r="P16" s="25"/>
      <c r="Q16" s="25"/>
      <c r="R16" s="25"/>
      <c r="S16" s="25"/>
      <c r="T16" s="25"/>
      <c r="U16" s="25"/>
      <c r="Z16" s="28" t="s">
        <v>33</v>
      </c>
      <c r="AA16" s="1">
        <f>SUM(V9,V14,V19,V24,V29)</f>
        <v>3</v>
      </c>
    </row>
    <row r="17" ht="14.25" customHeight="1">
      <c r="A17" s="53" t="s">
        <v>12</v>
      </c>
      <c r="B17" s="54" t="s">
        <v>401</v>
      </c>
      <c r="C17" s="18"/>
      <c r="D17" s="20"/>
      <c r="E17" s="53"/>
      <c r="F17" s="53" t="s">
        <v>403</v>
      </c>
      <c r="G17" s="53"/>
      <c r="H17" s="53"/>
      <c r="I17" s="55"/>
      <c r="J17" s="9"/>
      <c r="M17" s="11" t="s">
        <v>57</v>
      </c>
      <c r="N17" s="12"/>
      <c r="O17" s="12"/>
      <c r="P17" s="12"/>
      <c r="Q17" s="12"/>
      <c r="R17" s="12"/>
      <c r="S17" s="12"/>
      <c r="T17" s="12"/>
      <c r="U17" s="12"/>
      <c r="V17" s="12"/>
      <c r="W17" s="13"/>
      <c r="Z17" s="28" t="s">
        <v>12</v>
      </c>
      <c r="AA17" s="1">
        <f>SUM(W9,W14,W19,W24,W29)</f>
        <v>29</v>
      </c>
    </row>
    <row r="18" ht="14.25" customHeight="1">
      <c r="B18" s="26"/>
      <c r="C18" s="29"/>
      <c r="D18" s="29"/>
      <c r="M18" s="25"/>
      <c r="N18" s="28" t="s">
        <v>16</v>
      </c>
      <c r="O18" s="28" t="s">
        <v>26</v>
      </c>
      <c r="P18" s="28" t="s">
        <v>27</v>
      </c>
      <c r="Q18" s="28" t="s">
        <v>28</v>
      </c>
      <c r="R18" s="28" t="s">
        <v>29</v>
      </c>
      <c r="S18" s="28" t="s">
        <v>30</v>
      </c>
      <c r="T18" s="28" t="s">
        <v>31</v>
      </c>
      <c r="U18" s="28" t="s">
        <v>32</v>
      </c>
      <c r="V18" s="28" t="s">
        <v>33</v>
      </c>
      <c r="W18" s="28" t="s">
        <v>12</v>
      </c>
    </row>
    <row r="19" ht="14.25" customHeight="1">
      <c r="M19" s="34" t="s">
        <v>36</v>
      </c>
      <c r="N19" s="35">
        <f>SUMIF($A37:$A46,"Pecho",$E37:$E46)</f>
        <v>0</v>
      </c>
      <c r="O19" s="35">
        <f>SUMIF($A37:$A46,"Espalda",$E37:$E46)</f>
        <v>0</v>
      </c>
      <c r="P19" s="35">
        <f>SUMIF($A37:$A46,"Hombros",$E37:$E46)</f>
        <v>6</v>
      </c>
      <c r="Q19" s="35">
        <f>SUMIF($A37:$A46,"Bíceps",$E37:$E46)</f>
        <v>4</v>
      </c>
      <c r="R19" s="35">
        <f>SUMIF($A37:$A46,"Tríceps",$E37:$E46)</f>
        <v>4</v>
      </c>
      <c r="S19" s="35">
        <f>SUMIF($A37:$A46,"Cuádriceps",$E37:$E46)</f>
        <v>3</v>
      </c>
      <c r="T19" s="35">
        <f>SUMIF($A37:$A46,"Isquios",$E37:$E46)</f>
        <v>0</v>
      </c>
      <c r="U19" s="35">
        <f>SUMIF($A37:$A46,"Glúteos",$E37:$E46)</f>
        <v>6</v>
      </c>
      <c r="V19" s="35">
        <f>SUMIF($A37:$A46,"Pantorrillas",$E37:$E46)</f>
        <v>0</v>
      </c>
      <c r="W19" s="35">
        <f>SUMIF($A37:$A46,"Otros",$E37:$E46)</f>
        <v>9</v>
      </c>
    </row>
    <row r="20" ht="14.25" customHeight="1">
      <c r="A20" s="2" t="s">
        <v>407</v>
      </c>
      <c r="B20" s="3"/>
      <c r="C20" s="4"/>
      <c r="J20" s="1"/>
      <c r="M20" s="34" t="s">
        <v>7</v>
      </c>
      <c r="N20" s="35" t="str">
        <f>AVERAGEIF($A37:$A46,"Pecho",$G37:$G46)</f>
        <v>#DIV/0!</v>
      </c>
      <c r="O20" s="35" t="str">
        <f>AVERAGEIF($A37:$A46,"Espalda",$G37:$G46)</f>
        <v>#DIV/0!</v>
      </c>
      <c r="P20" s="35" t="str">
        <f>AVERAGEIF($A37:$A46,"Hombros",$G37:$G46)</f>
        <v>#DIV/0!</v>
      </c>
      <c r="Q20" s="35" t="str">
        <f>AVERAGEIF($A37:$A46,"Bíceps",$G37:$G46)</f>
        <v>#DIV/0!</v>
      </c>
      <c r="R20" s="35" t="str">
        <f>AVERAGEIF($A37:$A46,"Tríceps",$G37:$G46)</f>
        <v>#DIV/0!</v>
      </c>
      <c r="S20" s="35">
        <f>AVERAGEIF($A37:$A46,"Cuádriceps",$G37:$G46)</f>
        <v>8</v>
      </c>
      <c r="T20" s="35" t="str">
        <f>AVERAGEIF($A37:$A46,"Isquios",$G37:$G46)</f>
        <v>#DIV/0!</v>
      </c>
      <c r="U20" s="35" t="str">
        <f>AVERAGEIF($A37:$A46,"Glúteos",$G37:$G46)</f>
        <v>#DIV/0!</v>
      </c>
      <c r="V20" s="35" t="str">
        <f>AVERAGEIF($A37:$A46,"Pantorrillas",$G37:$G46)</f>
        <v>#DIV/0!</v>
      </c>
      <c r="W20" s="35" t="str">
        <f>AVERAGEIF($A37:$A46,"Otros",$G37:$G46)</f>
        <v>#DIV/0!</v>
      </c>
    </row>
    <row r="21" ht="14.25" customHeight="1">
      <c r="A21" s="6" t="s">
        <v>2</v>
      </c>
      <c r="B21" s="10" t="s">
        <v>4</v>
      </c>
      <c r="C21" s="8"/>
      <c r="D21" s="9"/>
      <c r="E21" s="6" t="s">
        <v>5</v>
      </c>
      <c r="F21" s="6" t="s">
        <v>6</v>
      </c>
      <c r="G21" s="6" t="s">
        <v>7</v>
      </c>
      <c r="H21" s="6" t="s">
        <v>8</v>
      </c>
      <c r="I21" s="10" t="s">
        <v>9</v>
      </c>
      <c r="J21" s="9"/>
      <c r="M21" s="25"/>
      <c r="N21" s="25"/>
      <c r="O21" s="25"/>
      <c r="P21" s="25"/>
      <c r="Q21" s="25"/>
      <c r="R21" s="25"/>
      <c r="S21" s="25"/>
      <c r="T21" s="25"/>
      <c r="U21" s="25"/>
    </row>
    <row r="22" ht="14.25" customHeight="1">
      <c r="A22" s="53" t="s">
        <v>12</v>
      </c>
      <c r="B22" s="54" t="s">
        <v>287</v>
      </c>
      <c r="C22" s="18"/>
      <c r="D22" s="20"/>
      <c r="E22" s="53">
        <v>2.0</v>
      </c>
      <c r="F22" s="53">
        <v>10.0</v>
      </c>
      <c r="G22" s="53"/>
      <c r="H22" s="53"/>
      <c r="I22" s="55"/>
      <c r="J22" s="9"/>
      <c r="M22" s="11" t="s">
        <v>66</v>
      </c>
      <c r="N22" s="12"/>
      <c r="O22" s="12"/>
      <c r="P22" s="12"/>
      <c r="Q22" s="12"/>
      <c r="R22" s="12"/>
      <c r="S22" s="12"/>
      <c r="T22" s="12"/>
      <c r="U22" s="12"/>
      <c r="V22" s="12"/>
      <c r="W22" s="13"/>
    </row>
    <row r="23" ht="14.25" customHeight="1">
      <c r="A23" s="53" t="s">
        <v>12</v>
      </c>
      <c r="B23" s="54" t="s">
        <v>411</v>
      </c>
      <c r="C23" s="18"/>
      <c r="D23" s="20"/>
      <c r="E23" s="53">
        <v>2.0</v>
      </c>
      <c r="F23" s="53">
        <v>12.0</v>
      </c>
      <c r="G23" s="53"/>
      <c r="H23" s="53"/>
      <c r="I23" s="55"/>
      <c r="J23" s="9"/>
      <c r="M23" s="25"/>
      <c r="N23" s="28" t="s">
        <v>16</v>
      </c>
      <c r="O23" s="28" t="s">
        <v>26</v>
      </c>
      <c r="P23" s="28" t="s">
        <v>27</v>
      </c>
      <c r="Q23" s="28" t="s">
        <v>28</v>
      </c>
      <c r="R23" s="28" t="s">
        <v>29</v>
      </c>
      <c r="S23" s="28" t="s">
        <v>30</v>
      </c>
      <c r="T23" s="28" t="s">
        <v>31</v>
      </c>
      <c r="U23" s="28" t="s">
        <v>32</v>
      </c>
      <c r="V23" s="28" t="s">
        <v>33</v>
      </c>
      <c r="W23" s="28" t="s">
        <v>12</v>
      </c>
    </row>
    <row r="24" ht="14.25" customHeight="1">
      <c r="A24" s="53" t="s">
        <v>12</v>
      </c>
      <c r="B24" s="54" t="s">
        <v>413</v>
      </c>
      <c r="C24" s="18"/>
      <c r="D24" s="20"/>
      <c r="E24" s="53">
        <v>2.0</v>
      </c>
      <c r="F24" s="53">
        <v>10.0</v>
      </c>
      <c r="G24" s="53"/>
      <c r="H24" s="53"/>
      <c r="I24" s="55"/>
      <c r="J24" s="9"/>
      <c r="M24" s="34" t="s">
        <v>36</v>
      </c>
      <c r="N24" s="35">
        <f>SUMIF($A51:$A60,"Pecho",$E51:$E60)</f>
        <v>0</v>
      </c>
      <c r="O24" s="35">
        <f>SUMIF($A51:$A60,"Espalda",$E51:$E60)</f>
        <v>0</v>
      </c>
      <c r="P24" s="35">
        <f>SUMIF($A51:$A60,"Hombros",$E51:$E60)</f>
        <v>0</v>
      </c>
      <c r="Q24" s="35">
        <f>SUMIF($A51:$A60,"Bíceps",$E51:$E60)</f>
        <v>0</v>
      </c>
      <c r="R24" s="35">
        <f>SUMIF($A51:$A60,"Tríceps",$E51:$E60)</f>
        <v>0</v>
      </c>
      <c r="S24" s="35">
        <f>SUMIF($A51:$A60,"Cuádriceps",$E51:$E60)</f>
        <v>0</v>
      </c>
      <c r="T24" s="35">
        <f>SUMIF($A51:$A60,"Isquios",$E51:$E60)</f>
        <v>0</v>
      </c>
      <c r="U24" s="35">
        <f>SUMIF($A51:$A60,"Glúteos",$E51:$E60)</f>
        <v>0</v>
      </c>
      <c r="V24" s="35">
        <f>SUMIF($A51:$A60,"Pantorrillas",$E51:$E60)</f>
        <v>0</v>
      </c>
      <c r="W24" s="35">
        <f>SUMIF($A51:$A60,"Otros",$E51:$E60)</f>
        <v>0</v>
      </c>
    </row>
    <row r="25" ht="14.25" customHeight="1">
      <c r="A25" s="27" t="s">
        <v>31</v>
      </c>
      <c r="B25" s="30" t="s">
        <v>410</v>
      </c>
      <c r="C25" s="18"/>
      <c r="D25" s="20"/>
      <c r="E25" s="27">
        <v>4.0</v>
      </c>
      <c r="F25" s="27">
        <v>8.0</v>
      </c>
      <c r="G25" s="27">
        <v>8.0</v>
      </c>
      <c r="H25" s="27" t="s">
        <v>55</v>
      </c>
      <c r="I25" s="33"/>
      <c r="J25" s="9"/>
      <c r="M25" s="34" t="s">
        <v>7</v>
      </c>
      <c r="N25" s="35" t="str">
        <f>AVERAGEIF($A51:$A60,"Pecho",$G51:$G60)</f>
        <v>#DIV/0!</v>
      </c>
      <c r="O25" s="35" t="str">
        <f>AVERAGEIF($A51:$A60,"Espalda",$G51:$G60)</f>
        <v>#DIV/0!</v>
      </c>
      <c r="P25" s="35" t="str">
        <f>AVERAGEIF($A51:$A60,"Hombros",$G51:$G60)</f>
        <v>#DIV/0!</v>
      </c>
      <c r="Q25" s="35" t="str">
        <f>AVERAGEIF($A51:$A60,"Bíceps",$G51:$G60)</f>
        <v>#DIV/0!</v>
      </c>
      <c r="R25" s="35" t="str">
        <f>AVERAGEIF($A51:$A60,"Tríceps",$G51:$G60)</f>
        <v>#DIV/0!</v>
      </c>
      <c r="S25" s="35" t="str">
        <f>AVERAGEIF($A51:$A60,"Cuádriceps",$G51:$G60)</f>
        <v>#DIV/0!</v>
      </c>
      <c r="T25" s="35" t="str">
        <f>AVERAGEIF($A51:$A60,"Isquios",$G51:$G60)</f>
        <v>#DIV/0!</v>
      </c>
      <c r="U25" s="35" t="str">
        <f>AVERAGEIF($A51:$A60,"Glúteos",$G51:$G60)</f>
        <v>#DIV/0!</v>
      </c>
      <c r="V25" s="35" t="str">
        <f>AVERAGEIF($A51:$A60,"Pantorrillas",$G51:$G60)</f>
        <v>#DIV/0!</v>
      </c>
      <c r="W25" s="35" t="str">
        <f>AVERAGEIF($A51:$A60,"Otros",$G51:$G60)</f>
        <v>#DIV/0!</v>
      </c>
    </row>
    <row r="26" ht="14.25" customHeight="1">
      <c r="A26" s="27" t="s">
        <v>32</v>
      </c>
      <c r="B26" s="30" t="s">
        <v>419</v>
      </c>
      <c r="C26" s="18"/>
      <c r="D26" s="20"/>
      <c r="E26" s="27">
        <v>3.0</v>
      </c>
      <c r="F26" s="27" t="s">
        <v>420</v>
      </c>
      <c r="G26" s="27"/>
      <c r="H26" s="27"/>
      <c r="I26" s="33"/>
      <c r="J26" s="9"/>
      <c r="M26" s="25"/>
      <c r="N26" s="25"/>
      <c r="O26" s="25"/>
      <c r="P26" s="25"/>
      <c r="Q26" s="25"/>
      <c r="R26" s="25"/>
      <c r="S26" s="25"/>
      <c r="T26" s="25"/>
      <c r="U26" s="25"/>
    </row>
    <row r="27" ht="14.25" customHeight="1">
      <c r="A27" s="53" t="s">
        <v>30</v>
      </c>
      <c r="B27" s="54" t="s">
        <v>211</v>
      </c>
      <c r="C27" s="18"/>
      <c r="D27" s="20"/>
      <c r="E27" s="53">
        <v>4.0</v>
      </c>
      <c r="F27" s="53">
        <v>8.0</v>
      </c>
      <c r="G27" s="53"/>
      <c r="H27" s="53"/>
      <c r="I27" s="55"/>
      <c r="J27" s="9"/>
      <c r="M27" s="11" t="s">
        <v>76</v>
      </c>
      <c r="N27" s="12"/>
      <c r="O27" s="12"/>
      <c r="P27" s="12"/>
      <c r="Q27" s="12"/>
      <c r="R27" s="12"/>
      <c r="S27" s="12"/>
      <c r="T27" s="12"/>
      <c r="U27" s="12"/>
      <c r="V27" s="12"/>
      <c r="W27" s="13"/>
    </row>
    <row r="28" ht="14.25" customHeight="1">
      <c r="A28" s="53" t="s">
        <v>33</v>
      </c>
      <c r="B28" s="54" t="s">
        <v>421</v>
      </c>
      <c r="C28" s="18"/>
      <c r="D28" s="20"/>
      <c r="E28" s="53">
        <v>3.0</v>
      </c>
      <c r="F28" s="130" t="s">
        <v>420</v>
      </c>
      <c r="G28" s="53"/>
      <c r="H28" s="53"/>
      <c r="I28" s="55"/>
      <c r="J28" s="9"/>
      <c r="M28" s="25"/>
      <c r="N28" s="28" t="s">
        <v>16</v>
      </c>
      <c r="O28" s="28" t="s">
        <v>26</v>
      </c>
      <c r="P28" s="28" t="s">
        <v>27</v>
      </c>
      <c r="Q28" s="28" t="s">
        <v>28</v>
      </c>
      <c r="R28" s="28" t="s">
        <v>29</v>
      </c>
      <c r="S28" s="28" t="s">
        <v>30</v>
      </c>
      <c r="T28" s="28" t="s">
        <v>31</v>
      </c>
      <c r="U28" s="28" t="s">
        <v>32</v>
      </c>
      <c r="V28" s="28" t="s">
        <v>33</v>
      </c>
      <c r="W28" s="28" t="s">
        <v>12</v>
      </c>
    </row>
    <row r="29" ht="14.25" customHeight="1">
      <c r="A29" s="27" t="s">
        <v>30</v>
      </c>
      <c r="B29" s="30" t="s">
        <v>422</v>
      </c>
      <c r="C29" s="18"/>
      <c r="D29" s="20"/>
      <c r="E29" s="27">
        <v>3.0</v>
      </c>
      <c r="F29" s="27">
        <v>8.0</v>
      </c>
      <c r="G29" s="27"/>
      <c r="H29" s="27"/>
      <c r="I29" s="24"/>
      <c r="J29" s="9"/>
      <c r="M29" s="34" t="s">
        <v>36</v>
      </c>
      <c r="N29" s="35">
        <f>SUMIF($A65:$A74,"Pecho",$E65:$E74)</f>
        <v>0</v>
      </c>
      <c r="O29" s="35">
        <f>SUMIF($A65:$A74,"Espalda",$E65:$E74)</f>
        <v>0</v>
      </c>
      <c r="P29" s="35">
        <f>SUMIF($A65:$A74,"Hombros",$E65:$E74)</f>
        <v>0</v>
      </c>
      <c r="Q29" s="35">
        <f>SUMIF($A65:$A74,"Bíceps",$E65:$E74)</f>
        <v>0</v>
      </c>
      <c r="R29" s="35">
        <f>SUMIF($A65:$A74,"Tríceps",$E65:$E74)</f>
        <v>0</v>
      </c>
      <c r="S29" s="35">
        <f>SUMIF($A65:$A74,"Cuádriceps",$E65:$E74)</f>
        <v>0</v>
      </c>
      <c r="T29" s="35">
        <f>SUMIF($A65:$A74,"Isquios",$E65:$E74)</f>
        <v>0</v>
      </c>
      <c r="U29" s="35">
        <f>SUMIF($A65:$A74,"Glúteos",$E65:$E74)</f>
        <v>0</v>
      </c>
      <c r="V29" s="35">
        <f>SUMIF($A65:$A74,"Pantorrillas",$E65:$E74)</f>
        <v>0</v>
      </c>
      <c r="W29" s="35">
        <f>SUMIF($A65:$A74,"Otros",$E65:$E74)</f>
        <v>0</v>
      </c>
    </row>
    <row r="30" ht="14.25" customHeight="1">
      <c r="A30" s="53" t="s">
        <v>32</v>
      </c>
      <c r="B30" s="56" t="s">
        <v>429</v>
      </c>
      <c r="C30" s="8"/>
      <c r="D30" s="9"/>
      <c r="E30" s="53">
        <v>3.0</v>
      </c>
      <c r="F30" s="53">
        <v>12.0</v>
      </c>
      <c r="G30" s="53"/>
      <c r="H30" s="53"/>
      <c r="I30" s="55"/>
      <c r="J30" s="9"/>
      <c r="M30" s="34" t="s">
        <v>7</v>
      </c>
      <c r="N30" s="35" t="str">
        <f>AVERAGEIF($A65:$A74,"Pecho",$G65:$G74)</f>
        <v>#DIV/0!</v>
      </c>
      <c r="O30" s="35" t="str">
        <f>AVERAGEIF($A65:$A74,"Espalda",$G65:$G74)</f>
        <v>#DIV/0!</v>
      </c>
      <c r="P30" s="35" t="str">
        <f>AVERAGEIF($A65:$A74,"Hombros",$G65:$G74)</f>
        <v>#DIV/0!</v>
      </c>
      <c r="Q30" s="35" t="str">
        <f>AVERAGEIF($A65:$A74,"Bíceps",$G65:$G74)</f>
        <v>#DIV/0!</v>
      </c>
      <c r="R30" s="35" t="str">
        <f>AVERAGEIF($A65:$A74,"Tríceps",$G65:$G74)</f>
        <v>#DIV/0!</v>
      </c>
      <c r="S30" s="35" t="str">
        <f>AVERAGEIF($A65:$A74,"Cuádriceps",$G65:$G74)</f>
        <v>#DIV/0!</v>
      </c>
      <c r="T30" s="35" t="str">
        <f>AVERAGEIF($A65:$A74,"Isquios",$G65:$G74)</f>
        <v>#DIV/0!</v>
      </c>
      <c r="U30" s="35" t="str">
        <f>AVERAGEIF($A65:$A74,"Glúteos",$G65:$G74)</f>
        <v>#DIV/0!</v>
      </c>
      <c r="V30" s="35" t="str">
        <f>AVERAGEIF($A65:$A74,"Pantorrillas",$G65:$G74)</f>
        <v>#DIV/0!</v>
      </c>
      <c r="W30" s="35" t="str">
        <f>AVERAGEIF($A65:$A74,"Otros",$G65:$G74)</f>
        <v>#DIV/0!</v>
      </c>
    </row>
    <row r="31" ht="14.25" customHeight="1">
      <c r="A31" s="53" t="s">
        <v>12</v>
      </c>
      <c r="B31" s="135" t="s">
        <v>434</v>
      </c>
      <c r="C31" s="136"/>
      <c r="D31" s="137"/>
      <c r="E31" s="53">
        <v>3.0</v>
      </c>
      <c r="F31" s="53">
        <v>12.0</v>
      </c>
      <c r="G31" s="53"/>
      <c r="H31" s="53"/>
      <c r="I31" s="57"/>
      <c r="J31" s="59"/>
      <c r="M31" s="65"/>
      <c r="N31" s="25"/>
      <c r="O31" s="25"/>
      <c r="P31" s="25"/>
      <c r="Q31" s="25"/>
      <c r="R31" s="25"/>
      <c r="S31" s="25"/>
      <c r="T31" s="25"/>
      <c r="U31" s="25"/>
      <c r="V31" s="25"/>
      <c r="W31" s="25"/>
    </row>
    <row r="32" ht="14.25" customHeight="1">
      <c r="A32" s="53" t="s">
        <v>12</v>
      </c>
      <c r="B32" s="56" t="s">
        <v>437</v>
      </c>
      <c r="C32" s="8"/>
      <c r="D32" s="9"/>
      <c r="E32" s="53">
        <v>3.0</v>
      </c>
      <c r="F32" s="53">
        <v>10.0</v>
      </c>
      <c r="G32" s="53"/>
      <c r="H32" s="53"/>
      <c r="I32" s="55"/>
      <c r="J32" s="9"/>
    </row>
    <row r="33" ht="14.25" customHeight="1">
      <c r="B33" s="26"/>
      <c r="C33" s="29"/>
      <c r="D33" s="29"/>
    </row>
    <row r="34" ht="14.25" customHeight="1"/>
    <row r="35" ht="14.25" customHeight="1">
      <c r="A35" s="2" t="s">
        <v>427</v>
      </c>
      <c r="B35" s="3"/>
      <c r="C35" s="4"/>
      <c r="J35" s="1"/>
    </row>
    <row r="36" ht="14.25" customHeight="1">
      <c r="A36" s="6" t="s">
        <v>2</v>
      </c>
      <c r="B36" s="10" t="s">
        <v>4</v>
      </c>
      <c r="C36" s="8"/>
      <c r="D36" s="9"/>
      <c r="E36" s="6" t="s">
        <v>5</v>
      </c>
      <c r="F36" s="6" t="s">
        <v>6</v>
      </c>
      <c r="G36" s="6" t="s">
        <v>7</v>
      </c>
      <c r="H36" s="6" t="s">
        <v>8</v>
      </c>
      <c r="I36" s="10" t="s">
        <v>9</v>
      </c>
      <c r="J36" s="9"/>
    </row>
    <row r="37" ht="14.25" customHeight="1">
      <c r="A37" s="53" t="s">
        <v>12</v>
      </c>
      <c r="B37" s="54" t="s">
        <v>440</v>
      </c>
      <c r="C37" s="18"/>
      <c r="D37" s="20"/>
      <c r="E37" s="53">
        <v>3.0</v>
      </c>
      <c r="F37" s="53">
        <v>10.0</v>
      </c>
      <c r="G37" s="53"/>
      <c r="H37" s="53"/>
      <c r="I37" s="55"/>
      <c r="J37" s="9"/>
    </row>
    <row r="38" ht="14.25" customHeight="1">
      <c r="A38" s="53" t="s">
        <v>12</v>
      </c>
      <c r="B38" s="54" t="s">
        <v>368</v>
      </c>
      <c r="C38" s="18"/>
      <c r="D38" s="20"/>
      <c r="E38" s="53">
        <v>3.0</v>
      </c>
      <c r="F38" s="53">
        <v>12.0</v>
      </c>
      <c r="G38" s="53"/>
      <c r="H38" s="53"/>
      <c r="I38" s="55"/>
      <c r="J38" s="9"/>
    </row>
    <row r="39" ht="14.25" customHeight="1">
      <c r="A39" s="53" t="s">
        <v>12</v>
      </c>
      <c r="B39" s="54" t="s">
        <v>369</v>
      </c>
      <c r="C39" s="18"/>
      <c r="D39" s="20"/>
      <c r="E39" s="53">
        <v>3.0</v>
      </c>
      <c r="F39" s="53">
        <v>12.0</v>
      </c>
      <c r="G39" s="53"/>
      <c r="H39" s="53"/>
      <c r="I39" s="55"/>
      <c r="J39" s="9"/>
    </row>
    <row r="40" ht="14.25" customHeight="1">
      <c r="A40" s="16" t="s">
        <v>30</v>
      </c>
      <c r="B40" s="30" t="s">
        <v>430</v>
      </c>
      <c r="C40" s="18"/>
      <c r="D40" s="20"/>
      <c r="E40" s="27">
        <v>3.0</v>
      </c>
      <c r="F40" s="27">
        <v>6.0</v>
      </c>
      <c r="G40" s="27">
        <v>8.0</v>
      </c>
      <c r="H40" s="27" t="s">
        <v>55</v>
      </c>
      <c r="I40" s="24"/>
      <c r="J40" s="9"/>
    </row>
    <row r="41" ht="14.25" customHeight="1">
      <c r="A41" s="16" t="s">
        <v>32</v>
      </c>
      <c r="B41" s="30" t="s">
        <v>443</v>
      </c>
      <c r="C41" s="18"/>
      <c r="D41" s="20"/>
      <c r="E41" s="27">
        <v>3.0</v>
      </c>
      <c r="F41" s="27">
        <v>6.0</v>
      </c>
      <c r="G41" s="27"/>
      <c r="H41" s="27"/>
      <c r="I41" s="24"/>
      <c r="J41" s="9"/>
    </row>
    <row r="42" ht="14.25" customHeight="1">
      <c r="A42" s="53" t="s">
        <v>27</v>
      </c>
      <c r="B42" s="54" t="s">
        <v>444</v>
      </c>
      <c r="C42" s="18"/>
      <c r="D42" s="20"/>
      <c r="E42" s="53">
        <v>3.0</v>
      </c>
      <c r="F42" s="53">
        <v>8.0</v>
      </c>
      <c r="G42" s="53"/>
      <c r="H42" s="53"/>
      <c r="I42" s="55"/>
      <c r="J42" s="9"/>
    </row>
    <row r="43" ht="14.25" customHeight="1">
      <c r="A43" s="53" t="s">
        <v>32</v>
      </c>
      <c r="B43" s="54" t="s">
        <v>445</v>
      </c>
      <c r="C43" s="18"/>
      <c r="D43" s="20"/>
      <c r="E43" s="53">
        <v>3.0</v>
      </c>
      <c r="F43" s="53">
        <v>10.0</v>
      </c>
      <c r="G43" s="53"/>
      <c r="H43" s="53"/>
      <c r="I43" s="55"/>
      <c r="J43" s="9"/>
    </row>
    <row r="44" ht="14.25" customHeight="1">
      <c r="A44" s="16" t="s">
        <v>29</v>
      </c>
      <c r="B44" s="30" t="s">
        <v>373</v>
      </c>
      <c r="C44" s="18"/>
      <c r="D44" s="20"/>
      <c r="E44" s="27">
        <v>4.0</v>
      </c>
      <c r="F44" s="27">
        <v>10.0</v>
      </c>
      <c r="G44" s="27"/>
      <c r="H44" s="27"/>
      <c r="I44" s="24"/>
      <c r="J44" s="9"/>
    </row>
    <row r="45" ht="14.25" customHeight="1">
      <c r="A45" s="53" t="s">
        <v>28</v>
      </c>
      <c r="B45" s="54" t="s">
        <v>448</v>
      </c>
      <c r="C45" s="18"/>
      <c r="D45" s="20"/>
      <c r="E45" s="53">
        <v>4.0</v>
      </c>
      <c r="F45" s="53">
        <v>12.0</v>
      </c>
      <c r="G45" s="53"/>
      <c r="H45" s="53"/>
      <c r="I45" s="55"/>
      <c r="J45" s="9"/>
    </row>
    <row r="46" ht="14.25" customHeight="1">
      <c r="A46" s="53" t="s">
        <v>27</v>
      </c>
      <c r="B46" s="56" t="s">
        <v>449</v>
      </c>
      <c r="C46" s="8"/>
      <c r="D46" s="9"/>
      <c r="E46" s="53">
        <v>3.0</v>
      </c>
      <c r="F46" s="53">
        <v>12.0</v>
      </c>
      <c r="G46" s="53"/>
      <c r="H46" s="53"/>
      <c r="I46" s="55"/>
      <c r="J46" s="9"/>
    </row>
    <row r="47" ht="14.25" customHeight="1">
      <c r="B47" s="26"/>
      <c r="C47" s="29"/>
      <c r="D47" s="29"/>
    </row>
    <row r="48" ht="14.25" customHeight="1"/>
    <row r="49" ht="14.25" customHeight="1">
      <c r="A49" s="2" t="s">
        <v>66</v>
      </c>
      <c r="B49" s="3"/>
      <c r="C49" s="4"/>
      <c r="J49" s="1"/>
    </row>
    <row r="50" ht="14.25" customHeight="1">
      <c r="A50" s="6" t="s">
        <v>2</v>
      </c>
      <c r="B50" s="10" t="s">
        <v>4</v>
      </c>
      <c r="C50" s="8"/>
      <c r="D50" s="9"/>
      <c r="E50" s="6" t="s">
        <v>5</v>
      </c>
      <c r="F50" s="6" t="s">
        <v>6</v>
      </c>
      <c r="G50" s="6" t="s">
        <v>7</v>
      </c>
      <c r="H50" s="6" t="s">
        <v>8</v>
      </c>
      <c r="I50" s="10" t="s">
        <v>9</v>
      </c>
      <c r="J50" s="9"/>
    </row>
    <row r="51" ht="14.25" customHeight="1">
      <c r="A51" s="16"/>
      <c r="B51" s="26"/>
      <c r="C51" s="29"/>
      <c r="D51" s="29"/>
      <c r="E51" s="16"/>
      <c r="F51" s="16"/>
      <c r="G51" s="16"/>
      <c r="H51" s="16"/>
      <c r="I51" s="24"/>
      <c r="J51" s="9"/>
    </row>
    <row r="52" ht="14.25" customHeight="1">
      <c r="A52" s="16"/>
      <c r="B52" s="26"/>
      <c r="C52" s="29"/>
      <c r="D52" s="29"/>
      <c r="E52" s="16"/>
      <c r="F52" s="16"/>
      <c r="G52" s="16"/>
      <c r="H52" s="16"/>
      <c r="I52" s="24"/>
      <c r="J52" s="9"/>
    </row>
    <row r="53" ht="14.25" customHeight="1">
      <c r="A53" s="16" t="s">
        <v>12</v>
      </c>
      <c r="B53" s="26" t="s">
        <v>329</v>
      </c>
      <c r="C53" s="29"/>
      <c r="D53" s="29"/>
      <c r="E53" s="16"/>
      <c r="F53" s="16">
        <v>10.0</v>
      </c>
      <c r="G53" s="16"/>
      <c r="H53" s="16"/>
      <c r="I53" s="24"/>
      <c r="J53" s="9"/>
    </row>
    <row r="54" ht="14.25" customHeight="1">
      <c r="A54" s="16" t="s">
        <v>31</v>
      </c>
      <c r="B54" s="30" t="s">
        <v>331</v>
      </c>
      <c r="C54" s="18"/>
      <c r="D54" s="20"/>
      <c r="E54" s="27"/>
      <c r="F54" s="27">
        <v>10.0</v>
      </c>
      <c r="G54" s="27"/>
      <c r="H54" s="27"/>
      <c r="I54" s="24"/>
      <c r="J54" s="9"/>
    </row>
    <row r="55" ht="14.25" customHeight="1">
      <c r="A55" s="16" t="s">
        <v>32</v>
      </c>
      <c r="B55" s="30" t="s">
        <v>333</v>
      </c>
      <c r="C55" s="18"/>
      <c r="D55" s="20"/>
      <c r="E55" s="27"/>
      <c r="F55" s="27" t="s">
        <v>278</v>
      </c>
      <c r="G55" s="27"/>
      <c r="H55" s="27"/>
      <c r="I55" s="24"/>
      <c r="J55" s="9"/>
    </row>
    <row r="56" ht="14.25" customHeight="1">
      <c r="A56" s="16" t="s">
        <v>26</v>
      </c>
      <c r="B56" s="30" t="s">
        <v>335</v>
      </c>
      <c r="C56" s="18"/>
      <c r="D56" s="20"/>
      <c r="E56" s="27"/>
      <c r="F56" s="27">
        <v>8.0</v>
      </c>
      <c r="G56" s="27"/>
      <c r="H56" s="27"/>
      <c r="I56" s="24"/>
      <c r="J56" s="9"/>
    </row>
    <row r="57" ht="14.25" customHeight="1">
      <c r="A57" s="16" t="s">
        <v>32</v>
      </c>
      <c r="B57" s="30" t="s">
        <v>338</v>
      </c>
      <c r="C57" s="18"/>
      <c r="D57" s="20"/>
      <c r="E57" s="27"/>
      <c r="F57" s="27">
        <v>8.0</v>
      </c>
      <c r="G57" s="27"/>
      <c r="H57" s="27"/>
      <c r="I57" s="24"/>
      <c r="J57" s="9"/>
    </row>
    <row r="58" ht="14.25" customHeight="1">
      <c r="A58" s="16" t="s">
        <v>26</v>
      </c>
      <c r="B58" s="30" t="s">
        <v>340</v>
      </c>
      <c r="C58" s="18"/>
      <c r="D58" s="20"/>
      <c r="E58" s="27"/>
      <c r="F58" s="27">
        <v>10.0</v>
      </c>
      <c r="G58" s="27"/>
      <c r="H58" s="27"/>
      <c r="I58" s="24"/>
      <c r="J58" s="9"/>
    </row>
    <row r="59" ht="14.25" customHeight="1">
      <c r="A59" s="16" t="s">
        <v>28</v>
      </c>
      <c r="B59" s="30" t="s">
        <v>341</v>
      </c>
      <c r="C59" s="18"/>
      <c r="D59" s="20"/>
      <c r="E59" s="27"/>
      <c r="F59" s="27"/>
      <c r="G59" s="27"/>
      <c r="H59" s="27"/>
      <c r="I59" s="24"/>
      <c r="J59" s="9"/>
    </row>
    <row r="60" ht="14.25" customHeight="1">
      <c r="A60" s="16" t="s">
        <v>33</v>
      </c>
      <c r="B60" s="60" t="s">
        <v>342</v>
      </c>
      <c r="C60" s="8"/>
      <c r="D60" s="9"/>
      <c r="E60" s="27"/>
      <c r="F60" s="27">
        <v>10.0</v>
      </c>
      <c r="G60" s="27"/>
      <c r="H60" s="27"/>
      <c r="I60" s="24"/>
      <c r="J60" s="9"/>
    </row>
    <row r="61" ht="14.25" customHeight="1">
      <c r="B61" s="26"/>
      <c r="C61" s="29"/>
      <c r="D61" s="29"/>
    </row>
    <row r="62" ht="14.25" customHeight="1"/>
    <row r="63" ht="14.25" customHeight="1">
      <c r="A63" s="2" t="s">
        <v>76</v>
      </c>
      <c r="B63" s="3"/>
      <c r="C63" s="4"/>
      <c r="J63" s="1"/>
    </row>
    <row r="64" ht="14.25" customHeight="1">
      <c r="A64" s="6" t="s">
        <v>2</v>
      </c>
      <c r="B64" s="10" t="s">
        <v>4</v>
      </c>
      <c r="C64" s="8"/>
      <c r="D64" s="9"/>
      <c r="E64" s="6" t="s">
        <v>5</v>
      </c>
      <c r="F64" s="6" t="s">
        <v>6</v>
      </c>
      <c r="G64" s="6" t="s">
        <v>7</v>
      </c>
      <c r="H64" s="6" t="s">
        <v>8</v>
      </c>
      <c r="I64" s="10" t="s">
        <v>9</v>
      </c>
      <c r="J64" s="9"/>
    </row>
    <row r="65" ht="14.25" customHeight="1">
      <c r="A65" s="16"/>
      <c r="B65" s="26"/>
      <c r="C65" s="29"/>
      <c r="D65" s="29"/>
      <c r="E65" s="16"/>
      <c r="F65" s="16"/>
      <c r="G65" s="16"/>
      <c r="H65" s="16"/>
      <c r="I65" s="24"/>
      <c r="J65" s="9"/>
    </row>
    <row r="66" ht="14.25" customHeight="1">
      <c r="A66" s="16"/>
      <c r="B66" s="26"/>
      <c r="C66" s="29"/>
      <c r="D66" s="29"/>
      <c r="E66" s="16"/>
      <c r="F66" s="16"/>
      <c r="G66" s="16"/>
      <c r="H66" s="16"/>
      <c r="I66" s="24"/>
      <c r="J66" s="9"/>
    </row>
    <row r="67" ht="14.25" customHeight="1">
      <c r="A67" s="16"/>
      <c r="B67" s="26"/>
      <c r="C67" s="29"/>
      <c r="D67" s="29"/>
      <c r="E67" s="16"/>
      <c r="F67" s="16"/>
      <c r="G67" s="16"/>
      <c r="H67" s="16"/>
      <c r="I67" s="24"/>
      <c r="J67" s="9"/>
    </row>
    <row r="68" ht="14.25" customHeight="1">
      <c r="A68" s="16"/>
      <c r="B68" s="26"/>
      <c r="C68" s="29"/>
      <c r="D68" s="29"/>
      <c r="E68" s="16"/>
      <c r="F68" s="16"/>
      <c r="G68" s="16"/>
      <c r="H68" s="16"/>
      <c r="I68" s="24"/>
      <c r="J68" s="9"/>
    </row>
    <row r="69" ht="14.25" customHeight="1">
      <c r="A69" s="16"/>
      <c r="B69" s="26"/>
      <c r="C69" s="29"/>
      <c r="D69" s="29"/>
      <c r="E69" s="16"/>
      <c r="F69" s="16"/>
      <c r="G69" s="16"/>
      <c r="H69" s="16"/>
      <c r="I69" s="24"/>
      <c r="J69" s="9"/>
    </row>
    <row r="70" ht="14.25" customHeight="1">
      <c r="A70" s="16"/>
      <c r="B70" s="26"/>
      <c r="C70" s="29"/>
      <c r="D70" s="29"/>
      <c r="E70" s="16"/>
      <c r="F70" s="16"/>
      <c r="G70" s="16"/>
      <c r="H70" s="16"/>
      <c r="I70" s="24"/>
      <c r="J70" s="9"/>
    </row>
    <row r="71" ht="14.25" customHeight="1">
      <c r="A71" s="16"/>
      <c r="B71" s="26"/>
      <c r="C71" s="29"/>
      <c r="D71" s="29"/>
      <c r="E71" s="16"/>
      <c r="F71" s="16"/>
      <c r="G71" s="16"/>
      <c r="H71" s="16"/>
      <c r="I71" s="24"/>
      <c r="J71" s="9"/>
    </row>
    <row r="72" ht="14.25" customHeight="1">
      <c r="A72" s="16"/>
      <c r="B72" s="26"/>
      <c r="C72" s="29"/>
      <c r="D72" s="29"/>
      <c r="E72" s="16"/>
      <c r="F72" s="16"/>
      <c r="G72" s="16"/>
      <c r="H72" s="16"/>
      <c r="I72" s="24"/>
      <c r="J72" s="9"/>
    </row>
    <row r="73" ht="14.25" customHeight="1">
      <c r="A73" s="16"/>
      <c r="B73" s="26"/>
      <c r="C73" s="29"/>
      <c r="D73" s="29"/>
      <c r="E73" s="16"/>
      <c r="F73" s="16"/>
      <c r="G73" s="16"/>
      <c r="H73" s="16"/>
      <c r="I73" s="24"/>
      <c r="J73" s="9"/>
    </row>
    <row r="74" ht="14.25" customHeight="1">
      <c r="A74" s="16"/>
      <c r="B74" s="58"/>
      <c r="C74" s="8"/>
      <c r="D74" s="9"/>
      <c r="E74" s="16"/>
      <c r="F74" s="16"/>
      <c r="G74" s="16"/>
      <c r="H74" s="16"/>
      <c r="I74" s="24"/>
      <c r="J74" s="9"/>
    </row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5">
    <mergeCell ref="I26:J26"/>
    <mergeCell ref="I27:J27"/>
    <mergeCell ref="I11:J11"/>
    <mergeCell ref="I13:J13"/>
    <mergeCell ref="I21:J21"/>
    <mergeCell ref="I22:J22"/>
    <mergeCell ref="I23:J23"/>
    <mergeCell ref="I24:J24"/>
    <mergeCell ref="I25:J25"/>
    <mergeCell ref="A6:C6"/>
    <mergeCell ref="B7:D7"/>
    <mergeCell ref="I7:J7"/>
    <mergeCell ref="M7:W7"/>
    <mergeCell ref="Z7:AB7"/>
    <mergeCell ref="B8:D8"/>
    <mergeCell ref="B9:D9"/>
    <mergeCell ref="I12:J12"/>
    <mergeCell ref="M12:W12"/>
    <mergeCell ref="I8:J8"/>
    <mergeCell ref="I9:J9"/>
    <mergeCell ref="B10:D10"/>
    <mergeCell ref="I10:J10"/>
    <mergeCell ref="B11:D11"/>
    <mergeCell ref="B12:D12"/>
    <mergeCell ref="B13:D13"/>
    <mergeCell ref="I17:J17"/>
    <mergeCell ref="M17:W17"/>
    <mergeCell ref="M22:W22"/>
    <mergeCell ref="B14:D14"/>
    <mergeCell ref="I14:J14"/>
    <mergeCell ref="B15:D15"/>
    <mergeCell ref="I15:J15"/>
    <mergeCell ref="B16:D16"/>
    <mergeCell ref="I16:J16"/>
    <mergeCell ref="B17:D17"/>
    <mergeCell ref="B26:D26"/>
    <mergeCell ref="B27:D27"/>
    <mergeCell ref="M27:W27"/>
    <mergeCell ref="I28:J28"/>
    <mergeCell ref="B18:D18"/>
    <mergeCell ref="A20:C20"/>
    <mergeCell ref="B21:D21"/>
    <mergeCell ref="B22:D22"/>
    <mergeCell ref="B23:D23"/>
    <mergeCell ref="B24:D24"/>
    <mergeCell ref="B25:D25"/>
    <mergeCell ref="B53:D53"/>
    <mergeCell ref="B54:D54"/>
    <mergeCell ref="B55:D55"/>
    <mergeCell ref="B56:D56"/>
    <mergeCell ref="B57:D57"/>
    <mergeCell ref="B58:D58"/>
    <mergeCell ref="B59:D59"/>
    <mergeCell ref="B68:D68"/>
    <mergeCell ref="B69:D69"/>
    <mergeCell ref="B70:D70"/>
    <mergeCell ref="B71:D71"/>
    <mergeCell ref="B72:D72"/>
    <mergeCell ref="B73:D73"/>
    <mergeCell ref="B74:D74"/>
    <mergeCell ref="B60:D60"/>
    <mergeCell ref="B61:D61"/>
    <mergeCell ref="A63:C63"/>
    <mergeCell ref="B64:D64"/>
    <mergeCell ref="B65:D65"/>
    <mergeCell ref="B66:D66"/>
    <mergeCell ref="B67:D67"/>
    <mergeCell ref="I73:J73"/>
    <mergeCell ref="I74:J74"/>
    <mergeCell ref="I66:J66"/>
    <mergeCell ref="I67:J67"/>
    <mergeCell ref="I68:J68"/>
    <mergeCell ref="I69:J69"/>
    <mergeCell ref="I70:J70"/>
    <mergeCell ref="I71:J71"/>
    <mergeCell ref="I72:J72"/>
    <mergeCell ref="B28:D28"/>
    <mergeCell ref="B29:D29"/>
    <mergeCell ref="I29:J29"/>
    <mergeCell ref="B30:D30"/>
    <mergeCell ref="I30:J30"/>
    <mergeCell ref="B32:D32"/>
    <mergeCell ref="I32:J32"/>
    <mergeCell ref="B33:D33"/>
    <mergeCell ref="A35:C35"/>
    <mergeCell ref="B36:D36"/>
    <mergeCell ref="I36:J36"/>
    <mergeCell ref="B37:D37"/>
    <mergeCell ref="I37:J37"/>
    <mergeCell ref="I38:J38"/>
    <mergeCell ref="B38:D38"/>
    <mergeCell ref="B39:D39"/>
    <mergeCell ref="B40:D40"/>
    <mergeCell ref="B41:D41"/>
    <mergeCell ref="B42:D42"/>
    <mergeCell ref="B43:D43"/>
    <mergeCell ref="B44:D44"/>
    <mergeCell ref="I39:J39"/>
    <mergeCell ref="I40:J40"/>
    <mergeCell ref="I41:J41"/>
    <mergeCell ref="I42:J42"/>
    <mergeCell ref="I43:J43"/>
    <mergeCell ref="I44:J44"/>
    <mergeCell ref="I45:J45"/>
    <mergeCell ref="B45:D45"/>
    <mergeCell ref="B46:D46"/>
    <mergeCell ref="B47:D47"/>
    <mergeCell ref="A49:C49"/>
    <mergeCell ref="B50:D50"/>
    <mergeCell ref="B51:D51"/>
    <mergeCell ref="B52:D52"/>
    <mergeCell ref="I46:J46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60:J60"/>
    <mergeCell ref="I64:J64"/>
    <mergeCell ref="I65:J65"/>
  </mergeCells>
  <dataValidations>
    <dataValidation type="list" allowBlank="1" showErrorMessage="1" sqref="A8:A17 A22:A32 A37:A46 A51:A60 A65:A74">
      <formula1>Datos!$D$2:$D$11</formula1>
    </dataValidation>
    <dataValidation type="list" allowBlank="1" showErrorMessage="1" sqref="J5">
      <formula1>Datos!$B$2:$B$12</formula1>
    </dataValidation>
    <dataValidation type="list" allowBlank="1" showErrorMessage="1" sqref="J6 J20 J35 J49 J63">
      <formula1>Datos!$D$2:$D$14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10.71"/>
    <col customWidth="1" min="24" max="24" width="7.86"/>
    <col customWidth="1" min="25" max="25" width="15.43"/>
    <col customWidth="1" min="26" max="28" width="10.71"/>
  </cols>
  <sheetData>
    <row r="1" ht="14.25" customHeight="1"/>
    <row r="2" ht="14.25" customHeight="1"/>
    <row r="3" ht="14.25" customHeight="1"/>
    <row r="4" ht="14.25" customHeight="1"/>
    <row r="5" ht="14.25" customHeight="1">
      <c r="J5" s="1"/>
    </row>
    <row r="6" ht="14.25" customHeight="1">
      <c r="A6" s="2" t="s">
        <v>380</v>
      </c>
      <c r="B6" s="3"/>
      <c r="C6" s="4"/>
      <c r="J6" s="1"/>
    </row>
    <row r="7" ht="14.25" customHeight="1">
      <c r="A7" s="5" t="s">
        <v>2</v>
      </c>
      <c r="B7" s="7" t="s">
        <v>4</v>
      </c>
      <c r="C7" s="8"/>
      <c r="D7" s="9"/>
      <c r="E7" s="5" t="s">
        <v>5</v>
      </c>
      <c r="F7" s="5" t="s">
        <v>6</v>
      </c>
      <c r="G7" s="5" t="s">
        <v>7</v>
      </c>
      <c r="H7" s="5" t="s">
        <v>8</v>
      </c>
      <c r="I7" s="7" t="s">
        <v>9</v>
      </c>
      <c r="J7" s="9"/>
      <c r="M7" s="11" t="s">
        <v>0</v>
      </c>
      <c r="N7" s="12"/>
      <c r="O7" s="12"/>
      <c r="P7" s="12"/>
      <c r="Q7" s="12"/>
      <c r="R7" s="12"/>
      <c r="S7" s="12"/>
      <c r="T7" s="12"/>
      <c r="U7" s="12"/>
      <c r="V7" s="12"/>
      <c r="W7" s="13"/>
      <c r="Y7" s="1"/>
      <c r="Z7" s="14" t="s">
        <v>10</v>
      </c>
      <c r="AA7" s="12"/>
      <c r="AB7" s="13"/>
    </row>
    <row r="8" ht="14.25" customHeight="1">
      <c r="A8" s="53" t="s">
        <v>12</v>
      </c>
      <c r="B8" s="54" t="s">
        <v>382</v>
      </c>
      <c r="C8" s="18"/>
      <c r="D8" s="20"/>
      <c r="E8" s="53">
        <v>2.0</v>
      </c>
      <c r="F8" s="53">
        <v>10.0</v>
      </c>
      <c r="G8" s="53"/>
      <c r="H8" s="53"/>
      <c r="I8" s="55"/>
      <c r="J8" s="9"/>
      <c r="M8" s="25"/>
      <c r="N8" s="28" t="s">
        <v>16</v>
      </c>
      <c r="O8" s="28" t="s">
        <v>26</v>
      </c>
      <c r="P8" s="28" t="s">
        <v>27</v>
      </c>
      <c r="Q8" s="28" t="s">
        <v>28</v>
      </c>
      <c r="R8" s="28" t="s">
        <v>29</v>
      </c>
      <c r="S8" s="28" t="s">
        <v>30</v>
      </c>
      <c r="T8" s="28" t="s">
        <v>31</v>
      </c>
      <c r="U8" s="28" t="s">
        <v>32</v>
      </c>
      <c r="V8" s="28" t="s">
        <v>33</v>
      </c>
      <c r="W8" s="28" t="s">
        <v>12</v>
      </c>
      <c r="Z8" s="28" t="s">
        <v>16</v>
      </c>
      <c r="AA8" s="1">
        <f>SUM(N9,N14,N19,N24,N29)</f>
        <v>7</v>
      </c>
    </row>
    <row r="9" ht="14.25" customHeight="1">
      <c r="A9" s="53" t="s">
        <v>12</v>
      </c>
      <c r="B9" s="54" t="s">
        <v>394</v>
      </c>
      <c r="C9" s="18"/>
      <c r="D9" s="20"/>
      <c r="E9" s="53">
        <v>3.0</v>
      </c>
      <c r="F9" s="53">
        <v>12.0</v>
      </c>
      <c r="G9" s="53"/>
      <c r="H9" s="53"/>
      <c r="I9" s="55"/>
      <c r="J9" s="9"/>
      <c r="M9" s="34" t="s">
        <v>36</v>
      </c>
      <c r="N9" s="37">
        <f>SUMIF(A8:A17,"Pecho",E8:E17)</f>
        <v>3</v>
      </c>
      <c r="O9" s="37">
        <f>SUMIF(A8:A17,"Espalda",E8:E17)</f>
        <v>7</v>
      </c>
      <c r="P9" s="37">
        <f>SUMIF($A8:$A17,"Hombros",$E8:$E17)</f>
        <v>3</v>
      </c>
      <c r="Q9" s="37">
        <f>SUMIF($A8:$A17,"Bíceps",$E8:$E17)</f>
        <v>3</v>
      </c>
      <c r="R9" s="37">
        <f>SUMIF($A8:$A17,"Tríceps",$E8:$E17)</f>
        <v>0</v>
      </c>
      <c r="S9" s="38">
        <f>SUMIF(A8:A17,"Cuádriceps",E8:E17)</f>
        <v>0</v>
      </c>
      <c r="T9" s="37">
        <f>SUMIF($A8:$A17,"Isquios",$E8:$E17)</f>
        <v>0</v>
      </c>
      <c r="U9" s="37">
        <f>SUMIF($A8:$A17,"Glúteos",$E8:$E17)</f>
        <v>3</v>
      </c>
      <c r="V9" s="37">
        <f>SUMIF($A8:$A17,"Pantorrillas",$E8:$E17)</f>
        <v>0</v>
      </c>
      <c r="W9" s="37">
        <f>SUMIF($A8:$A17,"Otros",$E8:$E17)</f>
        <v>8</v>
      </c>
      <c r="Z9" s="28" t="s">
        <v>26</v>
      </c>
      <c r="AA9" s="1">
        <f>SUM(O9,O14,O19,O24,O29)</f>
        <v>7</v>
      </c>
    </row>
    <row r="10" ht="14.25" customHeight="1">
      <c r="A10" s="53" t="s">
        <v>12</v>
      </c>
      <c r="B10" s="54" t="s">
        <v>387</v>
      </c>
      <c r="C10" s="18"/>
      <c r="D10" s="20"/>
      <c r="E10" s="53">
        <v>3.0</v>
      </c>
      <c r="F10" s="53">
        <v>10.0</v>
      </c>
      <c r="G10" s="53"/>
      <c r="H10" s="53"/>
      <c r="I10" s="55"/>
      <c r="J10" s="9"/>
      <c r="M10" s="34" t="s">
        <v>7</v>
      </c>
      <c r="N10" s="35" t="str">
        <f>AVERAGEIF($A8:$A17,"Pecho",$G8:$G17)</f>
        <v>#DIV/0!</v>
      </c>
      <c r="O10" s="35">
        <f>AVERAGEIF($A8:$A17,"Espalda",$G8:$G17)</f>
        <v>8</v>
      </c>
      <c r="P10" s="35" t="str">
        <f>AVERAGEIF($A8:$A17,"Hombros",$G8:$G17)</f>
        <v>#DIV/0!</v>
      </c>
      <c r="Q10" s="35" t="str">
        <f>AVERAGEIF($A8:$A17,"Bíceps",$G8:$G17)</f>
        <v>#DIV/0!</v>
      </c>
      <c r="R10" s="35" t="str">
        <f>AVERAGEIF($A8:$A17,"Tríceps",$G8:$G17)</f>
        <v>#DIV/0!</v>
      </c>
      <c r="S10" s="35" t="str">
        <f>AVERAGEIF($A8:$A17,"Cuádriceps",$G8:$G17)</f>
        <v>#DIV/0!</v>
      </c>
      <c r="T10" s="35" t="str">
        <f>AVERAGEIF($A8:$A17,"Isquios",$G8:$G17)</f>
        <v>#DIV/0!</v>
      </c>
      <c r="U10" s="35" t="str">
        <f>AVERAGEIF($A8:$A17,"Glúteos",$G8:$G17)</f>
        <v>#DIV/0!</v>
      </c>
      <c r="V10" s="35" t="str">
        <f>AVERAGEIF($A8:$A17,"Pantorrillas",$G8:$G17)</f>
        <v>#DIV/0!</v>
      </c>
      <c r="W10" s="35" t="str">
        <f>AVERAGEIF($A8:$A17,"Otros",$G8:$G17)</f>
        <v>#DIV/0!</v>
      </c>
      <c r="Z10" s="28" t="s">
        <v>27</v>
      </c>
      <c r="AA10" s="1">
        <f>SUM(P9,P14,P19,P24,P29)</f>
        <v>9</v>
      </c>
    </row>
    <row r="11" ht="14.25" customHeight="1">
      <c r="A11" s="15" t="s">
        <v>26</v>
      </c>
      <c r="B11" s="17" t="s">
        <v>400</v>
      </c>
      <c r="C11" s="18"/>
      <c r="D11" s="20"/>
      <c r="E11" s="15">
        <v>3.0</v>
      </c>
      <c r="F11" s="15">
        <v>10.0</v>
      </c>
      <c r="G11" s="15">
        <v>8.0</v>
      </c>
      <c r="H11" s="15" t="s">
        <v>55</v>
      </c>
      <c r="I11" s="23"/>
      <c r="J11" s="9"/>
      <c r="M11" s="25"/>
      <c r="N11" s="25"/>
      <c r="O11" s="25"/>
      <c r="P11" s="25"/>
      <c r="Q11" s="25"/>
      <c r="R11" s="25"/>
      <c r="S11" s="25"/>
      <c r="T11" s="25"/>
      <c r="U11" s="25"/>
      <c r="Z11" s="28" t="s">
        <v>28</v>
      </c>
      <c r="AA11" s="1">
        <f>SUM(Q9,Q14,Q19,Q24,Q29)</f>
        <v>6</v>
      </c>
    </row>
    <row r="12" ht="14.25" customHeight="1">
      <c r="A12" s="53" t="s">
        <v>16</v>
      </c>
      <c r="B12" s="54" t="s">
        <v>402</v>
      </c>
      <c r="C12" s="18"/>
      <c r="D12" s="20"/>
      <c r="E12" s="53">
        <v>3.0</v>
      </c>
      <c r="F12" s="53" t="s">
        <v>386</v>
      </c>
      <c r="G12" s="53"/>
      <c r="H12" s="53"/>
      <c r="I12" s="55"/>
      <c r="J12" s="9"/>
      <c r="M12" s="11" t="s">
        <v>45</v>
      </c>
      <c r="N12" s="12"/>
      <c r="O12" s="12"/>
      <c r="P12" s="12"/>
      <c r="Q12" s="12"/>
      <c r="R12" s="12"/>
      <c r="S12" s="12"/>
      <c r="T12" s="12"/>
      <c r="U12" s="12"/>
      <c r="V12" s="12"/>
      <c r="W12" s="13"/>
      <c r="Z12" s="28" t="s">
        <v>29</v>
      </c>
      <c r="AA12" s="1">
        <f>SUM(R9,R14,R19,R24,R29)</f>
        <v>4</v>
      </c>
    </row>
    <row r="13" ht="14.25" customHeight="1">
      <c r="A13" s="53" t="s">
        <v>28</v>
      </c>
      <c r="B13" s="54" t="s">
        <v>404</v>
      </c>
      <c r="C13" s="18"/>
      <c r="D13" s="20"/>
      <c r="E13" s="53">
        <v>3.0</v>
      </c>
      <c r="F13" s="53">
        <v>10.0</v>
      </c>
      <c r="G13" s="53"/>
      <c r="H13" s="53"/>
      <c r="I13" s="55"/>
      <c r="J13" s="9"/>
      <c r="M13" s="25"/>
      <c r="N13" s="28" t="s">
        <v>16</v>
      </c>
      <c r="O13" s="28" t="s">
        <v>26</v>
      </c>
      <c r="P13" s="28" t="s">
        <v>27</v>
      </c>
      <c r="Q13" s="28" t="s">
        <v>28</v>
      </c>
      <c r="R13" s="28" t="s">
        <v>29</v>
      </c>
      <c r="S13" s="28" t="s">
        <v>30</v>
      </c>
      <c r="T13" s="28" t="s">
        <v>31</v>
      </c>
      <c r="U13" s="28" t="s">
        <v>32</v>
      </c>
      <c r="V13" s="28" t="s">
        <v>33</v>
      </c>
      <c r="W13" s="28" t="s">
        <v>12</v>
      </c>
      <c r="Z13" s="28" t="s">
        <v>30</v>
      </c>
      <c r="AA13" s="1">
        <f>SUM(S9,S14,S19,S24,S29)</f>
        <v>9</v>
      </c>
    </row>
    <row r="14" ht="14.25" customHeight="1">
      <c r="A14" s="15" t="s">
        <v>32</v>
      </c>
      <c r="B14" s="17" t="s">
        <v>405</v>
      </c>
      <c r="C14" s="18"/>
      <c r="D14" s="20"/>
      <c r="E14" s="15">
        <v>3.0</v>
      </c>
      <c r="F14" s="15" t="s">
        <v>390</v>
      </c>
      <c r="G14" s="15"/>
      <c r="H14" s="15"/>
      <c r="I14" s="23"/>
      <c r="J14" s="9"/>
      <c r="M14" s="34" t="s">
        <v>36</v>
      </c>
      <c r="N14" s="35">
        <f>SUMIF($A22:$A32,"Pecho",$E22:$E32)</f>
        <v>0</v>
      </c>
      <c r="O14" s="35">
        <f>SUMIF($A22:$A32,"Espalda",$E22:$E32)</f>
        <v>0</v>
      </c>
      <c r="P14" s="35">
        <f>SUMIF($A22:$A32,"Hombros",$E22:$E32)</f>
        <v>0</v>
      </c>
      <c r="Q14" s="35">
        <f>SUMIF($A22:$A32,"Bíceps",$E22:$E32)</f>
        <v>0</v>
      </c>
      <c r="R14" s="35">
        <f>SUMIF($A22:$A32,"Tríceps",$E22:$E32)</f>
        <v>0</v>
      </c>
      <c r="S14" s="35">
        <f>SUMIF($A22:$A32,"Cuádriceps",$E22:$E32)</f>
        <v>6</v>
      </c>
      <c r="T14" s="35">
        <f>SUMIF($A22:$A32,"Isquios",$E22:$E32)</f>
        <v>6</v>
      </c>
      <c r="U14" s="35">
        <f>SUMIF($A22:$A32,"Glúteos",$E22:$E32)</f>
        <v>7</v>
      </c>
      <c r="V14" s="35">
        <f>SUMIF($A22:$A32,"Pantorrillas",$E22:$E32)</f>
        <v>0</v>
      </c>
      <c r="W14" s="35">
        <f>SUMIF($A22:$A32,"Otros",$E22:$E32)</f>
        <v>12</v>
      </c>
      <c r="Z14" s="28" t="s">
        <v>31</v>
      </c>
      <c r="AA14" s="1">
        <f>SUM(T9,T14,T19,T24,T29)</f>
        <v>6</v>
      </c>
    </row>
    <row r="15" ht="14.25" customHeight="1">
      <c r="A15" s="15" t="s">
        <v>26</v>
      </c>
      <c r="B15" s="17" t="s">
        <v>409</v>
      </c>
      <c r="C15" s="18"/>
      <c r="D15" s="20"/>
      <c r="E15" s="15">
        <v>4.0</v>
      </c>
      <c r="F15" s="129" t="s">
        <v>386</v>
      </c>
      <c r="G15" s="15"/>
      <c r="H15" s="15"/>
      <c r="I15" s="23"/>
      <c r="J15" s="9"/>
      <c r="M15" s="34" t="s">
        <v>7</v>
      </c>
      <c r="N15" s="35" t="str">
        <f>AVERAGEIF($A22:$A32,"Pecho",$G22:$G32)</f>
        <v>#DIV/0!</v>
      </c>
      <c r="O15" s="35" t="str">
        <f>AVERAGEIF($A22:$A32,"Espalda",$G22:$G32)</f>
        <v>#DIV/0!</v>
      </c>
      <c r="P15" s="35" t="str">
        <f>AVERAGEIF($A22:$A32,"Hombros",$G22:$G32)</f>
        <v>#DIV/0!</v>
      </c>
      <c r="Q15" s="35" t="str">
        <f>AVERAGEIF($A22:$A32,"Bíceps",$G22:$G32)</f>
        <v>#DIV/0!</v>
      </c>
      <c r="R15" s="35" t="str">
        <f>AVERAGEIF($A22:$A32,"Tríceps",$G22:$G32)</f>
        <v>#DIV/0!</v>
      </c>
      <c r="S15" s="35" t="str">
        <f>AVERAGEIF($A22:$A32,"Cuádriceps",$G22:$G32)</f>
        <v>#DIV/0!</v>
      </c>
      <c r="T15" s="35">
        <f>AVERAGEIF($A22:$A32,"Isquios",$G22:$G32)</f>
        <v>8</v>
      </c>
      <c r="U15" s="35" t="str">
        <f>AVERAGEIF($A22:$A32,"Glúteos",$G22:$G32)</f>
        <v>#DIV/0!</v>
      </c>
      <c r="V15" s="35" t="str">
        <f>AVERAGEIF($A22:$A32,"Pantorrillas",$G22:$G32)</f>
        <v>#DIV/0!</v>
      </c>
      <c r="W15" s="35" t="str">
        <f>AVERAGEIF($A22:$A32,"Otros",$G22:$G32)</f>
        <v>#DIV/0!</v>
      </c>
      <c r="Z15" s="28" t="s">
        <v>32</v>
      </c>
      <c r="AA15" s="1">
        <f>SUM(U9,U14,U19,U24,U29)</f>
        <v>13</v>
      </c>
    </row>
    <row r="16" ht="14.25" customHeight="1">
      <c r="A16" s="53" t="s">
        <v>27</v>
      </c>
      <c r="B16" s="54" t="s">
        <v>412</v>
      </c>
      <c r="C16" s="18"/>
      <c r="D16" s="20"/>
      <c r="E16" s="53">
        <v>3.0</v>
      </c>
      <c r="F16" s="53">
        <v>10.0</v>
      </c>
      <c r="G16" s="53"/>
      <c r="H16" s="53"/>
      <c r="I16" s="55"/>
      <c r="J16" s="9"/>
      <c r="M16" s="25"/>
      <c r="N16" s="25"/>
      <c r="O16" s="25"/>
      <c r="P16" s="25"/>
      <c r="Q16" s="25"/>
      <c r="R16" s="25"/>
      <c r="S16" s="25"/>
      <c r="T16" s="25"/>
      <c r="U16" s="25"/>
      <c r="Z16" s="28" t="s">
        <v>33</v>
      </c>
      <c r="AA16" s="1">
        <f>SUM(V9,V14,V19,V24,V29)</f>
        <v>0</v>
      </c>
    </row>
    <row r="17" ht="14.25" customHeight="1">
      <c r="A17" s="53" t="s">
        <v>12</v>
      </c>
      <c r="B17" s="54" t="s">
        <v>401</v>
      </c>
      <c r="C17" s="18"/>
      <c r="D17" s="20"/>
      <c r="E17" s="53"/>
      <c r="F17" s="53" t="s">
        <v>403</v>
      </c>
      <c r="G17" s="53"/>
      <c r="H17" s="53"/>
      <c r="I17" s="55"/>
      <c r="J17" s="9"/>
      <c r="M17" s="11" t="s">
        <v>57</v>
      </c>
      <c r="N17" s="12"/>
      <c r="O17" s="12"/>
      <c r="P17" s="12"/>
      <c r="Q17" s="12"/>
      <c r="R17" s="12"/>
      <c r="S17" s="12"/>
      <c r="T17" s="12"/>
      <c r="U17" s="12"/>
      <c r="V17" s="12"/>
      <c r="W17" s="13"/>
      <c r="Z17" s="28" t="s">
        <v>12</v>
      </c>
      <c r="AA17" s="1">
        <f>SUM(W9,W14,W19,W24,W29)</f>
        <v>29</v>
      </c>
    </row>
    <row r="18" ht="14.25" customHeight="1">
      <c r="B18" s="26"/>
      <c r="C18" s="29"/>
      <c r="D18" s="29"/>
      <c r="M18" s="25"/>
      <c r="N18" s="28" t="s">
        <v>16</v>
      </c>
      <c r="O18" s="28" t="s">
        <v>26</v>
      </c>
      <c r="P18" s="28" t="s">
        <v>27</v>
      </c>
      <c r="Q18" s="28" t="s">
        <v>28</v>
      </c>
      <c r="R18" s="28" t="s">
        <v>29</v>
      </c>
      <c r="S18" s="28" t="s">
        <v>30</v>
      </c>
      <c r="T18" s="28" t="s">
        <v>31</v>
      </c>
      <c r="U18" s="28" t="s">
        <v>32</v>
      </c>
      <c r="V18" s="28" t="s">
        <v>33</v>
      </c>
      <c r="W18" s="28" t="s">
        <v>12</v>
      </c>
    </row>
    <row r="19" ht="14.25" customHeight="1">
      <c r="M19" s="34" t="s">
        <v>36</v>
      </c>
      <c r="N19" s="35">
        <f>SUMIF($A37:$A46,"Pecho",$E37:$E46)</f>
        <v>4</v>
      </c>
      <c r="O19" s="35">
        <f>SUMIF($A37:$A46,"Espalda",$E37:$E46)</f>
        <v>0</v>
      </c>
      <c r="P19" s="35">
        <f>SUMIF($A37:$A46,"Hombros",$E37:$E46)</f>
        <v>6</v>
      </c>
      <c r="Q19" s="35">
        <f>SUMIF($A37:$A46,"Bíceps",$E37:$E46)</f>
        <v>3</v>
      </c>
      <c r="R19" s="35">
        <f>SUMIF($A37:$A46,"Tríceps",$E37:$E46)</f>
        <v>4</v>
      </c>
      <c r="S19" s="35">
        <f>SUMIF($A37:$A46,"Cuádriceps",$E37:$E46)</f>
        <v>3</v>
      </c>
      <c r="T19" s="35">
        <f>SUMIF($A37:$A46,"Isquios",$E37:$E46)</f>
        <v>0</v>
      </c>
      <c r="U19" s="35">
        <f>SUMIF($A37:$A46,"Glúteos",$E37:$E46)</f>
        <v>3</v>
      </c>
      <c r="V19" s="35">
        <f>SUMIF($A37:$A46,"Pantorrillas",$E37:$E46)</f>
        <v>0</v>
      </c>
      <c r="W19" s="35">
        <f>SUMIF($A37:$A46,"Otros",$E37:$E46)</f>
        <v>9</v>
      </c>
    </row>
    <row r="20" ht="14.25" customHeight="1">
      <c r="A20" s="2" t="s">
        <v>407</v>
      </c>
      <c r="B20" s="3"/>
      <c r="C20" s="4"/>
      <c r="J20" s="1"/>
      <c r="M20" s="34" t="s">
        <v>7</v>
      </c>
      <c r="N20" s="35" t="str">
        <f>AVERAGEIF($A37:$A46,"Pecho",$G37:$G46)</f>
        <v>#DIV/0!</v>
      </c>
      <c r="O20" s="35" t="str">
        <f>AVERAGEIF($A37:$A46,"Espalda",$G37:$G46)</f>
        <v>#DIV/0!</v>
      </c>
      <c r="P20" s="35" t="str">
        <f>AVERAGEIF($A37:$A46,"Hombros",$G37:$G46)</f>
        <v>#DIV/0!</v>
      </c>
      <c r="Q20" s="35" t="str">
        <f>AVERAGEIF($A37:$A46,"Bíceps",$G37:$G46)</f>
        <v>#DIV/0!</v>
      </c>
      <c r="R20" s="35" t="str">
        <f>AVERAGEIF($A37:$A46,"Tríceps",$G37:$G46)</f>
        <v>#DIV/0!</v>
      </c>
      <c r="S20" s="35">
        <f>AVERAGEIF($A37:$A46,"Cuádriceps",$G37:$G46)</f>
        <v>8</v>
      </c>
      <c r="T20" s="35" t="str">
        <f>AVERAGEIF($A37:$A46,"Isquios",$G37:$G46)</f>
        <v>#DIV/0!</v>
      </c>
      <c r="U20" s="35" t="str">
        <f>AVERAGEIF($A37:$A46,"Glúteos",$G37:$G46)</f>
        <v>#DIV/0!</v>
      </c>
      <c r="V20" s="35" t="str">
        <f>AVERAGEIF($A37:$A46,"Pantorrillas",$G37:$G46)</f>
        <v>#DIV/0!</v>
      </c>
      <c r="W20" s="35" t="str">
        <f>AVERAGEIF($A37:$A46,"Otros",$G37:$G46)</f>
        <v>#DIV/0!</v>
      </c>
    </row>
    <row r="21" ht="14.25" customHeight="1">
      <c r="A21" s="5" t="s">
        <v>2</v>
      </c>
      <c r="B21" s="7" t="s">
        <v>4</v>
      </c>
      <c r="C21" s="8"/>
      <c r="D21" s="9"/>
      <c r="E21" s="5" t="s">
        <v>5</v>
      </c>
      <c r="F21" s="5" t="s">
        <v>6</v>
      </c>
      <c r="G21" s="5" t="s">
        <v>7</v>
      </c>
      <c r="H21" s="5" t="s">
        <v>8</v>
      </c>
      <c r="I21" s="7" t="s">
        <v>9</v>
      </c>
      <c r="J21" s="9"/>
      <c r="M21" s="25"/>
      <c r="N21" s="25"/>
      <c r="O21" s="25"/>
      <c r="P21" s="25"/>
      <c r="Q21" s="25"/>
      <c r="R21" s="25"/>
      <c r="S21" s="25"/>
      <c r="T21" s="25"/>
      <c r="U21" s="25"/>
    </row>
    <row r="22" ht="14.25" customHeight="1">
      <c r="A22" s="53" t="s">
        <v>12</v>
      </c>
      <c r="B22" s="54" t="s">
        <v>99</v>
      </c>
      <c r="C22" s="18"/>
      <c r="D22" s="20"/>
      <c r="E22" s="53">
        <v>2.0</v>
      </c>
      <c r="F22" s="53">
        <v>10.0</v>
      </c>
      <c r="G22" s="53"/>
      <c r="H22" s="53"/>
      <c r="I22" s="55"/>
      <c r="J22" s="9"/>
      <c r="M22" s="11" t="s">
        <v>66</v>
      </c>
      <c r="N22" s="12"/>
      <c r="O22" s="12"/>
      <c r="P22" s="12"/>
      <c r="Q22" s="12"/>
      <c r="R22" s="12"/>
      <c r="S22" s="12"/>
      <c r="T22" s="12"/>
      <c r="U22" s="12"/>
      <c r="V22" s="12"/>
      <c r="W22" s="13"/>
    </row>
    <row r="23" ht="14.25" customHeight="1">
      <c r="A23" s="53" t="s">
        <v>12</v>
      </c>
      <c r="B23" s="54" t="s">
        <v>100</v>
      </c>
      <c r="C23" s="18"/>
      <c r="D23" s="20"/>
      <c r="E23" s="53">
        <v>2.0</v>
      </c>
      <c r="F23" s="53">
        <v>12.0</v>
      </c>
      <c r="G23" s="53"/>
      <c r="H23" s="53"/>
      <c r="I23" s="55"/>
      <c r="J23" s="9"/>
      <c r="M23" s="25"/>
      <c r="N23" s="28" t="s">
        <v>16</v>
      </c>
      <c r="O23" s="28" t="s">
        <v>26</v>
      </c>
      <c r="P23" s="28" t="s">
        <v>27</v>
      </c>
      <c r="Q23" s="28" t="s">
        <v>28</v>
      </c>
      <c r="R23" s="28" t="s">
        <v>29</v>
      </c>
      <c r="S23" s="28" t="s">
        <v>30</v>
      </c>
      <c r="T23" s="28" t="s">
        <v>31</v>
      </c>
      <c r="U23" s="28" t="s">
        <v>32</v>
      </c>
      <c r="V23" s="28" t="s">
        <v>33</v>
      </c>
      <c r="W23" s="28" t="s">
        <v>12</v>
      </c>
    </row>
    <row r="24" ht="14.25" customHeight="1">
      <c r="A24" s="53" t="s">
        <v>12</v>
      </c>
      <c r="B24" s="54" t="s">
        <v>425</v>
      </c>
      <c r="C24" s="18"/>
      <c r="D24" s="20"/>
      <c r="E24" s="53">
        <v>2.0</v>
      </c>
      <c r="F24" s="53">
        <v>10.0</v>
      </c>
      <c r="G24" s="53"/>
      <c r="H24" s="53"/>
      <c r="I24" s="55"/>
      <c r="J24" s="9"/>
      <c r="M24" s="34" t="s">
        <v>36</v>
      </c>
      <c r="N24" s="35">
        <f>SUMIF($A51:$A60,"Pecho",$E51:$E60)</f>
        <v>0</v>
      </c>
      <c r="O24" s="35">
        <f>SUMIF($A51:$A60,"Espalda",$E51:$E60)</f>
        <v>0</v>
      </c>
      <c r="P24" s="35">
        <f>SUMIF($A51:$A60,"Hombros",$E51:$E60)</f>
        <v>0</v>
      </c>
      <c r="Q24" s="35">
        <f>SUMIF($A51:$A60,"Bíceps",$E51:$E60)</f>
        <v>0</v>
      </c>
      <c r="R24" s="35">
        <f>SUMIF($A51:$A60,"Tríceps",$E51:$E60)</f>
        <v>0</v>
      </c>
      <c r="S24" s="35">
        <f>SUMIF($A51:$A60,"Cuádriceps",$E51:$E60)</f>
        <v>0</v>
      </c>
      <c r="T24" s="35">
        <f>SUMIF($A51:$A60,"Isquios",$E51:$E60)</f>
        <v>0</v>
      </c>
      <c r="U24" s="35">
        <f>SUMIF($A51:$A60,"Glúteos",$E51:$E60)</f>
        <v>0</v>
      </c>
      <c r="V24" s="35">
        <f>SUMIF($A51:$A60,"Pantorrillas",$E51:$E60)</f>
        <v>0</v>
      </c>
      <c r="W24" s="35">
        <f>SUMIF($A51:$A60,"Otros",$E51:$E60)</f>
        <v>0</v>
      </c>
    </row>
    <row r="25" ht="14.25" customHeight="1">
      <c r="A25" s="15" t="s">
        <v>31</v>
      </c>
      <c r="B25" s="17" t="s">
        <v>410</v>
      </c>
      <c r="C25" s="18"/>
      <c r="D25" s="20"/>
      <c r="E25" s="15">
        <v>3.0</v>
      </c>
      <c r="F25" s="15">
        <v>8.0</v>
      </c>
      <c r="G25" s="15">
        <v>8.0</v>
      </c>
      <c r="H25" s="15" t="s">
        <v>55</v>
      </c>
      <c r="I25" s="23"/>
      <c r="J25" s="9"/>
      <c r="M25" s="34" t="s">
        <v>7</v>
      </c>
      <c r="N25" s="35" t="str">
        <f>AVERAGEIF($A51:$A60,"Pecho",$G51:$G60)</f>
        <v>#DIV/0!</v>
      </c>
      <c r="O25" s="35" t="str">
        <f>AVERAGEIF($A51:$A60,"Espalda",$G51:$G60)</f>
        <v>#DIV/0!</v>
      </c>
      <c r="P25" s="35" t="str">
        <f>AVERAGEIF($A51:$A60,"Hombros",$G51:$G60)</f>
        <v>#DIV/0!</v>
      </c>
      <c r="Q25" s="35" t="str">
        <f>AVERAGEIF($A51:$A60,"Bíceps",$G51:$G60)</f>
        <v>#DIV/0!</v>
      </c>
      <c r="R25" s="35" t="str">
        <f>AVERAGEIF($A51:$A60,"Tríceps",$G51:$G60)</f>
        <v>#DIV/0!</v>
      </c>
      <c r="S25" s="35" t="str">
        <f>AVERAGEIF($A51:$A60,"Cuádriceps",$G51:$G60)</f>
        <v>#DIV/0!</v>
      </c>
      <c r="T25" s="35" t="str">
        <f>AVERAGEIF($A51:$A60,"Isquios",$G51:$G60)</f>
        <v>#DIV/0!</v>
      </c>
      <c r="U25" s="35" t="str">
        <f>AVERAGEIF($A51:$A60,"Glúteos",$G51:$G60)</f>
        <v>#DIV/0!</v>
      </c>
      <c r="V25" s="35" t="str">
        <f>AVERAGEIF($A51:$A60,"Pantorrillas",$G51:$G60)</f>
        <v>#DIV/0!</v>
      </c>
      <c r="W25" s="35" t="str">
        <f>AVERAGEIF($A51:$A60,"Otros",$G51:$G60)</f>
        <v>#DIV/0!</v>
      </c>
    </row>
    <row r="26" ht="14.25" customHeight="1">
      <c r="A26" s="15" t="s">
        <v>30</v>
      </c>
      <c r="B26" s="17" t="s">
        <v>436</v>
      </c>
      <c r="C26" s="18"/>
      <c r="D26" s="20"/>
      <c r="E26" s="15">
        <v>3.0</v>
      </c>
      <c r="F26" s="15" t="s">
        <v>420</v>
      </c>
      <c r="G26" s="15"/>
      <c r="H26" s="15"/>
      <c r="I26" s="23"/>
      <c r="J26" s="9"/>
      <c r="M26" s="25"/>
      <c r="N26" s="25"/>
      <c r="O26" s="25"/>
      <c r="P26" s="25"/>
      <c r="Q26" s="25"/>
      <c r="R26" s="25"/>
      <c r="S26" s="25"/>
      <c r="T26" s="25"/>
      <c r="U26" s="25"/>
    </row>
    <row r="27" ht="14.25" customHeight="1">
      <c r="A27" s="53" t="s">
        <v>32</v>
      </c>
      <c r="B27" s="54"/>
      <c r="C27" s="18"/>
      <c r="D27" s="20"/>
      <c r="E27" s="53">
        <v>4.0</v>
      </c>
      <c r="F27" s="53">
        <v>8.0</v>
      </c>
      <c r="G27" s="53"/>
      <c r="H27" s="53"/>
      <c r="I27" s="55"/>
      <c r="J27" s="9"/>
      <c r="M27" s="11" t="s">
        <v>76</v>
      </c>
      <c r="N27" s="12"/>
      <c r="O27" s="12"/>
      <c r="P27" s="12"/>
      <c r="Q27" s="12"/>
      <c r="R27" s="12"/>
      <c r="S27" s="12"/>
      <c r="T27" s="12"/>
      <c r="U27" s="12"/>
      <c r="V27" s="12"/>
      <c r="W27" s="13"/>
    </row>
    <row r="28" ht="14.25" customHeight="1">
      <c r="A28" s="53" t="s">
        <v>31</v>
      </c>
      <c r="B28" s="54" t="s">
        <v>439</v>
      </c>
      <c r="C28" s="18"/>
      <c r="D28" s="20"/>
      <c r="E28" s="53">
        <v>3.0</v>
      </c>
      <c r="F28" s="130" t="s">
        <v>420</v>
      </c>
      <c r="G28" s="53"/>
      <c r="H28" s="53"/>
      <c r="I28" s="55"/>
      <c r="J28" s="9"/>
      <c r="M28" s="25"/>
      <c r="N28" s="28" t="s">
        <v>16</v>
      </c>
      <c r="O28" s="28" t="s">
        <v>26</v>
      </c>
      <c r="P28" s="28" t="s">
        <v>27</v>
      </c>
      <c r="Q28" s="28" t="s">
        <v>28</v>
      </c>
      <c r="R28" s="28" t="s">
        <v>29</v>
      </c>
      <c r="S28" s="28" t="s">
        <v>30</v>
      </c>
      <c r="T28" s="28" t="s">
        <v>31</v>
      </c>
      <c r="U28" s="28" t="s">
        <v>32</v>
      </c>
      <c r="V28" s="28" t="s">
        <v>33</v>
      </c>
      <c r="W28" s="28" t="s">
        <v>12</v>
      </c>
    </row>
    <row r="29" ht="14.25" customHeight="1">
      <c r="A29" s="15" t="s">
        <v>32</v>
      </c>
      <c r="B29" s="17" t="s">
        <v>441</v>
      </c>
      <c r="C29" s="18"/>
      <c r="D29" s="20"/>
      <c r="E29" s="15">
        <v>3.0</v>
      </c>
      <c r="F29" s="15">
        <v>12.0</v>
      </c>
      <c r="G29" s="15"/>
      <c r="H29" s="15"/>
      <c r="I29" s="23"/>
      <c r="J29" s="9"/>
      <c r="M29" s="34" t="s">
        <v>36</v>
      </c>
      <c r="N29" s="35">
        <f>SUMIF($A65:$A74,"Pecho",$E65:$E74)</f>
        <v>0</v>
      </c>
      <c r="O29" s="35">
        <f>SUMIF($A65:$A74,"Espalda",$E65:$E74)</f>
        <v>0</v>
      </c>
      <c r="P29" s="35">
        <f>SUMIF($A65:$A74,"Hombros",$E65:$E74)</f>
        <v>0</v>
      </c>
      <c r="Q29" s="35">
        <f>SUMIF($A65:$A74,"Bíceps",$E65:$E74)</f>
        <v>0</v>
      </c>
      <c r="R29" s="35">
        <f>SUMIF($A65:$A74,"Tríceps",$E65:$E74)</f>
        <v>0</v>
      </c>
      <c r="S29" s="35">
        <f>SUMIF($A65:$A74,"Cuádriceps",$E65:$E74)</f>
        <v>0</v>
      </c>
      <c r="T29" s="35">
        <f>SUMIF($A65:$A74,"Isquios",$E65:$E74)</f>
        <v>0</v>
      </c>
      <c r="U29" s="35">
        <f>SUMIF($A65:$A74,"Glúteos",$E65:$E74)</f>
        <v>0</v>
      </c>
      <c r="V29" s="35">
        <f>SUMIF($A65:$A74,"Pantorrillas",$E65:$E74)</f>
        <v>0</v>
      </c>
      <c r="W29" s="35">
        <f>SUMIF($A65:$A74,"Otros",$E65:$E74)</f>
        <v>0</v>
      </c>
    </row>
    <row r="30" ht="14.25" customHeight="1">
      <c r="A30" s="53" t="s">
        <v>30</v>
      </c>
      <c r="B30" s="56" t="s">
        <v>446</v>
      </c>
      <c r="C30" s="8"/>
      <c r="D30" s="9"/>
      <c r="E30" s="53">
        <v>3.0</v>
      </c>
      <c r="F30" s="53">
        <v>4.0</v>
      </c>
      <c r="G30" s="53"/>
      <c r="H30" s="53"/>
      <c r="I30" s="55"/>
      <c r="J30" s="9"/>
      <c r="M30" s="34" t="s">
        <v>7</v>
      </c>
      <c r="N30" s="35" t="str">
        <f>AVERAGEIF($A65:$A74,"Pecho",$G65:$G74)</f>
        <v>#DIV/0!</v>
      </c>
      <c r="O30" s="35" t="str">
        <f>AVERAGEIF($A65:$A74,"Espalda",$G65:$G74)</f>
        <v>#DIV/0!</v>
      </c>
      <c r="P30" s="35" t="str">
        <f>AVERAGEIF($A65:$A74,"Hombros",$G65:$G74)</f>
        <v>#DIV/0!</v>
      </c>
      <c r="Q30" s="35" t="str">
        <f>AVERAGEIF($A65:$A74,"Bíceps",$G65:$G74)</f>
        <v>#DIV/0!</v>
      </c>
      <c r="R30" s="35" t="str">
        <f>AVERAGEIF($A65:$A74,"Tríceps",$G65:$G74)</f>
        <v>#DIV/0!</v>
      </c>
      <c r="S30" s="35" t="str">
        <f>AVERAGEIF($A65:$A74,"Cuádriceps",$G65:$G74)</f>
        <v>#DIV/0!</v>
      </c>
      <c r="T30" s="35" t="str">
        <f>AVERAGEIF($A65:$A74,"Isquios",$G65:$G74)</f>
        <v>#DIV/0!</v>
      </c>
      <c r="U30" s="35" t="str">
        <f>AVERAGEIF($A65:$A74,"Glúteos",$G65:$G74)</f>
        <v>#DIV/0!</v>
      </c>
      <c r="V30" s="35" t="str">
        <f>AVERAGEIF($A65:$A74,"Pantorrillas",$G65:$G74)</f>
        <v>#DIV/0!</v>
      </c>
      <c r="W30" s="35" t="str">
        <f>AVERAGEIF($A65:$A74,"Otros",$G65:$G74)</f>
        <v>#DIV/0!</v>
      </c>
    </row>
    <row r="31" ht="14.25" customHeight="1">
      <c r="A31" s="53" t="s">
        <v>12</v>
      </c>
      <c r="B31" s="138" t="s">
        <v>452</v>
      </c>
      <c r="C31" s="8"/>
      <c r="D31" s="9"/>
      <c r="E31" s="53">
        <v>3.0</v>
      </c>
      <c r="F31" s="53">
        <v>12.0</v>
      </c>
      <c r="G31" s="53"/>
      <c r="H31" s="53"/>
      <c r="I31" s="57"/>
      <c r="J31" s="59"/>
      <c r="M31" s="65"/>
      <c r="N31" s="25"/>
      <c r="O31" s="25"/>
      <c r="P31" s="25"/>
      <c r="Q31" s="25"/>
      <c r="R31" s="25"/>
      <c r="S31" s="25"/>
      <c r="T31" s="25"/>
      <c r="U31" s="25"/>
      <c r="V31" s="25"/>
      <c r="W31" s="25"/>
    </row>
    <row r="32" ht="14.25" customHeight="1">
      <c r="A32" s="53" t="s">
        <v>12</v>
      </c>
      <c r="B32" s="56" t="s">
        <v>453</v>
      </c>
      <c r="C32" s="8"/>
      <c r="D32" s="9"/>
      <c r="E32" s="53">
        <v>3.0</v>
      </c>
      <c r="F32" s="53">
        <v>10.0</v>
      </c>
      <c r="G32" s="53"/>
      <c r="H32" s="53"/>
      <c r="I32" s="55"/>
      <c r="J32" s="9"/>
    </row>
    <row r="33" ht="14.25" customHeight="1">
      <c r="B33" s="26"/>
      <c r="C33" s="29"/>
      <c r="D33" s="29"/>
    </row>
    <row r="34" ht="14.25" customHeight="1"/>
    <row r="35" ht="14.25" customHeight="1">
      <c r="A35" s="2" t="s">
        <v>427</v>
      </c>
      <c r="B35" s="3"/>
      <c r="C35" s="4"/>
      <c r="J35" s="1"/>
    </row>
    <row r="36" ht="14.25" customHeight="1">
      <c r="A36" s="5" t="s">
        <v>2</v>
      </c>
      <c r="B36" s="7" t="s">
        <v>4</v>
      </c>
      <c r="C36" s="8"/>
      <c r="D36" s="9"/>
      <c r="E36" s="5" t="s">
        <v>5</v>
      </c>
      <c r="F36" s="5" t="s">
        <v>6</v>
      </c>
      <c r="G36" s="5" t="s">
        <v>7</v>
      </c>
      <c r="H36" s="5" t="s">
        <v>8</v>
      </c>
      <c r="I36" s="7" t="s">
        <v>9</v>
      </c>
      <c r="J36" s="9"/>
    </row>
    <row r="37" ht="14.25" customHeight="1">
      <c r="A37" s="53" t="s">
        <v>12</v>
      </c>
      <c r="B37" s="54" t="s">
        <v>440</v>
      </c>
      <c r="C37" s="18"/>
      <c r="D37" s="20"/>
      <c r="E37" s="53">
        <v>3.0</v>
      </c>
      <c r="F37" s="53">
        <v>10.0</v>
      </c>
      <c r="G37" s="53"/>
      <c r="H37" s="53"/>
      <c r="I37" s="55"/>
      <c r="J37" s="9"/>
    </row>
    <row r="38" ht="14.25" customHeight="1">
      <c r="A38" s="53" t="s">
        <v>12</v>
      </c>
      <c r="B38" s="54" t="s">
        <v>368</v>
      </c>
      <c r="C38" s="18"/>
      <c r="D38" s="20"/>
      <c r="E38" s="53">
        <v>3.0</v>
      </c>
      <c r="F38" s="53">
        <v>12.0</v>
      </c>
      <c r="G38" s="53"/>
      <c r="H38" s="53"/>
      <c r="I38" s="55"/>
      <c r="J38" s="9"/>
    </row>
    <row r="39" ht="14.25" customHeight="1">
      <c r="A39" s="53" t="s">
        <v>12</v>
      </c>
      <c r="B39" s="54" t="s">
        <v>369</v>
      </c>
      <c r="C39" s="18"/>
      <c r="D39" s="20"/>
      <c r="E39" s="53">
        <v>3.0</v>
      </c>
      <c r="F39" s="53">
        <v>12.0</v>
      </c>
      <c r="G39" s="53"/>
      <c r="H39" s="53"/>
      <c r="I39" s="55"/>
      <c r="J39" s="9"/>
    </row>
    <row r="40" ht="14.25" customHeight="1">
      <c r="A40" s="15" t="s">
        <v>30</v>
      </c>
      <c r="B40" s="17" t="s">
        <v>456</v>
      </c>
      <c r="C40" s="18"/>
      <c r="D40" s="20"/>
      <c r="E40" s="15">
        <v>3.0</v>
      </c>
      <c r="F40" s="15">
        <v>6.0</v>
      </c>
      <c r="G40" s="15">
        <v>8.0</v>
      </c>
      <c r="H40" s="15" t="s">
        <v>55</v>
      </c>
      <c r="I40" s="23"/>
      <c r="J40" s="9"/>
    </row>
    <row r="41" ht="14.25" customHeight="1">
      <c r="A41" s="15" t="s">
        <v>32</v>
      </c>
      <c r="B41" s="17" t="s">
        <v>457</v>
      </c>
      <c r="C41" s="18"/>
      <c r="D41" s="20"/>
      <c r="E41" s="15">
        <v>3.0</v>
      </c>
      <c r="F41" s="15">
        <v>6.0</v>
      </c>
      <c r="G41" s="15"/>
      <c r="H41" s="15"/>
      <c r="I41" s="23"/>
      <c r="J41" s="9"/>
    </row>
    <row r="42" ht="14.25" customHeight="1">
      <c r="A42" s="53" t="s">
        <v>27</v>
      </c>
      <c r="B42" s="54" t="s">
        <v>458</v>
      </c>
      <c r="C42" s="18"/>
      <c r="D42" s="20"/>
      <c r="E42" s="53">
        <v>3.0</v>
      </c>
      <c r="F42" s="53" t="s">
        <v>108</v>
      </c>
      <c r="G42" s="53"/>
      <c r="H42" s="53"/>
      <c r="I42" s="55"/>
      <c r="J42" s="9"/>
    </row>
    <row r="43" ht="14.25" customHeight="1">
      <c r="A43" s="53" t="s">
        <v>28</v>
      </c>
      <c r="B43" s="54" t="s">
        <v>404</v>
      </c>
      <c r="C43" s="18"/>
      <c r="D43" s="20"/>
      <c r="E43" s="53">
        <v>3.0</v>
      </c>
      <c r="F43" s="53">
        <v>10.0</v>
      </c>
      <c r="G43" s="53"/>
      <c r="H43" s="53"/>
      <c r="I43" s="55"/>
      <c r="J43" s="9"/>
    </row>
    <row r="44" ht="14.25" customHeight="1">
      <c r="A44" s="15" t="s">
        <v>29</v>
      </c>
      <c r="B44" s="17" t="s">
        <v>459</v>
      </c>
      <c r="C44" s="18"/>
      <c r="D44" s="20"/>
      <c r="E44" s="15">
        <v>4.0</v>
      </c>
      <c r="F44" s="15">
        <v>10.0</v>
      </c>
      <c r="G44" s="15"/>
      <c r="H44" s="15"/>
      <c r="I44" s="23"/>
      <c r="J44" s="9"/>
    </row>
    <row r="45" ht="14.25" customHeight="1">
      <c r="A45" s="53" t="s">
        <v>16</v>
      </c>
      <c r="B45" s="54" t="s">
        <v>460</v>
      </c>
      <c r="C45" s="18"/>
      <c r="D45" s="20"/>
      <c r="E45" s="53">
        <v>4.0</v>
      </c>
      <c r="F45" s="53">
        <v>12.0</v>
      </c>
      <c r="G45" s="53"/>
      <c r="H45" s="53"/>
      <c r="I45" s="55"/>
      <c r="J45" s="9"/>
    </row>
    <row r="46" ht="14.25" customHeight="1">
      <c r="A46" s="53" t="s">
        <v>27</v>
      </c>
      <c r="B46" s="56" t="s">
        <v>461</v>
      </c>
      <c r="C46" s="8"/>
      <c r="D46" s="9"/>
      <c r="E46" s="53">
        <v>3.0</v>
      </c>
      <c r="F46" s="53">
        <v>12.0</v>
      </c>
      <c r="G46" s="53"/>
      <c r="H46" s="53"/>
      <c r="I46" s="55"/>
      <c r="J46" s="9"/>
    </row>
    <row r="47" ht="14.25" customHeight="1">
      <c r="B47" s="26"/>
      <c r="C47" s="29"/>
      <c r="D47" s="29"/>
    </row>
    <row r="48" ht="14.25" customHeight="1"/>
    <row r="49" ht="14.25" customHeight="1">
      <c r="A49" s="2" t="s">
        <v>66</v>
      </c>
      <c r="B49" s="3"/>
      <c r="C49" s="4"/>
      <c r="J49" s="1"/>
    </row>
    <row r="50" ht="14.25" customHeight="1">
      <c r="A50" s="6" t="s">
        <v>2</v>
      </c>
      <c r="B50" s="10" t="s">
        <v>4</v>
      </c>
      <c r="C50" s="8"/>
      <c r="D50" s="9"/>
      <c r="E50" s="6" t="s">
        <v>5</v>
      </c>
      <c r="F50" s="6" t="s">
        <v>6</v>
      </c>
      <c r="G50" s="6" t="s">
        <v>7</v>
      </c>
      <c r="H50" s="6" t="s">
        <v>8</v>
      </c>
      <c r="I50" s="10" t="s">
        <v>9</v>
      </c>
      <c r="J50" s="9"/>
    </row>
    <row r="51" ht="14.25" customHeight="1">
      <c r="A51" s="16"/>
      <c r="B51" s="26"/>
      <c r="C51" s="29"/>
      <c r="D51" s="29"/>
      <c r="E51" s="16"/>
      <c r="F51" s="16"/>
      <c r="G51" s="16"/>
      <c r="H51" s="16"/>
      <c r="I51" s="24"/>
      <c r="J51" s="9"/>
    </row>
    <row r="52" ht="14.25" customHeight="1">
      <c r="A52" s="16"/>
      <c r="B52" s="26"/>
      <c r="C52" s="29"/>
      <c r="D52" s="29"/>
      <c r="E52" s="16"/>
      <c r="F52" s="16"/>
      <c r="G52" s="16"/>
      <c r="H52" s="16"/>
      <c r="I52" s="24"/>
      <c r="J52" s="9"/>
    </row>
    <row r="53" ht="14.25" customHeight="1">
      <c r="A53" s="16" t="s">
        <v>12</v>
      </c>
      <c r="B53" s="26" t="s">
        <v>329</v>
      </c>
      <c r="C53" s="29"/>
      <c r="D53" s="29"/>
      <c r="E53" s="16"/>
      <c r="F53" s="16">
        <v>10.0</v>
      </c>
      <c r="G53" s="16"/>
      <c r="H53" s="16"/>
      <c r="I53" s="24"/>
      <c r="J53" s="9"/>
    </row>
    <row r="54" ht="14.25" customHeight="1">
      <c r="A54" s="16" t="s">
        <v>31</v>
      </c>
      <c r="B54" s="30" t="s">
        <v>331</v>
      </c>
      <c r="C54" s="18"/>
      <c r="D54" s="20"/>
      <c r="E54" s="27"/>
      <c r="F54" s="27">
        <v>10.0</v>
      </c>
      <c r="G54" s="27"/>
      <c r="H54" s="27"/>
      <c r="I54" s="24"/>
      <c r="J54" s="9"/>
    </row>
    <row r="55" ht="14.25" customHeight="1">
      <c r="A55" s="16" t="s">
        <v>32</v>
      </c>
      <c r="B55" s="30" t="s">
        <v>333</v>
      </c>
      <c r="C55" s="18"/>
      <c r="D55" s="20"/>
      <c r="E55" s="27"/>
      <c r="F55" s="27" t="s">
        <v>278</v>
      </c>
      <c r="G55" s="27"/>
      <c r="H55" s="27"/>
      <c r="I55" s="24"/>
      <c r="J55" s="9"/>
    </row>
    <row r="56" ht="14.25" customHeight="1">
      <c r="A56" s="16" t="s">
        <v>26</v>
      </c>
      <c r="B56" s="30" t="s">
        <v>335</v>
      </c>
      <c r="C56" s="18"/>
      <c r="D56" s="20"/>
      <c r="E56" s="27"/>
      <c r="F56" s="27">
        <v>8.0</v>
      </c>
      <c r="G56" s="27"/>
      <c r="H56" s="27"/>
      <c r="I56" s="24"/>
      <c r="J56" s="9"/>
    </row>
    <row r="57" ht="14.25" customHeight="1">
      <c r="A57" s="16" t="s">
        <v>32</v>
      </c>
      <c r="B57" s="30" t="s">
        <v>338</v>
      </c>
      <c r="C57" s="18"/>
      <c r="D57" s="20"/>
      <c r="E57" s="27"/>
      <c r="F57" s="27">
        <v>8.0</v>
      </c>
      <c r="G57" s="27"/>
      <c r="H57" s="27"/>
      <c r="I57" s="24"/>
      <c r="J57" s="9"/>
    </row>
    <row r="58" ht="14.25" customHeight="1">
      <c r="A58" s="16" t="s">
        <v>26</v>
      </c>
      <c r="B58" s="30" t="s">
        <v>340</v>
      </c>
      <c r="C58" s="18"/>
      <c r="D58" s="20"/>
      <c r="E58" s="27"/>
      <c r="F58" s="27">
        <v>10.0</v>
      </c>
      <c r="G58" s="27"/>
      <c r="H58" s="27"/>
      <c r="I58" s="24"/>
      <c r="J58" s="9"/>
    </row>
    <row r="59" ht="14.25" customHeight="1">
      <c r="A59" s="16" t="s">
        <v>28</v>
      </c>
      <c r="B59" s="30" t="s">
        <v>341</v>
      </c>
      <c r="C59" s="18"/>
      <c r="D59" s="20"/>
      <c r="E59" s="27"/>
      <c r="F59" s="27"/>
      <c r="G59" s="27"/>
      <c r="H59" s="27"/>
      <c r="I59" s="24"/>
      <c r="J59" s="9"/>
    </row>
    <row r="60" ht="14.25" customHeight="1">
      <c r="A60" s="16" t="s">
        <v>33</v>
      </c>
      <c r="B60" s="60" t="s">
        <v>342</v>
      </c>
      <c r="C60" s="8"/>
      <c r="D60" s="9"/>
      <c r="E60" s="27"/>
      <c r="F60" s="27">
        <v>10.0</v>
      </c>
      <c r="G60" s="27"/>
      <c r="H60" s="27"/>
      <c r="I60" s="24"/>
      <c r="J60" s="9"/>
    </row>
    <row r="61" ht="14.25" customHeight="1">
      <c r="B61" s="26"/>
      <c r="C61" s="29"/>
      <c r="D61" s="29"/>
    </row>
    <row r="62" ht="14.25" customHeight="1"/>
    <row r="63" ht="14.25" customHeight="1">
      <c r="A63" s="2" t="s">
        <v>76</v>
      </c>
      <c r="B63" s="3"/>
      <c r="C63" s="4"/>
      <c r="J63" s="1"/>
    </row>
    <row r="64" ht="14.25" customHeight="1">
      <c r="A64" s="6" t="s">
        <v>2</v>
      </c>
      <c r="B64" s="10" t="s">
        <v>4</v>
      </c>
      <c r="C64" s="8"/>
      <c r="D64" s="9"/>
      <c r="E64" s="6" t="s">
        <v>5</v>
      </c>
      <c r="F64" s="6" t="s">
        <v>6</v>
      </c>
      <c r="G64" s="6" t="s">
        <v>7</v>
      </c>
      <c r="H64" s="6" t="s">
        <v>8</v>
      </c>
      <c r="I64" s="10" t="s">
        <v>9</v>
      </c>
      <c r="J64" s="9"/>
    </row>
    <row r="65" ht="14.25" customHeight="1">
      <c r="A65" s="16"/>
      <c r="B65" s="26"/>
      <c r="C65" s="29"/>
      <c r="D65" s="29"/>
      <c r="E65" s="16"/>
      <c r="F65" s="16"/>
      <c r="G65" s="16"/>
      <c r="H65" s="16"/>
      <c r="I65" s="24"/>
      <c r="J65" s="9"/>
    </row>
    <row r="66" ht="14.25" customHeight="1">
      <c r="A66" s="16"/>
      <c r="B66" s="26"/>
      <c r="C66" s="29"/>
      <c r="D66" s="29"/>
      <c r="E66" s="16"/>
      <c r="F66" s="16"/>
      <c r="G66" s="16"/>
      <c r="H66" s="16"/>
      <c r="I66" s="24"/>
      <c r="J66" s="9"/>
    </row>
    <row r="67" ht="14.25" customHeight="1">
      <c r="A67" s="16"/>
      <c r="B67" s="26"/>
      <c r="C67" s="29"/>
      <c r="D67" s="29"/>
      <c r="E67" s="16"/>
      <c r="F67" s="16"/>
      <c r="G67" s="16"/>
      <c r="H67" s="16"/>
      <c r="I67" s="24"/>
      <c r="J67" s="9"/>
    </row>
    <row r="68" ht="14.25" customHeight="1">
      <c r="A68" s="16"/>
      <c r="B68" s="26"/>
      <c r="C68" s="29"/>
      <c r="D68" s="29"/>
      <c r="E68" s="16"/>
      <c r="F68" s="16"/>
      <c r="G68" s="16"/>
      <c r="H68" s="16"/>
      <c r="I68" s="24"/>
      <c r="J68" s="9"/>
    </row>
    <row r="69" ht="14.25" customHeight="1">
      <c r="A69" s="16"/>
      <c r="B69" s="26"/>
      <c r="C69" s="29"/>
      <c r="D69" s="29"/>
      <c r="E69" s="16"/>
      <c r="F69" s="16"/>
      <c r="G69" s="16"/>
      <c r="H69" s="16"/>
      <c r="I69" s="24"/>
      <c r="J69" s="9"/>
    </row>
    <row r="70" ht="14.25" customHeight="1">
      <c r="A70" s="16"/>
      <c r="B70" s="26"/>
      <c r="C70" s="29"/>
      <c r="D70" s="29"/>
      <c r="E70" s="16"/>
      <c r="F70" s="16"/>
      <c r="G70" s="16"/>
      <c r="H70" s="16"/>
      <c r="I70" s="24"/>
      <c r="J70" s="9"/>
    </row>
    <row r="71" ht="14.25" customHeight="1">
      <c r="A71" s="16"/>
      <c r="B71" s="26"/>
      <c r="C71" s="29"/>
      <c r="D71" s="29"/>
      <c r="E71" s="16"/>
      <c r="F71" s="16"/>
      <c r="G71" s="16"/>
      <c r="H71" s="16"/>
      <c r="I71" s="24"/>
      <c r="J71" s="9"/>
    </row>
    <row r="72" ht="14.25" customHeight="1">
      <c r="A72" s="16"/>
      <c r="B72" s="26"/>
      <c r="C72" s="29"/>
      <c r="D72" s="29"/>
      <c r="E72" s="16"/>
      <c r="F72" s="16"/>
      <c r="G72" s="16"/>
      <c r="H72" s="16"/>
      <c r="I72" s="24"/>
      <c r="J72" s="9"/>
    </row>
    <row r="73" ht="14.25" customHeight="1">
      <c r="A73" s="16"/>
      <c r="B73" s="26"/>
      <c r="C73" s="29"/>
      <c r="D73" s="29"/>
      <c r="E73" s="16"/>
      <c r="F73" s="16"/>
      <c r="G73" s="16"/>
      <c r="H73" s="16"/>
      <c r="I73" s="24"/>
      <c r="J73" s="9"/>
    </row>
    <row r="74" ht="14.25" customHeight="1">
      <c r="A74" s="16"/>
      <c r="B74" s="58"/>
      <c r="C74" s="8"/>
      <c r="D74" s="9"/>
      <c r="E74" s="16"/>
      <c r="F74" s="16"/>
      <c r="G74" s="16"/>
      <c r="H74" s="16"/>
      <c r="I74" s="24"/>
      <c r="J74" s="9"/>
    </row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6">
    <mergeCell ref="I26:J26"/>
    <mergeCell ref="I27:J27"/>
    <mergeCell ref="I11:J11"/>
    <mergeCell ref="I13:J13"/>
    <mergeCell ref="I21:J21"/>
    <mergeCell ref="I22:J22"/>
    <mergeCell ref="I23:J23"/>
    <mergeCell ref="I24:J24"/>
    <mergeCell ref="I25:J25"/>
    <mergeCell ref="A6:C6"/>
    <mergeCell ref="B7:D7"/>
    <mergeCell ref="I7:J7"/>
    <mergeCell ref="M7:W7"/>
    <mergeCell ref="Z7:AB7"/>
    <mergeCell ref="B8:D8"/>
    <mergeCell ref="B9:D9"/>
    <mergeCell ref="I12:J12"/>
    <mergeCell ref="M12:W12"/>
    <mergeCell ref="I8:J8"/>
    <mergeCell ref="I9:J9"/>
    <mergeCell ref="B10:D10"/>
    <mergeCell ref="I10:J10"/>
    <mergeCell ref="B11:D11"/>
    <mergeCell ref="B12:D12"/>
    <mergeCell ref="B13:D13"/>
    <mergeCell ref="I17:J17"/>
    <mergeCell ref="M17:W17"/>
    <mergeCell ref="M22:W22"/>
    <mergeCell ref="B14:D14"/>
    <mergeCell ref="I14:J14"/>
    <mergeCell ref="B15:D15"/>
    <mergeCell ref="I15:J15"/>
    <mergeCell ref="B16:D16"/>
    <mergeCell ref="I16:J16"/>
    <mergeCell ref="B17:D17"/>
    <mergeCell ref="B26:D26"/>
    <mergeCell ref="B27:D27"/>
    <mergeCell ref="M27:W27"/>
    <mergeCell ref="I28:J28"/>
    <mergeCell ref="B18:D18"/>
    <mergeCell ref="A20:C20"/>
    <mergeCell ref="B21:D21"/>
    <mergeCell ref="B22:D22"/>
    <mergeCell ref="B23:D23"/>
    <mergeCell ref="B24:D24"/>
    <mergeCell ref="B25:D25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A63:C63"/>
    <mergeCell ref="B64:D64"/>
    <mergeCell ref="B72:D72"/>
    <mergeCell ref="B73:D73"/>
    <mergeCell ref="B74:D74"/>
    <mergeCell ref="B65:D65"/>
    <mergeCell ref="B66:D66"/>
    <mergeCell ref="B67:D67"/>
    <mergeCell ref="B68:D68"/>
    <mergeCell ref="B69:D69"/>
    <mergeCell ref="B70:D70"/>
    <mergeCell ref="B71:D71"/>
    <mergeCell ref="I70:J70"/>
    <mergeCell ref="I71:J71"/>
    <mergeCell ref="I72:J72"/>
    <mergeCell ref="I73:J73"/>
    <mergeCell ref="I74:J74"/>
    <mergeCell ref="I60:J60"/>
    <mergeCell ref="I64:J64"/>
    <mergeCell ref="I65:J65"/>
    <mergeCell ref="I66:J66"/>
    <mergeCell ref="I67:J67"/>
    <mergeCell ref="I68:J68"/>
    <mergeCell ref="I69:J69"/>
    <mergeCell ref="B28:D28"/>
    <mergeCell ref="B29:D29"/>
    <mergeCell ref="I29:J29"/>
    <mergeCell ref="B30:D30"/>
    <mergeCell ref="I30:J30"/>
    <mergeCell ref="B31:D31"/>
    <mergeCell ref="I32:J32"/>
    <mergeCell ref="I37:J37"/>
    <mergeCell ref="I38:J38"/>
    <mergeCell ref="B32:D32"/>
    <mergeCell ref="B33:D33"/>
    <mergeCell ref="A35:C35"/>
    <mergeCell ref="B36:D36"/>
    <mergeCell ref="I36:J36"/>
    <mergeCell ref="B37:D37"/>
    <mergeCell ref="B38:D38"/>
    <mergeCell ref="B39:D39"/>
    <mergeCell ref="I39:J39"/>
    <mergeCell ref="B40:D40"/>
    <mergeCell ref="I40:J40"/>
    <mergeCell ref="B41:D41"/>
    <mergeCell ref="I41:J41"/>
    <mergeCell ref="I42:J42"/>
    <mergeCell ref="B42:D42"/>
    <mergeCell ref="B43:D43"/>
    <mergeCell ref="B44:D44"/>
    <mergeCell ref="B45:D45"/>
    <mergeCell ref="B46:D46"/>
    <mergeCell ref="B47:D47"/>
    <mergeCell ref="A49:C49"/>
    <mergeCell ref="I43:J43"/>
    <mergeCell ref="I44:J44"/>
    <mergeCell ref="I45:J45"/>
    <mergeCell ref="I46:J46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</mergeCells>
  <dataValidations>
    <dataValidation type="list" allowBlank="1" showErrorMessage="1" sqref="A8:A17 A22:A32 A37:A46 A51:A60 A65:A74">
      <formula1>Datos!$D$2:$D$11</formula1>
    </dataValidation>
    <dataValidation type="list" allowBlank="1" showErrorMessage="1" sqref="J5">
      <formula1>Datos!$B$2:$B$12</formula1>
    </dataValidation>
    <dataValidation type="list" allowBlank="1" showErrorMessage="1" sqref="J6 J20 J35 J49 J63">
      <formula1>Datos!$D$2:$D$14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10.71"/>
    <col customWidth="1" min="24" max="24" width="7.86"/>
    <col customWidth="1" min="25" max="25" width="15.43"/>
    <col customWidth="1" min="26" max="28" width="10.71"/>
  </cols>
  <sheetData>
    <row r="1" ht="14.25" customHeight="1"/>
    <row r="2" ht="14.25" customHeight="1"/>
    <row r="3" ht="14.25" customHeight="1"/>
    <row r="4" ht="14.25" customHeight="1"/>
    <row r="5" ht="14.25" customHeight="1">
      <c r="J5" s="1"/>
    </row>
    <row r="6" ht="14.25" customHeight="1">
      <c r="A6" s="2" t="s">
        <v>424</v>
      </c>
      <c r="B6" s="3"/>
      <c r="C6" s="4"/>
      <c r="J6" s="1"/>
    </row>
    <row r="7" ht="14.25" customHeight="1">
      <c r="A7" s="5" t="s">
        <v>2</v>
      </c>
      <c r="B7" s="7" t="s">
        <v>4</v>
      </c>
      <c r="C7" s="8"/>
      <c r="D7" s="9"/>
      <c r="E7" s="5" t="s">
        <v>5</v>
      </c>
      <c r="F7" s="5" t="s">
        <v>6</v>
      </c>
      <c r="G7" s="5" t="s">
        <v>7</v>
      </c>
      <c r="H7" s="5" t="s">
        <v>8</v>
      </c>
      <c r="I7" s="7" t="s">
        <v>9</v>
      </c>
      <c r="J7" s="9"/>
      <c r="M7" s="11" t="s">
        <v>0</v>
      </c>
      <c r="N7" s="12"/>
      <c r="O7" s="12"/>
      <c r="P7" s="12"/>
      <c r="Q7" s="12"/>
      <c r="R7" s="12"/>
      <c r="S7" s="12"/>
      <c r="T7" s="12"/>
      <c r="U7" s="12"/>
      <c r="V7" s="12"/>
      <c r="W7" s="13"/>
      <c r="Y7" s="1"/>
      <c r="Z7" s="14" t="s">
        <v>10</v>
      </c>
      <c r="AA7" s="12"/>
      <c r="AB7" s="13"/>
    </row>
    <row r="8" ht="14.25" customHeight="1">
      <c r="A8" s="53" t="s">
        <v>12</v>
      </c>
      <c r="B8" s="54" t="s">
        <v>428</v>
      </c>
      <c r="C8" s="18"/>
      <c r="D8" s="20"/>
      <c r="E8" s="53">
        <v>2.0</v>
      </c>
      <c r="F8" s="53">
        <v>10.0</v>
      </c>
      <c r="G8" s="53"/>
      <c r="H8" s="53"/>
      <c r="I8" s="55"/>
      <c r="J8" s="9"/>
      <c r="M8" s="25"/>
      <c r="N8" s="28" t="s">
        <v>16</v>
      </c>
      <c r="O8" s="28" t="s">
        <v>26</v>
      </c>
      <c r="P8" s="28" t="s">
        <v>27</v>
      </c>
      <c r="Q8" s="28" t="s">
        <v>28</v>
      </c>
      <c r="R8" s="28" t="s">
        <v>29</v>
      </c>
      <c r="S8" s="28" t="s">
        <v>30</v>
      </c>
      <c r="T8" s="28" t="s">
        <v>31</v>
      </c>
      <c r="U8" s="28" t="s">
        <v>32</v>
      </c>
      <c r="V8" s="28" t="s">
        <v>33</v>
      </c>
      <c r="W8" s="28" t="s">
        <v>12</v>
      </c>
      <c r="Z8" s="28" t="s">
        <v>16</v>
      </c>
      <c r="AA8" s="1">
        <f>SUM(N9,N14,N19,N24,N29)</f>
        <v>6</v>
      </c>
    </row>
    <row r="9" ht="14.25" customHeight="1">
      <c r="A9" s="53" t="s">
        <v>12</v>
      </c>
      <c r="B9" s="54" t="s">
        <v>432</v>
      </c>
      <c r="C9" s="18"/>
      <c r="D9" s="20"/>
      <c r="E9" s="53">
        <v>3.0</v>
      </c>
      <c r="F9" s="53">
        <v>12.0</v>
      </c>
      <c r="G9" s="53"/>
      <c r="H9" s="53"/>
      <c r="I9" s="55"/>
      <c r="J9" s="9"/>
      <c r="M9" s="34" t="s">
        <v>36</v>
      </c>
      <c r="N9" s="37">
        <f>SUMIF(A8:A17,"Pecho",E8:E17)</f>
        <v>0</v>
      </c>
      <c r="O9" s="37">
        <f>SUMIF(A8:A17,"Espalda",E8:E17)</f>
        <v>0</v>
      </c>
      <c r="P9" s="37">
        <f>SUMIF($A8:$A17,"Hombros",$E8:$E17)</f>
        <v>10</v>
      </c>
      <c r="Q9" s="37">
        <f>SUMIF($A8:$A17,"Bíceps",$E8:$E17)</f>
        <v>0</v>
      </c>
      <c r="R9" s="37">
        <f>SUMIF($A8:$A17,"Tríceps",$E8:$E17)</f>
        <v>0</v>
      </c>
      <c r="S9" s="38">
        <f>SUMIF(A8:A17,"Cuádriceps",E8:E17)</f>
        <v>7</v>
      </c>
      <c r="T9" s="37">
        <f>SUMIF($A8:$A17,"Isquios",$E8:$E17)</f>
        <v>0</v>
      </c>
      <c r="U9" s="37">
        <f>SUMIF($A8:$A17,"Glúteos",$E8:$E17)</f>
        <v>7</v>
      </c>
      <c r="V9" s="37">
        <f>SUMIF($A8:$A17,"Pantorrillas",$E8:$E17)</f>
        <v>0</v>
      </c>
      <c r="W9" s="37">
        <f>SUMIF($A8:$A17,"Otros",$E8:$E17)</f>
        <v>8</v>
      </c>
      <c r="Z9" s="28" t="s">
        <v>26</v>
      </c>
      <c r="AA9" s="1">
        <f>SUM(O9,O14,O19,O24,O29)</f>
        <v>7</v>
      </c>
    </row>
    <row r="10" ht="14.25" customHeight="1">
      <c r="A10" s="53" t="s">
        <v>12</v>
      </c>
      <c r="B10" s="54" t="s">
        <v>442</v>
      </c>
      <c r="C10" s="18"/>
      <c r="D10" s="20"/>
      <c r="E10" s="53">
        <v>3.0</v>
      </c>
      <c r="F10" s="53" t="s">
        <v>71</v>
      </c>
      <c r="G10" s="53"/>
      <c r="H10" s="53"/>
      <c r="I10" s="55"/>
      <c r="J10" s="9"/>
      <c r="M10" s="34" t="s">
        <v>7</v>
      </c>
      <c r="N10" s="35" t="str">
        <f>AVERAGEIF($A8:$A17,"Pecho",$G8:$G17)</f>
        <v>#DIV/0!</v>
      </c>
      <c r="O10" s="35" t="str">
        <f>AVERAGEIF($A8:$A17,"Espalda",$G8:$G17)</f>
        <v>#DIV/0!</v>
      </c>
      <c r="P10" s="35" t="str">
        <f>AVERAGEIF($A8:$A17,"Hombros",$G8:$G17)</f>
        <v>#DIV/0!</v>
      </c>
      <c r="Q10" s="35" t="str">
        <f>AVERAGEIF($A8:$A17,"Bíceps",$G8:$G17)</f>
        <v>#DIV/0!</v>
      </c>
      <c r="R10" s="35" t="str">
        <f>AVERAGEIF($A8:$A17,"Tríceps",$G8:$G17)</f>
        <v>#DIV/0!</v>
      </c>
      <c r="S10" s="35">
        <f>AVERAGEIF($A8:$A17,"Cuádriceps",$G8:$G17)</f>
        <v>8</v>
      </c>
      <c r="T10" s="35" t="str">
        <f>AVERAGEIF($A8:$A17,"Isquios",$G8:$G17)</f>
        <v>#DIV/0!</v>
      </c>
      <c r="U10" s="35" t="str">
        <f>AVERAGEIF($A8:$A17,"Glúteos",$G8:$G17)</f>
        <v>#DIV/0!</v>
      </c>
      <c r="V10" s="35" t="str">
        <f>AVERAGEIF($A8:$A17,"Pantorrillas",$G8:$G17)</f>
        <v>#DIV/0!</v>
      </c>
      <c r="W10" s="35" t="str">
        <f>AVERAGEIF($A8:$A17,"Otros",$G8:$G17)</f>
        <v>#DIV/0!</v>
      </c>
      <c r="Z10" s="28" t="s">
        <v>27</v>
      </c>
      <c r="AA10" s="1">
        <f>SUM(P9,P14,P19,P24,P29)</f>
        <v>10</v>
      </c>
    </row>
    <row r="11" ht="14.25" customHeight="1">
      <c r="A11" s="15" t="s">
        <v>30</v>
      </c>
      <c r="B11" s="17" t="s">
        <v>447</v>
      </c>
      <c r="C11" s="18"/>
      <c r="D11" s="20"/>
      <c r="E11" s="15">
        <v>4.0</v>
      </c>
      <c r="F11" s="15">
        <v>10.0</v>
      </c>
      <c r="G11" s="15">
        <v>8.0</v>
      </c>
      <c r="H11" s="15" t="s">
        <v>55</v>
      </c>
      <c r="I11" s="23"/>
      <c r="J11" s="9"/>
      <c r="M11" s="25"/>
      <c r="N11" s="25"/>
      <c r="O11" s="25"/>
      <c r="P11" s="25"/>
      <c r="Q11" s="25"/>
      <c r="R11" s="25"/>
      <c r="S11" s="25"/>
      <c r="T11" s="25"/>
      <c r="U11" s="25"/>
      <c r="Z11" s="28" t="s">
        <v>28</v>
      </c>
      <c r="AA11" s="1">
        <f>SUM(Q9,Q14,Q19,Q24,Q29)</f>
        <v>3</v>
      </c>
    </row>
    <row r="12" ht="14.25" customHeight="1">
      <c r="A12" s="53" t="s">
        <v>32</v>
      </c>
      <c r="B12" s="54" t="s">
        <v>107</v>
      </c>
      <c r="C12" s="18"/>
      <c r="D12" s="20"/>
      <c r="E12" s="53">
        <v>4.0</v>
      </c>
      <c r="F12" s="53" t="s">
        <v>450</v>
      </c>
      <c r="G12" s="53"/>
      <c r="H12" s="53"/>
      <c r="I12" s="55"/>
      <c r="J12" s="9"/>
      <c r="M12" s="11" t="s">
        <v>45</v>
      </c>
      <c r="N12" s="12"/>
      <c r="O12" s="12"/>
      <c r="P12" s="12"/>
      <c r="Q12" s="12"/>
      <c r="R12" s="12"/>
      <c r="S12" s="12"/>
      <c r="T12" s="12"/>
      <c r="U12" s="12"/>
      <c r="V12" s="12"/>
      <c r="W12" s="13"/>
      <c r="Z12" s="28" t="s">
        <v>29</v>
      </c>
      <c r="AA12" s="1">
        <f>SUM(R9,R14,R19,R24,R29)</f>
        <v>7</v>
      </c>
    </row>
    <row r="13" ht="14.25" customHeight="1">
      <c r="A13" s="53" t="s">
        <v>27</v>
      </c>
      <c r="B13" s="54" t="s">
        <v>451</v>
      </c>
      <c r="C13" s="18"/>
      <c r="D13" s="20"/>
      <c r="E13" s="53">
        <v>3.0</v>
      </c>
      <c r="F13" s="53">
        <v>10.0</v>
      </c>
      <c r="G13" s="53"/>
      <c r="H13" s="53"/>
      <c r="I13" s="55"/>
      <c r="J13" s="9"/>
      <c r="M13" s="25"/>
      <c r="N13" s="28" t="s">
        <v>16</v>
      </c>
      <c r="O13" s="28" t="s">
        <v>26</v>
      </c>
      <c r="P13" s="28" t="s">
        <v>27</v>
      </c>
      <c r="Q13" s="28" t="s">
        <v>28</v>
      </c>
      <c r="R13" s="28" t="s">
        <v>29</v>
      </c>
      <c r="S13" s="28" t="s">
        <v>30</v>
      </c>
      <c r="T13" s="28" t="s">
        <v>31</v>
      </c>
      <c r="U13" s="28" t="s">
        <v>32</v>
      </c>
      <c r="V13" s="28" t="s">
        <v>33</v>
      </c>
      <c r="W13" s="28" t="s">
        <v>12</v>
      </c>
      <c r="Z13" s="28" t="s">
        <v>30</v>
      </c>
      <c r="AA13" s="1">
        <f>SUM(S9,S14,S19,S24,S29)</f>
        <v>10</v>
      </c>
    </row>
    <row r="14" ht="14.25" customHeight="1">
      <c r="A14" s="15" t="s">
        <v>30</v>
      </c>
      <c r="B14" s="17" t="s">
        <v>454</v>
      </c>
      <c r="C14" s="18"/>
      <c r="D14" s="20"/>
      <c r="E14" s="15">
        <v>3.0</v>
      </c>
      <c r="F14" s="15" t="s">
        <v>455</v>
      </c>
      <c r="G14" s="15"/>
      <c r="H14" s="15"/>
      <c r="I14" s="23"/>
      <c r="J14" s="9"/>
      <c r="M14" s="34" t="s">
        <v>36</v>
      </c>
      <c r="N14" s="35">
        <f>SUMIF($A22:$A32,"Pecho",$E22:$E32)</f>
        <v>0</v>
      </c>
      <c r="O14" s="35">
        <f>SUMIF($A22:$A32,"Espalda",$E22:$E32)</f>
        <v>7</v>
      </c>
      <c r="P14" s="35">
        <f>SUMIF($A22:$A32,"Hombros",$E22:$E32)</f>
        <v>0</v>
      </c>
      <c r="Q14" s="35">
        <f>SUMIF($A22:$A32,"Bíceps",$E22:$E32)</f>
        <v>3</v>
      </c>
      <c r="R14" s="35">
        <f>SUMIF($A22:$A32,"Tríceps",$E22:$E32)</f>
        <v>3</v>
      </c>
      <c r="S14" s="35">
        <f>SUMIF($A22:$A32,"Cuádriceps",$E22:$E32)</f>
        <v>3</v>
      </c>
      <c r="T14" s="35">
        <f>SUMIF($A22:$A32,"Isquios",$E22:$E32)</f>
        <v>7</v>
      </c>
      <c r="U14" s="35">
        <f>SUMIF($A22:$A32,"Glúteos",$E22:$E32)</f>
        <v>0</v>
      </c>
      <c r="V14" s="35">
        <f>SUMIF($A22:$A32,"Pantorrillas",$E22:$E32)</f>
        <v>0</v>
      </c>
      <c r="W14" s="35">
        <f>SUMIF($A22:$A32,"Otros",$E22:$E32)</f>
        <v>9</v>
      </c>
      <c r="Z14" s="28" t="s">
        <v>31</v>
      </c>
      <c r="AA14" s="1">
        <f>SUM(T9,T14,T19,T24,T29)</f>
        <v>14</v>
      </c>
    </row>
    <row r="15" ht="14.25" customHeight="1">
      <c r="A15" s="15" t="s">
        <v>27</v>
      </c>
      <c r="B15" s="17" t="s">
        <v>159</v>
      </c>
      <c r="C15" s="18"/>
      <c r="D15" s="20"/>
      <c r="E15" s="15">
        <v>4.0</v>
      </c>
      <c r="F15" s="15">
        <v>12.0</v>
      </c>
      <c r="G15" s="15"/>
      <c r="H15" s="15"/>
      <c r="I15" s="23"/>
      <c r="J15" s="9"/>
      <c r="M15" s="34" t="s">
        <v>7</v>
      </c>
      <c r="N15" s="35" t="str">
        <f>AVERAGEIF($A22:$A32,"Pecho",$G22:$G32)</f>
        <v>#DIV/0!</v>
      </c>
      <c r="O15" s="35" t="str">
        <f>AVERAGEIF($A22:$A32,"Espalda",$G22:$G32)</f>
        <v>#DIV/0!</v>
      </c>
      <c r="P15" s="35" t="str">
        <f>AVERAGEIF($A22:$A32,"Hombros",$G22:$G32)</f>
        <v>#DIV/0!</v>
      </c>
      <c r="Q15" s="35" t="str">
        <f>AVERAGEIF($A22:$A32,"Bíceps",$G22:$G32)</f>
        <v>#DIV/0!</v>
      </c>
      <c r="R15" s="35" t="str">
        <f>AVERAGEIF($A22:$A32,"Tríceps",$G22:$G32)</f>
        <v>#DIV/0!</v>
      </c>
      <c r="S15" s="35" t="str">
        <f>AVERAGEIF($A22:$A32,"Cuádriceps",$G22:$G32)</f>
        <v>#DIV/0!</v>
      </c>
      <c r="T15" s="35">
        <f>AVERAGEIF($A22:$A32,"Isquios",$G22:$G32)</f>
        <v>8</v>
      </c>
      <c r="U15" s="35" t="str">
        <f>AVERAGEIF($A22:$A32,"Glúteos",$G22:$G32)</f>
        <v>#DIV/0!</v>
      </c>
      <c r="V15" s="35" t="str">
        <f>AVERAGEIF($A22:$A32,"Pantorrillas",$G22:$G32)</f>
        <v>#DIV/0!</v>
      </c>
      <c r="W15" s="35" t="str">
        <f>AVERAGEIF($A22:$A32,"Otros",$G22:$G32)</f>
        <v>#DIV/0!</v>
      </c>
      <c r="Z15" s="28" t="s">
        <v>32</v>
      </c>
      <c r="AA15" s="1">
        <f>SUM(U9,U14,U19,U24,U29)</f>
        <v>10</v>
      </c>
    </row>
    <row r="16" ht="14.25" customHeight="1">
      <c r="A16" s="53" t="s">
        <v>27</v>
      </c>
      <c r="B16" s="54" t="s">
        <v>462</v>
      </c>
      <c r="C16" s="18"/>
      <c r="D16" s="20"/>
      <c r="E16" s="53">
        <v>3.0</v>
      </c>
      <c r="F16" s="53">
        <v>12.0</v>
      </c>
      <c r="G16" s="53"/>
      <c r="H16" s="53"/>
      <c r="I16" s="55"/>
      <c r="J16" s="9"/>
      <c r="M16" s="25"/>
      <c r="N16" s="25"/>
      <c r="O16" s="25"/>
      <c r="P16" s="25"/>
      <c r="Q16" s="25"/>
      <c r="R16" s="25"/>
      <c r="S16" s="25"/>
      <c r="T16" s="25"/>
      <c r="U16" s="25"/>
      <c r="Z16" s="28" t="s">
        <v>33</v>
      </c>
      <c r="AA16" s="1">
        <f>SUM(V9,V14,V19,V24,V29)</f>
        <v>0</v>
      </c>
    </row>
    <row r="17" ht="14.25" customHeight="1">
      <c r="A17" s="53" t="s">
        <v>32</v>
      </c>
      <c r="B17" s="54" t="s">
        <v>463</v>
      </c>
      <c r="C17" s="18"/>
      <c r="D17" s="20"/>
      <c r="E17" s="53">
        <v>3.0</v>
      </c>
      <c r="F17" s="53">
        <v>15.0</v>
      </c>
      <c r="G17" s="53"/>
      <c r="H17" s="53"/>
      <c r="I17" s="55"/>
      <c r="J17" s="9"/>
      <c r="M17" s="11" t="s">
        <v>57</v>
      </c>
      <c r="N17" s="12"/>
      <c r="O17" s="12"/>
      <c r="P17" s="12"/>
      <c r="Q17" s="12"/>
      <c r="R17" s="12"/>
      <c r="S17" s="12"/>
      <c r="T17" s="12"/>
      <c r="U17" s="12"/>
      <c r="V17" s="12"/>
      <c r="W17" s="13"/>
      <c r="Z17" s="28" t="s">
        <v>12</v>
      </c>
      <c r="AA17" s="1">
        <f>SUM(W9,W14,W19,W24,W29)</f>
        <v>29</v>
      </c>
    </row>
    <row r="18" ht="14.25" customHeight="1">
      <c r="B18" s="26"/>
      <c r="C18" s="29"/>
      <c r="D18" s="29"/>
      <c r="M18" s="25"/>
      <c r="N18" s="28" t="s">
        <v>16</v>
      </c>
      <c r="O18" s="28" t="s">
        <v>26</v>
      </c>
      <c r="P18" s="28" t="s">
        <v>27</v>
      </c>
      <c r="Q18" s="28" t="s">
        <v>28</v>
      </c>
      <c r="R18" s="28" t="s">
        <v>29</v>
      </c>
      <c r="S18" s="28" t="s">
        <v>30</v>
      </c>
      <c r="T18" s="28" t="s">
        <v>31</v>
      </c>
      <c r="U18" s="28" t="s">
        <v>32</v>
      </c>
      <c r="V18" s="28" t="s">
        <v>33</v>
      </c>
      <c r="W18" s="28" t="s">
        <v>12</v>
      </c>
    </row>
    <row r="19" ht="14.25" customHeight="1">
      <c r="M19" s="34" t="s">
        <v>36</v>
      </c>
      <c r="N19" s="35">
        <f>SUMIF($A37:$A46,"Pecho",$E37:$E46)</f>
        <v>6</v>
      </c>
      <c r="O19" s="35">
        <f>SUMIF($A37:$A46,"Espalda",$E37:$E46)</f>
        <v>0</v>
      </c>
      <c r="P19" s="35">
        <f>SUMIF($A37:$A46,"Hombros",$E37:$E46)</f>
        <v>0</v>
      </c>
      <c r="Q19" s="35">
        <f>SUMIF($A37:$A46,"Bíceps",$E37:$E46)</f>
        <v>0</v>
      </c>
      <c r="R19" s="35">
        <f>SUMIF($A37:$A46,"Tríceps",$E37:$E46)</f>
        <v>4</v>
      </c>
      <c r="S19" s="35">
        <f>SUMIF($A37:$A46,"Cuádriceps",$E37:$E46)</f>
        <v>0</v>
      </c>
      <c r="T19" s="35">
        <f>SUMIF($A37:$A46,"Isquios",$E37:$E46)</f>
        <v>7</v>
      </c>
      <c r="U19" s="35">
        <f>SUMIF($A37:$A46,"Glúteos",$E37:$E46)</f>
        <v>3</v>
      </c>
      <c r="V19" s="35">
        <f>SUMIF($A37:$A46,"Pantorrillas",$E37:$E46)</f>
        <v>0</v>
      </c>
      <c r="W19" s="35">
        <f>SUMIF($A37:$A46,"Otros",$E37:$E46)</f>
        <v>12</v>
      </c>
    </row>
    <row r="20" ht="14.25" customHeight="1">
      <c r="A20" s="2" t="s">
        <v>407</v>
      </c>
      <c r="B20" s="3"/>
      <c r="C20" s="4"/>
      <c r="J20" s="1"/>
      <c r="M20" s="34" t="s">
        <v>7</v>
      </c>
      <c r="N20" s="35" t="str">
        <f>AVERAGEIF($A37:$A46,"Pecho",$G37:$G46)</f>
        <v>#DIV/0!</v>
      </c>
      <c r="O20" s="35" t="str">
        <f>AVERAGEIF($A37:$A46,"Espalda",$G37:$G46)</f>
        <v>#DIV/0!</v>
      </c>
      <c r="P20" s="35" t="str">
        <f>AVERAGEIF($A37:$A46,"Hombros",$G37:$G46)</f>
        <v>#DIV/0!</v>
      </c>
      <c r="Q20" s="35" t="str">
        <f>AVERAGEIF($A37:$A46,"Bíceps",$G37:$G46)</f>
        <v>#DIV/0!</v>
      </c>
      <c r="R20" s="35" t="str">
        <f>AVERAGEIF($A37:$A46,"Tríceps",$G37:$G46)</f>
        <v>#DIV/0!</v>
      </c>
      <c r="S20" s="35" t="str">
        <f>AVERAGEIF($A37:$A46,"Cuádriceps",$G37:$G46)</f>
        <v>#DIV/0!</v>
      </c>
      <c r="T20" s="35">
        <f>AVERAGEIF($A37:$A46,"Isquios",$G37:$G46)</f>
        <v>8</v>
      </c>
      <c r="U20" s="35" t="str">
        <f>AVERAGEIF($A37:$A46,"Glúteos",$G37:$G46)</f>
        <v>#DIV/0!</v>
      </c>
      <c r="V20" s="35" t="str">
        <f>AVERAGEIF($A37:$A46,"Pantorrillas",$G37:$G46)</f>
        <v>#DIV/0!</v>
      </c>
      <c r="W20" s="35" t="str">
        <f>AVERAGEIF($A37:$A46,"Otros",$G37:$G46)</f>
        <v>#DIV/0!</v>
      </c>
    </row>
    <row r="21" ht="14.25" customHeight="1">
      <c r="A21" s="5" t="s">
        <v>2</v>
      </c>
      <c r="B21" s="7" t="s">
        <v>4</v>
      </c>
      <c r="C21" s="8"/>
      <c r="D21" s="9"/>
      <c r="E21" s="5" t="s">
        <v>5</v>
      </c>
      <c r="F21" s="5" t="s">
        <v>6</v>
      </c>
      <c r="G21" s="5" t="s">
        <v>7</v>
      </c>
      <c r="H21" s="5" t="s">
        <v>8</v>
      </c>
      <c r="I21" s="7" t="s">
        <v>9</v>
      </c>
      <c r="J21" s="9"/>
      <c r="M21" s="25"/>
      <c r="N21" s="25"/>
      <c r="O21" s="25"/>
      <c r="P21" s="25"/>
      <c r="Q21" s="25"/>
      <c r="R21" s="25"/>
      <c r="S21" s="25"/>
      <c r="T21" s="25"/>
      <c r="U21" s="25"/>
    </row>
    <row r="22" ht="14.25" customHeight="1">
      <c r="A22" s="53" t="s">
        <v>12</v>
      </c>
      <c r="B22" s="54" t="s">
        <v>99</v>
      </c>
      <c r="C22" s="18"/>
      <c r="D22" s="20"/>
      <c r="E22" s="53">
        <v>2.0</v>
      </c>
      <c r="F22" s="53">
        <v>10.0</v>
      </c>
      <c r="G22" s="53"/>
      <c r="H22" s="53"/>
      <c r="I22" s="55"/>
      <c r="J22" s="9"/>
      <c r="M22" s="11" t="s">
        <v>66</v>
      </c>
      <c r="N22" s="12"/>
      <c r="O22" s="12"/>
      <c r="P22" s="12"/>
      <c r="Q22" s="12"/>
      <c r="R22" s="12"/>
      <c r="S22" s="12"/>
      <c r="T22" s="12"/>
      <c r="U22" s="12"/>
      <c r="V22" s="12"/>
      <c r="W22" s="13"/>
    </row>
    <row r="23" ht="14.25" customHeight="1">
      <c r="A23" s="53" t="s">
        <v>12</v>
      </c>
      <c r="B23" s="54" t="s">
        <v>100</v>
      </c>
      <c r="C23" s="18"/>
      <c r="D23" s="20"/>
      <c r="E23" s="53">
        <v>2.0</v>
      </c>
      <c r="F23" s="53">
        <v>12.0</v>
      </c>
      <c r="G23" s="53"/>
      <c r="H23" s="53"/>
      <c r="I23" s="55"/>
      <c r="J23" s="9"/>
      <c r="M23" s="25"/>
      <c r="N23" s="28" t="s">
        <v>16</v>
      </c>
      <c r="O23" s="28" t="s">
        <v>26</v>
      </c>
      <c r="P23" s="28" t="s">
        <v>27</v>
      </c>
      <c r="Q23" s="28" t="s">
        <v>28</v>
      </c>
      <c r="R23" s="28" t="s">
        <v>29</v>
      </c>
      <c r="S23" s="28" t="s">
        <v>30</v>
      </c>
      <c r="T23" s="28" t="s">
        <v>31</v>
      </c>
      <c r="U23" s="28" t="s">
        <v>32</v>
      </c>
      <c r="V23" s="28" t="s">
        <v>33</v>
      </c>
      <c r="W23" s="28" t="s">
        <v>12</v>
      </c>
    </row>
    <row r="24" ht="14.25" customHeight="1">
      <c r="A24" s="53" t="s">
        <v>12</v>
      </c>
      <c r="B24" s="54" t="s">
        <v>425</v>
      </c>
      <c r="C24" s="18"/>
      <c r="D24" s="20"/>
      <c r="E24" s="53">
        <v>2.0</v>
      </c>
      <c r="F24" s="53">
        <v>10.0</v>
      </c>
      <c r="G24" s="53"/>
      <c r="H24" s="53"/>
      <c r="I24" s="55"/>
      <c r="J24" s="9"/>
      <c r="M24" s="34" t="s">
        <v>36</v>
      </c>
      <c r="N24" s="35">
        <f>SUMIF($A51:$A60,"Pecho",$E51:$E60)</f>
        <v>0</v>
      </c>
      <c r="O24" s="35">
        <f>SUMIF($A51:$A60,"Espalda",$E51:$E60)</f>
        <v>0</v>
      </c>
      <c r="P24" s="35">
        <f>SUMIF($A51:$A60,"Hombros",$E51:$E60)</f>
        <v>0</v>
      </c>
      <c r="Q24" s="35">
        <f>SUMIF($A51:$A60,"Bíceps",$E51:$E60)</f>
        <v>0</v>
      </c>
      <c r="R24" s="35">
        <f>SUMIF($A51:$A60,"Tríceps",$E51:$E60)</f>
        <v>0</v>
      </c>
      <c r="S24" s="35">
        <f>SUMIF($A51:$A60,"Cuádriceps",$E51:$E60)</f>
        <v>0</v>
      </c>
      <c r="T24" s="35">
        <f>SUMIF($A51:$A60,"Isquios",$E51:$E60)</f>
        <v>0</v>
      </c>
      <c r="U24" s="35">
        <f>SUMIF($A51:$A60,"Glúteos",$E51:$E60)</f>
        <v>0</v>
      </c>
      <c r="V24" s="35">
        <f>SUMIF($A51:$A60,"Pantorrillas",$E51:$E60)</f>
        <v>0</v>
      </c>
      <c r="W24" s="35">
        <f>SUMIF($A51:$A60,"Otros",$E51:$E60)</f>
        <v>0</v>
      </c>
    </row>
    <row r="25" ht="14.25" customHeight="1">
      <c r="A25" s="15" t="s">
        <v>31</v>
      </c>
      <c r="B25" s="17" t="s">
        <v>410</v>
      </c>
      <c r="C25" s="18"/>
      <c r="D25" s="20"/>
      <c r="E25" s="15">
        <v>4.0</v>
      </c>
      <c r="F25" s="15">
        <v>8.0</v>
      </c>
      <c r="G25" s="15">
        <v>8.0</v>
      </c>
      <c r="H25" s="15" t="s">
        <v>55</v>
      </c>
      <c r="I25" s="23"/>
      <c r="J25" s="9"/>
      <c r="M25" s="34" t="s">
        <v>7</v>
      </c>
      <c r="N25" s="35" t="str">
        <f>AVERAGEIF($A51:$A60,"Pecho",$G51:$G60)</f>
        <v>#DIV/0!</v>
      </c>
      <c r="O25" s="35" t="str">
        <f>AVERAGEIF($A51:$A60,"Espalda",$G51:$G60)</f>
        <v>#DIV/0!</v>
      </c>
      <c r="P25" s="35" t="str">
        <f>AVERAGEIF($A51:$A60,"Hombros",$G51:$G60)</f>
        <v>#DIV/0!</v>
      </c>
      <c r="Q25" s="35" t="str">
        <f>AVERAGEIF($A51:$A60,"Bíceps",$G51:$G60)</f>
        <v>#DIV/0!</v>
      </c>
      <c r="R25" s="35" t="str">
        <f>AVERAGEIF($A51:$A60,"Tríceps",$G51:$G60)</f>
        <v>#DIV/0!</v>
      </c>
      <c r="S25" s="35" t="str">
        <f>AVERAGEIF($A51:$A60,"Cuádriceps",$G51:$G60)</f>
        <v>#DIV/0!</v>
      </c>
      <c r="T25" s="35" t="str">
        <f>AVERAGEIF($A51:$A60,"Isquios",$G51:$G60)</f>
        <v>#DIV/0!</v>
      </c>
      <c r="U25" s="35" t="str">
        <f>AVERAGEIF($A51:$A60,"Glúteos",$G51:$G60)</f>
        <v>#DIV/0!</v>
      </c>
      <c r="V25" s="35" t="str">
        <f>AVERAGEIF($A51:$A60,"Pantorrillas",$G51:$G60)</f>
        <v>#DIV/0!</v>
      </c>
      <c r="W25" s="35" t="str">
        <f>AVERAGEIF($A51:$A60,"Otros",$G51:$G60)</f>
        <v>#DIV/0!</v>
      </c>
    </row>
    <row r="26" ht="14.25" customHeight="1">
      <c r="A26" s="15" t="s">
        <v>30</v>
      </c>
      <c r="B26" s="17" t="s">
        <v>464</v>
      </c>
      <c r="C26" s="18"/>
      <c r="D26" s="20"/>
      <c r="E26" s="15">
        <v>3.0</v>
      </c>
      <c r="F26" s="15" t="s">
        <v>420</v>
      </c>
      <c r="G26" s="15"/>
      <c r="H26" s="15"/>
      <c r="I26" s="23"/>
      <c r="J26" s="9"/>
      <c r="M26" s="25"/>
      <c r="N26" s="25"/>
      <c r="O26" s="25"/>
      <c r="P26" s="25"/>
      <c r="Q26" s="25"/>
      <c r="R26" s="25"/>
      <c r="S26" s="25"/>
      <c r="T26" s="25"/>
      <c r="U26" s="25"/>
    </row>
    <row r="27" ht="14.25" customHeight="1">
      <c r="A27" s="53" t="s">
        <v>26</v>
      </c>
      <c r="B27" s="54" t="s">
        <v>121</v>
      </c>
      <c r="C27" s="18"/>
      <c r="D27" s="20"/>
      <c r="E27" s="53">
        <v>4.0</v>
      </c>
      <c r="F27" s="53" t="s">
        <v>108</v>
      </c>
      <c r="G27" s="53"/>
      <c r="H27" s="53"/>
      <c r="I27" s="55"/>
      <c r="J27" s="9"/>
      <c r="M27" s="11" t="s">
        <v>76</v>
      </c>
      <c r="N27" s="12"/>
      <c r="O27" s="12"/>
      <c r="P27" s="12"/>
      <c r="Q27" s="12"/>
      <c r="R27" s="12"/>
      <c r="S27" s="12"/>
      <c r="T27" s="12"/>
      <c r="U27" s="12"/>
      <c r="V27" s="12"/>
      <c r="W27" s="13"/>
    </row>
    <row r="28" ht="14.25" customHeight="1">
      <c r="A28" s="53" t="s">
        <v>26</v>
      </c>
      <c r="B28" s="54" t="s">
        <v>197</v>
      </c>
      <c r="C28" s="18"/>
      <c r="D28" s="20"/>
      <c r="E28" s="53">
        <v>3.0</v>
      </c>
      <c r="F28" s="53">
        <v>10.0</v>
      </c>
      <c r="G28" s="53"/>
      <c r="H28" s="53"/>
      <c r="I28" s="55"/>
      <c r="J28" s="9"/>
      <c r="M28" s="25"/>
      <c r="N28" s="28" t="s">
        <v>16</v>
      </c>
      <c r="O28" s="28" t="s">
        <v>26</v>
      </c>
      <c r="P28" s="28" t="s">
        <v>27</v>
      </c>
      <c r="Q28" s="28" t="s">
        <v>28</v>
      </c>
      <c r="R28" s="28" t="s">
        <v>29</v>
      </c>
      <c r="S28" s="28" t="s">
        <v>30</v>
      </c>
      <c r="T28" s="28" t="s">
        <v>31</v>
      </c>
      <c r="U28" s="28" t="s">
        <v>32</v>
      </c>
      <c r="V28" s="28" t="s">
        <v>33</v>
      </c>
      <c r="W28" s="28" t="s">
        <v>12</v>
      </c>
    </row>
    <row r="29" ht="14.25" customHeight="1">
      <c r="A29" s="15" t="s">
        <v>31</v>
      </c>
      <c r="B29" s="17" t="s">
        <v>465</v>
      </c>
      <c r="C29" s="18"/>
      <c r="D29" s="20"/>
      <c r="E29" s="15">
        <v>3.0</v>
      </c>
      <c r="F29" s="15">
        <v>12.0</v>
      </c>
      <c r="G29" s="15"/>
      <c r="H29" s="15"/>
      <c r="I29" s="23"/>
      <c r="J29" s="9"/>
      <c r="M29" s="34" t="s">
        <v>36</v>
      </c>
      <c r="N29" s="35">
        <f>SUMIF($A65:$A74,"Pecho",$E65:$E74)</f>
        <v>0</v>
      </c>
      <c r="O29" s="35">
        <f>SUMIF($A65:$A74,"Espalda",$E65:$E74)</f>
        <v>0</v>
      </c>
      <c r="P29" s="35">
        <f>SUMIF($A65:$A74,"Hombros",$E65:$E74)</f>
        <v>0</v>
      </c>
      <c r="Q29" s="35">
        <f>SUMIF($A65:$A74,"Bíceps",$E65:$E74)</f>
        <v>0</v>
      </c>
      <c r="R29" s="35">
        <f>SUMIF($A65:$A74,"Tríceps",$E65:$E74)</f>
        <v>0</v>
      </c>
      <c r="S29" s="35">
        <f>SUMIF($A65:$A74,"Cuádriceps",$E65:$E74)</f>
        <v>0</v>
      </c>
      <c r="T29" s="35">
        <f>SUMIF($A65:$A74,"Isquios",$E65:$E74)</f>
        <v>0</v>
      </c>
      <c r="U29" s="35">
        <f>SUMIF($A65:$A74,"Glúteos",$E65:$E74)</f>
        <v>0</v>
      </c>
      <c r="V29" s="35">
        <f>SUMIF($A65:$A74,"Pantorrillas",$E65:$E74)</f>
        <v>0</v>
      </c>
      <c r="W29" s="35">
        <f>SUMIF($A65:$A74,"Otros",$E65:$E74)</f>
        <v>0</v>
      </c>
    </row>
    <row r="30" ht="14.25" customHeight="1">
      <c r="A30" s="53" t="s">
        <v>28</v>
      </c>
      <c r="B30" s="56" t="s">
        <v>83</v>
      </c>
      <c r="C30" s="8"/>
      <c r="D30" s="9"/>
      <c r="E30" s="53">
        <v>3.0</v>
      </c>
      <c r="F30" s="53">
        <v>4.0</v>
      </c>
      <c r="G30" s="53"/>
      <c r="H30" s="53"/>
      <c r="I30" s="55"/>
      <c r="J30" s="9"/>
      <c r="M30" s="34" t="s">
        <v>7</v>
      </c>
      <c r="N30" s="35" t="str">
        <f>AVERAGEIF($A65:$A74,"Pecho",$G65:$G74)</f>
        <v>#DIV/0!</v>
      </c>
      <c r="O30" s="35" t="str">
        <f>AVERAGEIF($A65:$A74,"Espalda",$G65:$G74)</f>
        <v>#DIV/0!</v>
      </c>
      <c r="P30" s="35" t="str">
        <f>AVERAGEIF($A65:$A74,"Hombros",$G65:$G74)</f>
        <v>#DIV/0!</v>
      </c>
      <c r="Q30" s="35" t="str">
        <f>AVERAGEIF($A65:$A74,"Bíceps",$G65:$G74)</f>
        <v>#DIV/0!</v>
      </c>
      <c r="R30" s="35" t="str">
        <f>AVERAGEIF($A65:$A74,"Tríceps",$G65:$G74)</f>
        <v>#DIV/0!</v>
      </c>
      <c r="S30" s="35" t="str">
        <f>AVERAGEIF($A65:$A74,"Cuádriceps",$G65:$G74)</f>
        <v>#DIV/0!</v>
      </c>
      <c r="T30" s="35" t="str">
        <f>AVERAGEIF($A65:$A74,"Isquios",$G65:$G74)</f>
        <v>#DIV/0!</v>
      </c>
      <c r="U30" s="35" t="str">
        <f>AVERAGEIF($A65:$A74,"Glúteos",$G65:$G74)</f>
        <v>#DIV/0!</v>
      </c>
      <c r="V30" s="35" t="str">
        <f>AVERAGEIF($A65:$A74,"Pantorrillas",$G65:$G74)</f>
        <v>#DIV/0!</v>
      </c>
      <c r="W30" s="35" t="str">
        <f>AVERAGEIF($A65:$A74,"Otros",$G65:$G74)</f>
        <v>#DIV/0!</v>
      </c>
    </row>
    <row r="31" ht="14.25" customHeight="1">
      <c r="A31" s="53" t="s">
        <v>29</v>
      </c>
      <c r="B31" s="138" t="s">
        <v>466</v>
      </c>
      <c r="C31" s="8"/>
      <c r="D31" s="9"/>
      <c r="E31" s="53">
        <v>3.0</v>
      </c>
      <c r="F31" s="53">
        <v>12.0</v>
      </c>
      <c r="G31" s="53"/>
      <c r="H31" s="53"/>
      <c r="I31" s="57"/>
      <c r="J31" s="59"/>
      <c r="M31" s="65"/>
      <c r="N31" s="25"/>
      <c r="O31" s="25"/>
      <c r="P31" s="25"/>
      <c r="Q31" s="25"/>
      <c r="R31" s="25"/>
      <c r="S31" s="25"/>
      <c r="T31" s="25"/>
      <c r="U31" s="25"/>
      <c r="V31" s="25"/>
      <c r="W31" s="25"/>
    </row>
    <row r="32" ht="14.25" customHeight="1">
      <c r="A32" s="53" t="s">
        <v>12</v>
      </c>
      <c r="B32" s="56" t="s">
        <v>467</v>
      </c>
      <c r="C32" s="8"/>
      <c r="D32" s="9"/>
      <c r="E32" s="53">
        <v>3.0</v>
      </c>
      <c r="F32" s="53">
        <v>10.0</v>
      </c>
      <c r="G32" s="53"/>
      <c r="H32" s="53"/>
      <c r="I32" s="55"/>
      <c r="J32" s="9"/>
    </row>
    <row r="33" ht="14.25" customHeight="1">
      <c r="B33" s="26"/>
      <c r="C33" s="29"/>
      <c r="D33" s="29"/>
    </row>
    <row r="34" ht="14.25" customHeight="1"/>
    <row r="35" ht="14.25" customHeight="1">
      <c r="A35" s="2" t="s">
        <v>427</v>
      </c>
      <c r="B35" s="3"/>
      <c r="C35" s="4"/>
      <c r="J35" s="1"/>
    </row>
    <row r="36" ht="14.25" customHeight="1">
      <c r="A36" s="5" t="s">
        <v>2</v>
      </c>
      <c r="B36" s="7" t="s">
        <v>4</v>
      </c>
      <c r="C36" s="8"/>
      <c r="D36" s="9"/>
      <c r="E36" s="5" t="s">
        <v>5</v>
      </c>
      <c r="F36" s="5" t="s">
        <v>6</v>
      </c>
      <c r="G36" s="5" t="s">
        <v>7</v>
      </c>
      <c r="H36" s="5" t="s">
        <v>8</v>
      </c>
      <c r="I36" s="7" t="s">
        <v>9</v>
      </c>
      <c r="J36" s="9"/>
    </row>
    <row r="37" ht="14.25" customHeight="1">
      <c r="A37" s="53" t="s">
        <v>12</v>
      </c>
      <c r="B37" s="54" t="s">
        <v>440</v>
      </c>
      <c r="C37" s="18"/>
      <c r="D37" s="20"/>
      <c r="E37" s="53">
        <v>3.0</v>
      </c>
      <c r="F37" s="53">
        <v>10.0</v>
      </c>
      <c r="G37" s="53"/>
      <c r="H37" s="53"/>
      <c r="I37" s="55"/>
      <c r="J37" s="9"/>
    </row>
    <row r="38" ht="14.25" customHeight="1">
      <c r="A38" s="53" t="s">
        <v>12</v>
      </c>
      <c r="B38" s="54" t="s">
        <v>368</v>
      </c>
      <c r="C38" s="18"/>
      <c r="D38" s="20"/>
      <c r="E38" s="53">
        <v>3.0</v>
      </c>
      <c r="F38" s="53">
        <v>12.0</v>
      </c>
      <c r="G38" s="53"/>
      <c r="H38" s="53"/>
      <c r="I38" s="55"/>
      <c r="J38" s="9"/>
    </row>
    <row r="39" ht="14.25" customHeight="1">
      <c r="A39" s="53" t="s">
        <v>12</v>
      </c>
      <c r="B39" s="54" t="s">
        <v>469</v>
      </c>
      <c r="C39" s="18"/>
      <c r="D39" s="20"/>
      <c r="E39" s="53">
        <v>3.0</v>
      </c>
      <c r="F39" s="53">
        <v>12.0</v>
      </c>
      <c r="G39" s="53"/>
      <c r="H39" s="53"/>
      <c r="I39" s="55"/>
      <c r="J39" s="9"/>
    </row>
    <row r="40" ht="14.25" customHeight="1">
      <c r="A40" s="15" t="s">
        <v>31</v>
      </c>
      <c r="B40" s="17" t="s">
        <v>471</v>
      </c>
      <c r="C40" s="18"/>
      <c r="D40" s="20"/>
      <c r="E40" s="15">
        <v>3.0</v>
      </c>
      <c r="F40" s="15">
        <v>6.0</v>
      </c>
      <c r="G40" s="15">
        <v>8.0</v>
      </c>
      <c r="H40" s="15" t="s">
        <v>55</v>
      </c>
      <c r="I40" s="23"/>
      <c r="J40" s="9"/>
    </row>
    <row r="41" ht="14.25" customHeight="1">
      <c r="A41" s="15" t="s">
        <v>16</v>
      </c>
      <c r="B41" s="17" t="s">
        <v>472</v>
      </c>
      <c r="C41" s="18"/>
      <c r="D41" s="20"/>
      <c r="E41" s="15">
        <v>3.0</v>
      </c>
      <c r="F41" s="15">
        <v>6.0</v>
      </c>
      <c r="G41" s="15"/>
      <c r="H41" s="15"/>
      <c r="I41" s="23"/>
      <c r="J41" s="9"/>
    </row>
    <row r="42" ht="14.25" customHeight="1">
      <c r="A42" s="53" t="s">
        <v>16</v>
      </c>
      <c r="B42" s="54" t="s">
        <v>460</v>
      </c>
      <c r="C42" s="18"/>
      <c r="D42" s="20"/>
      <c r="E42" s="53">
        <v>3.0</v>
      </c>
      <c r="F42" s="53">
        <v>12.0</v>
      </c>
      <c r="G42" s="53"/>
      <c r="H42" s="53"/>
      <c r="I42" s="55"/>
      <c r="J42" s="9"/>
    </row>
    <row r="43" ht="14.25" customHeight="1">
      <c r="A43" s="53" t="s">
        <v>32</v>
      </c>
      <c r="B43" s="54" t="s">
        <v>473</v>
      </c>
      <c r="C43" s="18"/>
      <c r="D43" s="20"/>
      <c r="E43" s="53">
        <v>3.0</v>
      </c>
      <c r="F43" s="53" t="s">
        <v>475</v>
      </c>
      <c r="G43" s="53"/>
      <c r="H43" s="53"/>
      <c r="I43" s="55"/>
      <c r="J43" s="9"/>
    </row>
    <row r="44" ht="14.25" customHeight="1">
      <c r="A44" s="15" t="s">
        <v>29</v>
      </c>
      <c r="B44" s="17" t="s">
        <v>476</v>
      </c>
      <c r="C44" s="18"/>
      <c r="D44" s="20"/>
      <c r="E44" s="15">
        <v>4.0</v>
      </c>
      <c r="F44" s="15">
        <v>10.0</v>
      </c>
      <c r="G44" s="15"/>
      <c r="H44" s="15"/>
      <c r="I44" s="23"/>
      <c r="J44" s="9"/>
    </row>
    <row r="45" ht="14.25" customHeight="1">
      <c r="A45" s="53" t="s">
        <v>31</v>
      </c>
      <c r="B45" s="54" t="s">
        <v>477</v>
      </c>
      <c r="C45" s="18"/>
      <c r="D45" s="20"/>
      <c r="E45" s="53">
        <v>4.0</v>
      </c>
      <c r="F45" s="53">
        <v>12.0</v>
      </c>
      <c r="G45" s="53"/>
      <c r="H45" s="53"/>
      <c r="I45" s="55"/>
      <c r="J45" s="9"/>
    </row>
    <row r="46" ht="14.25" customHeight="1">
      <c r="A46" s="53" t="s">
        <v>12</v>
      </c>
      <c r="B46" s="56" t="s">
        <v>478</v>
      </c>
      <c r="C46" s="8"/>
      <c r="D46" s="9"/>
      <c r="E46" s="53">
        <v>3.0</v>
      </c>
      <c r="F46" s="53">
        <v>12.0</v>
      </c>
      <c r="G46" s="53"/>
      <c r="H46" s="53"/>
      <c r="I46" s="55"/>
      <c r="J46" s="9"/>
    </row>
    <row r="47" ht="14.25" customHeight="1">
      <c r="B47" s="26"/>
      <c r="C47" s="29"/>
      <c r="D47" s="29"/>
    </row>
    <row r="48" ht="14.25" customHeight="1"/>
    <row r="49" ht="14.25" customHeight="1">
      <c r="A49" s="2" t="s">
        <v>66</v>
      </c>
      <c r="B49" s="3"/>
      <c r="C49" s="4"/>
      <c r="J49" s="1"/>
    </row>
    <row r="50" ht="14.25" customHeight="1">
      <c r="A50" s="6" t="s">
        <v>2</v>
      </c>
      <c r="B50" s="10" t="s">
        <v>4</v>
      </c>
      <c r="C50" s="8"/>
      <c r="D50" s="9"/>
      <c r="E50" s="6" t="s">
        <v>5</v>
      </c>
      <c r="F50" s="6" t="s">
        <v>6</v>
      </c>
      <c r="G50" s="6" t="s">
        <v>7</v>
      </c>
      <c r="H50" s="6" t="s">
        <v>8</v>
      </c>
      <c r="I50" s="10" t="s">
        <v>9</v>
      </c>
      <c r="J50" s="9"/>
    </row>
    <row r="51" ht="14.25" customHeight="1">
      <c r="A51" s="16"/>
      <c r="B51" s="26"/>
      <c r="C51" s="29"/>
      <c r="D51" s="29"/>
      <c r="E51" s="16"/>
      <c r="F51" s="16"/>
      <c r="G51" s="16"/>
      <c r="H51" s="16"/>
      <c r="I51" s="24"/>
      <c r="J51" s="9"/>
    </row>
    <row r="52" ht="14.25" customHeight="1">
      <c r="A52" s="16"/>
      <c r="B52" s="26"/>
      <c r="C52" s="29"/>
      <c r="D52" s="29"/>
      <c r="E52" s="16"/>
      <c r="F52" s="16"/>
      <c r="G52" s="16"/>
      <c r="H52" s="16"/>
      <c r="I52" s="24"/>
      <c r="J52" s="9"/>
    </row>
    <row r="53" ht="14.25" customHeight="1">
      <c r="A53" s="16" t="s">
        <v>12</v>
      </c>
      <c r="B53" s="26" t="s">
        <v>329</v>
      </c>
      <c r="C53" s="29"/>
      <c r="D53" s="29"/>
      <c r="E53" s="16"/>
      <c r="F53" s="16">
        <v>10.0</v>
      </c>
      <c r="G53" s="16"/>
      <c r="H53" s="16"/>
      <c r="I53" s="24"/>
      <c r="J53" s="9"/>
    </row>
    <row r="54" ht="14.25" customHeight="1">
      <c r="A54" s="16" t="s">
        <v>31</v>
      </c>
      <c r="B54" s="30" t="s">
        <v>331</v>
      </c>
      <c r="C54" s="18"/>
      <c r="D54" s="20"/>
      <c r="E54" s="27"/>
      <c r="F54" s="27">
        <v>10.0</v>
      </c>
      <c r="G54" s="27"/>
      <c r="H54" s="27"/>
      <c r="I54" s="24"/>
      <c r="J54" s="9"/>
    </row>
    <row r="55" ht="14.25" customHeight="1">
      <c r="A55" s="16" t="s">
        <v>32</v>
      </c>
      <c r="B55" s="30" t="s">
        <v>333</v>
      </c>
      <c r="C55" s="18"/>
      <c r="D55" s="20"/>
      <c r="E55" s="27"/>
      <c r="F55" s="27" t="s">
        <v>278</v>
      </c>
      <c r="G55" s="27"/>
      <c r="H55" s="27"/>
      <c r="I55" s="24"/>
      <c r="J55" s="9"/>
    </row>
    <row r="56" ht="14.25" customHeight="1">
      <c r="A56" s="16" t="s">
        <v>26</v>
      </c>
      <c r="B56" s="30" t="s">
        <v>335</v>
      </c>
      <c r="C56" s="18"/>
      <c r="D56" s="20"/>
      <c r="E56" s="27"/>
      <c r="F56" s="27">
        <v>8.0</v>
      </c>
      <c r="G56" s="27"/>
      <c r="H56" s="27"/>
      <c r="I56" s="24"/>
      <c r="J56" s="9"/>
    </row>
    <row r="57" ht="14.25" customHeight="1">
      <c r="A57" s="16" t="s">
        <v>32</v>
      </c>
      <c r="B57" s="30" t="s">
        <v>338</v>
      </c>
      <c r="C57" s="18"/>
      <c r="D57" s="20"/>
      <c r="E57" s="27"/>
      <c r="F57" s="27">
        <v>8.0</v>
      </c>
      <c r="G57" s="27"/>
      <c r="H57" s="27"/>
      <c r="I57" s="24"/>
      <c r="J57" s="9"/>
    </row>
    <row r="58" ht="14.25" customHeight="1">
      <c r="A58" s="16" t="s">
        <v>26</v>
      </c>
      <c r="B58" s="30" t="s">
        <v>340</v>
      </c>
      <c r="C58" s="18"/>
      <c r="D58" s="20"/>
      <c r="E58" s="27"/>
      <c r="F58" s="27">
        <v>10.0</v>
      </c>
      <c r="G58" s="27"/>
      <c r="H58" s="27"/>
      <c r="I58" s="24"/>
      <c r="J58" s="9"/>
    </row>
    <row r="59" ht="14.25" customHeight="1">
      <c r="A59" s="16" t="s">
        <v>28</v>
      </c>
      <c r="B59" s="30" t="s">
        <v>341</v>
      </c>
      <c r="C59" s="18"/>
      <c r="D59" s="20"/>
      <c r="E59" s="27"/>
      <c r="F59" s="27"/>
      <c r="G59" s="27"/>
      <c r="H59" s="27"/>
      <c r="I59" s="24"/>
      <c r="J59" s="9"/>
    </row>
    <row r="60" ht="14.25" customHeight="1">
      <c r="A60" s="16" t="s">
        <v>33</v>
      </c>
      <c r="B60" s="60" t="s">
        <v>342</v>
      </c>
      <c r="C60" s="8"/>
      <c r="D60" s="9"/>
      <c r="E60" s="27"/>
      <c r="F60" s="27">
        <v>10.0</v>
      </c>
      <c r="G60" s="27"/>
      <c r="H60" s="27"/>
      <c r="I60" s="24"/>
      <c r="J60" s="9"/>
    </row>
    <row r="61" ht="14.25" customHeight="1">
      <c r="B61" s="26"/>
      <c r="C61" s="29"/>
      <c r="D61" s="29"/>
    </row>
    <row r="62" ht="14.25" customHeight="1"/>
    <row r="63" ht="14.25" customHeight="1">
      <c r="A63" s="2" t="s">
        <v>76</v>
      </c>
      <c r="B63" s="3"/>
      <c r="C63" s="4"/>
      <c r="J63" s="1"/>
    </row>
    <row r="64" ht="14.25" customHeight="1">
      <c r="A64" s="6" t="s">
        <v>2</v>
      </c>
      <c r="B64" s="10" t="s">
        <v>4</v>
      </c>
      <c r="C64" s="8"/>
      <c r="D64" s="9"/>
      <c r="E64" s="6" t="s">
        <v>5</v>
      </c>
      <c r="F64" s="6" t="s">
        <v>6</v>
      </c>
      <c r="G64" s="6" t="s">
        <v>7</v>
      </c>
      <c r="H64" s="6" t="s">
        <v>8</v>
      </c>
      <c r="I64" s="10" t="s">
        <v>9</v>
      </c>
      <c r="J64" s="9"/>
    </row>
    <row r="65" ht="14.25" customHeight="1">
      <c r="A65" s="16"/>
      <c r="B65" s="26"/>
      <c r="C65" s="29"/>
      <c r="D65" s="29"/>
      <c r="E65" s="16"/>
      <c r="F65" s="16"/>
      <c r="G65" s="16"/>
      <c r="H65" s="16"/>
      <c r="I65" s="24"/>
      <c r="J65" s="9"/>
    </row>
    <row r="66" ht="14.25" customHeight="1">
      <c r="A66" s="16"/>
      <c r="B66" s="26"/>
      <c r="C66" s="29"/>
      <c r="D66" s="29"/>
      <c r="E66" s="16"/>
      <c r="F66" s="16"/>
      <c r="G66" s="16"/>
      <c r="H66" s="16"/>
      <c r="I66" s="24"/>
      <c r="J66" s="9"/>
    </row>
    <row r="67" ht="14.25" customHeight="1">
      <c r="A67" s="16"/>
      <c r="B67" s="26"/>
      <c r="C67" s="29"/>
      <c r="D67" s="29"/>
      <c r="E67" s="16"/>
      <c r="F67" s="16"/>
      <c r="G67" s="16"/>
      <c r="H67" s="16"/>
      <c r="I67" s="24"/>
      <c r="J67" s="9"/>
    </row>
    <row r="68" ht="14.25" customHeight="1">
      <c r="A68" s="16"/>
      <c r="B68" s="26"/>
      <c r="C68" s="29"/>
      <c r="D68" s="29"/>
      <c r="E68" s="16"/>
      <c r="F68" s="16"/>
      <c r="G68" s="16"/>
      <c r="H68" s="16"/>
      <c r="I68" s="24"/>
      <c r="J68" s="9"/>
    </row>
    <row r="69" ht="14.25" customHeight="1">
      <c r="A69" s="16"/>
      <c r="B69" s="26"/>
      <c r="C69" s="29"/>
      <c r="D69" s="29"/>
      <c r="E69" s="16"/>
      <c r="F69" s="16"/>
      <c r="G69" s="16"/>
      <c r="H69" s="16"/>
      <c r="I69" s="24"/>
      <c r="J69" s="9"/>
    </row>
    <row r="70" ht="14.25" customHeight="1">
      <c r="A70" s="16"/>
      <c r="B70" s="26"/>
      <c r="C70" s="29"/>
      <c r="D70" s="29"/>
      <c r="E70" s="16"/>
      <c r="F70" s="16"/>
      <c r="G70" s="16"/>
      <c r="H70" s="16"/>
      <c r="I70" s="24"/>
      <c r="J70" s="9"/>
    </row>
    <row r="71" ht="14.25" customHeight="1">
      <c r="A71" s="16"/>
      <c r="B71" s="26"/>
      <c r="C71" s="29"/>
      <c r="D71" s="29"/>
      <c r="E71" s="16"/>
      <c r="F71" s="16"/>
      <c r="G71" s="16"/>
      <c r="H71" s="16"/>
      <c r="I71" s="24"/>
      <c r="J71" s="9"/>
    </row>
    <row r="72" ht="14.25" customHeight="1">
      <c r="A72" s="16"/>
      <c r="B72" s="26"/>
      <c r="C72" s="29"/>
      <c r="D72" s="29"/>
      <c r="E72" s="16"/>
      <c r="F72" s="16"/>
      <c r="G72" s="16"/>
      <c r="H72" s="16"/>
      <c r="I72" s="24"/>
      <c r="J72" s="9"/>
    </row>
    <row r="73" ht="14.25" customHeight="1">
      <c r="A73" s="16"/>
      <c r="B73" s="26"/>
      <c r="C73" s="29"/>
      <c r="D73" s="29"/>
      <c r="E73" s="16"/>
      <c r="F73" s="16"/>
      <c r="G73" s="16"/>
      <c r="H73" s="16"/>
      <c r="I73" s="24"/>
      <c r="J73" s="9"/>
    </row>
    <row r="74" ht="14.25" customHeight="1">
      <c r="A74" s="16"/>
      <c r="B74" s="58"/>
      <c r="C74" s="8"/>
      <c r="D74" s="9"/>
      <c r="E74" s="16"/>
      <c r="F74" s="16"/>
      <c r="G74" s="16"/>
      <c r="H74" s="16"/>
      <c r="I74" s="24"/>
      <c r="J74" s="9"/>
    </row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6">
    <mergeCell ref="I26:J26"/>
    <mergeCell ref="I27:J27"/>
    <mergeCell ref="I11:J11"/>
    <mergeCell ref="I13:J13"/>
    <mergeCell ref="I21:J21"/>
    <mergeCell ref="I22:J22"/>
    <mergeCell ref="I23:J23"/>
    <mergeCell ref="I24:J24"/>
    <mergeCell ref="I25:J25"/>
    <mergeCell ref="A6:C6"/>
    <mergeCell ref="B7:D7"/>
    <mergeCell ref="I7:J7"/>
    <mergeCell ref="M7:W7"/>
    <mergeCell ref="Z7:AB7"/>
    <mergeCell ref="B8:D8"/>
    <mergeCell ref="B9:D9"/>
    <mergeCell ref="I12:J12"/>
    <mergeCell ref="M12:W12"/>
    <mergeCell ref="I8:J8"/>
    <mergeCell ref="I9:J9"/>
    <mergeCell ref="B10:D10"/>
    <mergeCell ref="I10:J10"/>
    <mergeCell ref="B11:D11"/>
    <mergeCell ref="B12:D12"/>
    <mergeCell ref="B13:D13"/>
    <mergeCell ref="I17:J17"/>
    <mergeCell ref="M17:W17"/>
    <mergeCell ref="M22:W22"/>
    <mergeCell ref="B14:D14"/>
    <mergeCell ref="I14:J14"/>
    <mergeCell ref="B15:D15"/>
    <mergeCell ref="I15:J15"/>
    <mergeCell ref="B16:D16"/>
    <mergeCell ref="I16:J16"/>
    <mergeCell ref="B17:D17"/>
    <mergeCell ref="B26:D26"/>
    <mergeCell ref="B27:D27"/>
    <mergeCell ref="M27:W27"/>
    <mergeCell ref="I28:J28"/>
    <mergeCell ref="B18:D18"/>
    <mergeCell ref="A20:C20"/>
    <mergeCell ref="B21:D21"/>
    <mergeCell ref="B22:D22"/>
    <mergeCell ref="B23:D23"/>
    <mergeCell ref="B24:D24"/>
    <mergeCell ref="B25:D25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A63:C63"/>
    <mergeCell ref="B64:D64"/>
    <mergeCell ref="B72:D72"/>
    <mergeCell ref="B73:D73"/>
    <mergeCell ref="B74:D74"/>
    <mergeCell ref="B65:D65"/>
    <mergeCell ref="B66:D66"/>
    <mergeCell ref="B67:D67"/>
    <mergeCell ref="B68:D68"/>
    <mergeCell ref="B69:D69"/>
    <mergeCell ref="B70:D70"/>
    <mergeCell ref="B71:D71"/>
    <mergeCell ref="I70:J70"/>
    <mergeCell ref="I71:J71"/>
    <mergeCell ref="I72:J72"/>
    <mergeCell ref="I73:J73"/>
    <mergeCell ref="I74:J74"/>
    <mergeCell ref="I60:J60"/>
    <mergeCell ref="I64:J64"/>
    <mergeCell ref="I65:J65"/>
    <mergeCell ref="I66:J66"/>
    <mergeCell ref="I67:J67"/>
    <mergeCell ref="I68:J68"/>
    <mergeCell ref="I69:J69"/>
    <mergeCell ref="B28:D28"/>
    <mergeCell ref="B29:D29"/>
    <mergeCell ref="I29:J29"/>
    <mergeCell ref="B30:D30"/>
    <mergeCell ref="I30:J30"/>
    <mergeCell ref="B31:D31"/>
    <mergeCell ref="I32:J32"/>
    <mergeCell ref="I37:J37"/>
    <mergeCell ref="I38:J38"/>
    <mergeCell ref="B32:D32"/>
    <mergeCell ref="B33:D33"/>
    <mergeCell ref="A35:C35"/>
    <mergeCell ref="B36:D36"/>
    <mergeCell ref="I36:J36"/>
    <mergeCell ref="B37:D37"/>
    <mergeCell ref="B38:D38"/>
    <mergeCell ref="B39:D39"/>
    <mergeCell ref="I39:J39"/>
    <mergeCell ref="B40:D40"/>
    <mergeCell ref="I40:J40"/>
    <mergeCell ref="B41:D41"/>
    <mergeCell ref="I41:J41"/>
    <mergeCell ref="I42:J42"/>
    <mergeCell ref="B42:D42"/>
    <mergeCell ref="B43:D43"/>
    <mergeCell ref="B44:D44"/>
    <mergeCell ref="B45:D45"/>
    <mergeCell ref="B46:D46"/>
    <mergeCell ref="B47:D47"/>
    <mergeCell ref="A49:C49"/>
    <mergeCell ref="I43:J43"/>
    <mergeCell ref="I44:J44"/>
    <mergeCell ref="I45:J45"/>
    <mergeCell ref="I46:J46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</mergeCells>
  <dataValidations>
    <dataValidation type="list" allowBlank="1" showErrorMessage="1" sqref="A8:A17 A22:A32 A37:A46 A51:A60 A65:A74">
      <formula1>Datos!$D$2:$D$11</formula1>
    </dataValidation>
    <dataValidation type="list" allowBlank="1" showErrorMessage="1" sqref="J5">
      <formula1>Datos!$B$2:$B$12</formula1>
    </dataValidation>
    <dataValidation type="list" allowBlank="1" showErrorMessage="1" sqref="J6 J20 J35 J49 J63">
      <formula1>Datos!$D$2:$D$14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10.71"/>
    <col customWidth="1" min="24" max="24" width="7.86"/>
    <col customWidth="1" min="25" max="25" width="15.43"/>
    <col customWidth="1" min="26" max="28" width="10.71"/>
  </cols>
  <sheetData>
    <row r="1" ht="14.25" customHeight="1"/>
    <row r="2" ht="14.25" customHeight="1"/>
    <row r="3" ht="14.25" customHeight="1"/>
    <row r="4" ht="14.25" customHeight="1"/>
    <row r="5" ht="14.25" customHeight="1">
      <c r="J5" s="1"/>
    </row>
    <row r="6" ht="14.25" customHeight="1">
      <c r="A6" s="2" t="s">
        <v>468</v>
      </c>
      <c r="B6" s="3"/>
      <c r="C6" s="4"/>
      <c r="J6" s="1"/>
    </row>
    <row r="7" ht="14.25" customHeight="1">
      <c r="A7" s="5" t="s">
        <v>2</v>
      </c>
      <c r="B7" s="7" t="s">
        <v>4</v>
      </c>
      <c r="C7" s="8"/>
      <c r="D7" s="9"/>
      <c r="E7" s="5" t="s">
        <v>5</v>
      </c>
      <c r="F7" s="5" t="s">
        <v>6</v>
      </c>
      <c r="G7" s="5" t="s">
        <v>7</v>
      </c>
      <c r="H7" s="5" t="s">
        <v>8</v>
      </c>
      <c r="I7" s="7" t="s">
        <v>9</v>
      </c>
      <c r="J7" s="9"/>
      <c r="M7" s="11" t="s">
        <v>0</v>
      </c>
      <c r="N7" s="12"/>
      <c r="O7" s="12"/>
      <c r="P7" s="12"/>
      <c r="Q7" s="12"/>
      <c r="R7" s="12"/>
      <c r="S7" s="12"/>
      <c r="T7" s="12"/>
      <c r="U7" s="12"/>
      <c r="V7" s="12"/>
      <c r="W7" s="13"/>
      <c r="Y7" s="1"/>
      <c r="Z7" s="14" t="s">
        <v>10</v>
      </c>
      <c r="AA7" s="12"/>
      <c r="AB7" s="13"/>
    </row>
    <row r="8" ht="14.25" customHeight="1">
      <c r="A8" s="53" t="s">
        <v>12</v>
      </c>
      <c r="B8" s="54" t="s">
        <v>470</v>
      </c>
      <c r="C8" s="18"/>
      <c r="D8" s="20"/>
      <c r="E8" s="53">
        <v>2.0</v>
      </c>
      <c r="F8" s="53">
        <v>10.0</v>
      </c>
      <c r="G8" s="53"/>
      <c r="H8" s="53"/>
      <c r="I8" s="55"/>
      <c r="J8" s="9"/>
      <c r="M8" s="25"/>
      <c r="N8" s="28" t="s">
        <v>16</v>
      </c>
      <c r="O8" s="28" t="s">
        <v>26</v>
      </c>
      <c r="P8" s="28" t="s">
        <v>27</v>
      </c>
      <c r="Q8" s="28" t="s">
        <v>28</v>
      </c>
      <c r="R8" s="28" t="s">
        <v>29</v>
      </c>
      <c r="S8" s="28" t="s">
        <v>30</v>
      </c>
      <c r="T8" s="28" t="s">
        <v>31</v>
      </c>
      <c r="U8" s="28" t="s">
        <v>32</v>
      </c>
      <c r="V8" s="28" t="s">
        <v>33</v>
      </c>
      <c r="W8" s="28" t="s">
        <v>12</v>
      </c>
      <c r="Z8" s="28" t="s">
        <v>16</v>
      </c>
      <c r="AA8" s="1">
        <f>SUM(N9,N14,N19,N24,N29)</f>
        <v>12</v>
      </c>
    </row>
    <row r="9" ht="14.25" customHeight="1">
      <c r="A9" s="53" t="s">
        <v>12</v>
      </c>
      <c r="B9" s="54" t="s">
        <v>474</v>
      </c>
      <c r="C9" s="18"/>
      <c r="D9" s="20"/>
      <c r="E9" s="53">
        <v>3.0</v>
      </c>
      <c r="F9" s="53">
        <v>12.0</v>
      </c>
      <c r="G9" s="53"/>
      <c r="H9" s="53"/>
      <c r="I9" s="55"/>
      <c r="J9" s="9"/>
      <c r="M9" s="34" t="s">
        <v>36</v>
      </c>
      <c r="N9" s="37">
        <f>SUMIF(A8:A17,"Pecho",E8:E17)</f>
        <v>0</v>
      </c>
      <c r="O9" s="37">
        <f>SUMIF(A8:A17,"Espalda",E8:E17)</f>
        <v>0</v>
      </c>
      <c r="P9" s="37">
        <f>SUMIF($A8:$A17,"Hombros",$E8:$E17)</f>
        <v>4</v>
      </c>
      <c r="Q9" s="37">
        <f>SUMIF($A8:$A17,"Bíceps",$E8:$E17)</f>
        <v>0</v>
      </c>
      <c r="R9" s="37">
        <f>SUMIF($A8:$A17,"Tríceps",$E8:$E17)</f>
        <v>0</v>
      </c>
      <c r="S9" s="38">
        <f>SUMIF(A8:A17,"Cuádriceps",E8:E17)</f>
        <v>15</v>
      </c>
      <c r="T9" s="37">
        <f>SUMIF($A8:$A17,"Isquios",$E8:$E17)</f>
        <v>0</v>
      </c>
      <c r="U9" s="37">
        <f>SUMIF($A8:$A17,"Glúteos",$E8:$E17)</f>
        <v>6</v>
      </c>
      <c r="V9" s="37">
        <f>SUMIF($A8:$A17,"Pantorrillas",$E8:$E17)</f>
        <v>0</v>
      </c>
      <c r="W9" s="37">
        <f>SUMIF($A8:$A17,"Otros",$E8:$E17)</f>
        <v>8</v>
      </c>
      <c r="Z9" s="28" t="s">
        <v>26</v>
      </c>
      <c r="AA9" s="1">
        <f>SUM(O9,O14,O19,O24,O29)</f>
        <v>13</v>
      </c>
    </row>
    <row r="10" ht="14.25" customHeight="1">
      <c r="A10" s="53" t="s">
        <v>12</v>
      </c>
      <c r="B10" s="54" t="s">
        <v>480</v>
      </c>
      <c r="C10" s="18"/>
      <c r="D10" s="20"/>
      <c r="E10" s="53">
        <v>3.0</v>
      </c>
      <c r="F10" s="53">
        <v>10.0</v>
      </c>
      <c r="G10" s="53"/>
      <c r="H10" s="53"/>
      <c r="I10" s="55"/>
      <c r="J10" s="9"/>
      <c r="M10" s="34" t="s">
        <v>7</v>
      </c>
      <c r="N10" s="35" t="str">
        <f>AVERAGEIF($A8:$A17,"Pecho",$G8:$G17)</f>
        <v>#DIV/0!</v>
      </c>
      <c r="O10" s="35" t="str">
        <f>AVERAGEIF($A8:$A17,"Espalda",$G8:$G17)</f>
        <v>#DIV/0!</v>
      </c>
      <c r="P10" s="35">
        <f>AVERAGEIF($A8:$A17,"Hombros",$G8:$G17)</f>
        <v>8</v>
      </c>
      <c r="Q10" s="35" t="str">
        <f>AVERAGEIF($A8:$A17,"Bíceps",$G8:$G17)</f>
        <v>#DIV/0!</v>
      </c>
      <c r="R10" s="35" t="str">
        <f>AVERAGEIF($A8:$A17,"Tríceps",$G8:$G17)</f>
        <v>#DIV/0!</v>
      </c>
      <c r="S10" s="35">
        <f>AVERAGEIF($A8:$A17,"Cuádriceps",$G8:$G17)</f>
        <v>8</v>
      </c>
      <c r="T10" s="35" t="str">
        <f>AVERAGEIF($A8:$A17,"Isquios",$G8:$G17)</f>
        <v>#DIV/0!</v>
      </c>
      <c r="U10" s="35">
        <f>AVERAGEIF($A8:$A17,"Glúteos",$G8:$G17)</f>
        <v>8</v>
      </c>
      <c r="V10" s="35" t="str">
        <f>AVERAGEIF($A8:$A17,"Pantorrillas",$G8:$G17)</f>
        <v>#DIV/0!</v>
      </c>
      <c r="W10" s="35" t="str">
        <f>AVERAGEIF($A8:$A17,"Otros",$G8:$G17)</f>
        <v>#DIV/0!</v>
      </c>
      <c r="Z10" s="28" t="s">
        <v>27</v>
      </c>
      <c r="AA10" s="1">
        <f>SUM(P9,P14,P19,P24,P29)</f>
        <v>10</v>
      </c>
    </row>
    <row r="11" ht="14.25" customHeight="1">
      <c r="A11" s="49" t="s">
        <v>30</v>
      </c>
      <c r="B11" s="50" t="s">
        <v>483</v>
      </c>
      <c r="C11" s="18"/>
      <c r="D11" s="20"/>
      <c r="E11" s="49">
        <v>4.0</v>
      </c>
      <c r="F11" s="49">
        <v>5.0</v>
      </c>
      <c r="G11" s="49">
        <v>8.0</v>
      </c>
      <c r="H11" s="49" t="s">
        <v>55</v>
      </c>
      <c r="I11" s="51"/>
      <c r="J11" s="9"/>
      <c r="M11" s="25"/>
      <c r="N11" s="25"/>
      <c r="O11" s="25"/>
      <c r="P11" s="25"/>
      <c r="Q11" s="25"/>
      <c r="R11" s="25"/>
      <c r="S11" s="25"/>
      <c r="T11" s="25"/>
      <c r="U11" s="25"/>
      <c r="Z11" s="28" t="s">
        <v>28</v>
      </c>
      <c r="AA11" s="1">
        <f>SUM(Q9,Q14,Q19,Q24,Q29)</f>
        <v>4</v>
      </c>
    </row>
    <row r="12" ht="14.25" customHeight="1">
      <c r="A12" s="53" t="s">
        <v>30</v>
      </c>
      <c r="B12" s="54" t="s">
        <v>484</v>
      </c>
      <c r="C12" s="18"/>
      <c r="D12" s="20"/>
      <c r="E12" s="53">
        <v>4.0</v>
      </c>
      <c r="F12" s="53">
        <v>8.0</v>
      </c>
      <c r="G12" s="53">
        <v>8.0</v>
      </c>
      <c r="H12" s="53"/>
      <c r="I12" s="55"/>
      <c r="J12" s="9"/>
      <c r="M12" s="11" t="s">
        <v>45</v>
      </c>
      <c r="N12" s="12"/>
      <c r="O12" s="12"/>
      <c r="P12" s="12"/>
      <c r="Q12" s="12"/>
      <c r="R12" s="12"/>
      <c r="S12" s="12"/>
      <c r="T12" s="12"/>
      <c r="U12" s="12"/>
      <c r="V12" s="12"/>
      <c r="W12" s="13"/>
      <c r="Z12" s="28" t="s">
        <v>29</v>
      </c>
      <c r="AA12" s="1">
        <f>SUM(R9,R14,R19,R24,R29)</f>
        <v>3</v>
      </c>
    </row>
    <row r="13" ht="14.25" customHeight="1">
      <c r="A13" s="53" t="s">
        <v>30</v>
      </c>
      <c r="B13" s="54" t="s">
        <v>485</v>
      </c>
      <c r="C13" s="18"/>
      <c r="D13" s="20"/>
      <c r="E13" s="53">
        <v>4.0</v>
      </c>
      <c r="F13" s="53">
        <v>6.0</v>
      </c>
      <c r="G13" s="53"/>
      <c r="H13" s="53"/>
      <c r="I13" s="55"/>
      <c r="J13" s="9"/>
      <c r="M13" s="25"/>
      <c r="N13" s="28" t="s">
        <v>16</v>
      </c>
      <c r="O13" s="28" t="s">
        <v>26</v>
      </c>
      <c r="P13" s="28" t="s">
        <v>27</v>
      </c>
      <c r="Q13" s="28" t="s">
        <v>28</v>
      </c>
      <c r="R13" s="28" t="s">
        <v>29</v>
      </c>
      <c r="S13" s="28" t="s">
        <v>30</v>
      </c>
      <c r="T13" s="28" t="s">
        <v>31</v>
      </c>
      <c r="U13" s="28" t="s">
        <v>32</v>
      </c>
      <c r="V13" s="28" t="s">
        <v>33</v>
      </c>
      <c r="W13" s="28" t="s">
        <v>12</v>
      </c>
      <c r="Z13" s="28" t="s">
        <v>30</v>
      </c>
      <c r="AA13" s="1">
        <f>SUM(S9,S14,S19,S24,S29)</f>
        <v>29</v>
      </c>
    </row>
    <row r="14" ht="14.25" customHeight="1">
      <c r="A14" s="49" t="s">
        <v>30</v>
      </c>
      <c r="B14" s="50" t="s">
        <v>487</v>
      </c>
      <c r="C14" s="18"/>
      <c r="D14" s="20"/>
      <c r="E14" s="49">
        <v>3.0</v>
      </c>
      <c r="F14" s="49" t="s">
        <v>178</v>
      </c>
      <c r="G14" s="49">
        <v>8.0</v>
      </c>
      <c r="H14" s="49"/>
      <c r="I14" s="51"/>
      <c r="J14" s="9"/>
      <c r="M14" s="34" t="s">
        <v>36</v>
      </c>
      <c r="N14" s="35">
        <f>SUMIF($A22:$A32,"Pecho",$E22:$E32)</f>
        <v>0</v>
      </c>
      <c r="O14" s="35">
        <f>SUMIF($A22:$A32,"Espalda",$E22:$E32)</f>
        <v>13</v>
      </c>
      <c r="P14" s="35">
        <f>SUMIF($A22:$A32,"Hombros",$E22:$E32)</f>
        <v>3</v>
      </c>
      <c r="Q14" s="35">
        <f>SUMIF($A22:$A32,"Bíceps",$E22:$E32)</f>
        <v>0</v>
      </c>
      <c r="R14" s="35">
        <f>SUMIF($A22:$A32,"Tríceps",$E22:$E32)</f>
        <v>0</v>
      </c>
      <c r="S14" s="35">
        <f>SUMIF($A22:$A32,"Cuádriceps",$E22:$E32)</f>
        <v>0</v>
      </c>
      <c r="T14" s="35">
        <f>SUMIF($A22:$A32,"Isquios",$E22:$E32)</f>
        <v>7</v>
      </c>
      <c r="U14" s="35">
        <f>SUMIF($A22:$A32,"Glúteos",$E22:$E32)</f>
        <v>0</v>
      </c>
      <c r="V14" s="35">
        <f>SUMIF($A22:$A32,"Pantorrillas",$E22:$E32)</f>
        <v>3</v>
      </c>
      <c r="W14" s="35">
        <f>SUMIF($A22:$A32,"Otros",$E22:$E32)</f>
        <v>6</v>
      </c>
      <c r="Z14" s="28" t="s">
        <v>31</v>
      </c>
      <c r="AA14" s="1">
        <f>SUM(T9,T14,T19,T24,T29)</f>
        <v>18</v>
      </c>
    </row>
    <row r="15" ht="14.25" customHeight="1">
      <c r="A15" s="49" t="s">
        <v>27</v>
      </c>
      <c r="B15" s="50" t="s">
        <v>489</v>
      </c>
      <c r="C15" s="18"/>
      <c r="D15" s="20"/>
      <c r="E15" s="49">
        <v>4.0</v>
      </c>
      <c r="F15" s="49">
        <v>10.0</v>
      </c>
      <c r="G15" s="49">
        <v>8.0</v>
      </c>
      <c r="H15" s="49"/>
      <c r="I15" s="51"/>
      <c r="J15" s="9"/>
      <c r="M15" s="34" t="s">
        <v>7</v>
      </c>
      <c r="N15" s="35" t="str">
        <f>AVERAGEIF($A22:$A32,"Pecho",$G22:$G32)</f>
        <v>#DIV/0!</v>
      </c>
      <c r="O15" s="35">
        <f>AVERAGEIF($A22:$A32,"Espalda",$G22:$G32)</f>
        <v>8</v>
      </c>
      <c r="P15" s="35" t="str">
        <f>AVERAGEIF($A22:$A32,"Hombros",$G22:$G32)</f>
        <v>#DIV/0!</v>
      </c>
      <c r="Q15" s="35" t="str">
        <f>AVERAGEIF($A22:$A32,"Bíceps",$G22:$G32)</f>
        <v>#DIV/0!</v>
      </c>
      <c r="R15" s="35" t="str">
        <f>AVERAGEIF($A22:$A32,"Tríceps",$G22:$G32)</f>
        <v>#DIV/0!</v>
      </c>
      <c r="S15" s="35" t="str">
        <f>AVERAGEIF($A22:$A32,"Cuádriceps",$G22:$G32)</f>
        <v>#DIV/0!</v>
      </c>
      <c r="T15" s="35" t="str">
        <f>AVERAGEIF($A22:$A32,"Isquios",$G22:$G32)</f>
        <v>#DIV/0!</v>
      </c>
      <c r="U15" s="35" t="str">
        <f>AVERAGEIF($A22:$A32,"Glúteos",$G22:$G32)</f>
        <v>#DIV/0!</v>
      </c>
      <c r="V15" s="35" t="str">
        <f>AVERAGEIF($A22:$A32,"Pantorrillas",$G22:$G32)</f>
        <v>#DIV/0!</v>
      </c>
      <c r="W15" s="35" t="str">
        <f>AVERAGEIF($A22:$A32,"Otros",$G22:$G32)</f>
        <v>#DIV/0!</v>
      </c>
      <c r="Z15" s="28" t="s">
        <v>32</v>
      </c>
      <c r="AA15" s="1">
        <f>SUM(U9,U14,U19,U24,U29)</f>
        <v>19</v>
      </c>
    </row>
    <row r="16" ht="14.25" customHeight="1">
      <c r="A16" s="53" t="s">
        <v>32</v>
      </c>
      <c r="B16" s="54" t="s">
        <v>462</v>
      </c>
      <c r="C16" s="18"/>
      <c r="D16" s="20"/>
      <c r="E16" s="53">
        <v>3.0</v>
      </c>
      <c r="F16" s="53">
        <v>12.0</v>
      </c>
      <c r="G16" s="53">
        <v>8.0</v>
      </c>
      <c r="H16" s="53"/>
      <c r="I16" s="55"/>
      <c r="J16" s="9"/>
      <c r="M16" s="25"/>
      <c r="N16" s="25"/>
      <c r="O16" s="25"/>
      <c r="P16" s="25"/>
      <c r="Q16" s="25"/>
      <c r="R16" s="25"/>
      <c r="S16" s="25"/>
      <c r="T16" s="25"/>
      <c r="U16" s="25"/>
      <c r="Z16" s="28" t="s">
        <v>33</v>
      </c>
      <c r="AA16" s="1">
        <f>SUM(V9,V14,V19,V24,V29)</f>
        <v>7</v>
      </c>
    </row>
    <row r="17" ht="14.25" customHeight="1">
      <c r="A17" s="53" t="s">
        <v>32</v>
      </c>
      <c r="B17" s="54" t="s">
        <v>493</v>
      </c>
      <c r="C17" s="18"/>
      <c r="D17" s="20"/>
      <c r="E17" s="53">
        <v>3.0</v>
      </c>
      <c r="F17" s="53">
        <v>15.0</v>
      </c>
      <c r="G17" s="53"/>
      <c r="H17" s="53"/>
      <c r="I17" s="55"/>
      <c r="J17" s="9"/>
      <c r="M17" s="11" t="s">
        <v>57</v>
      </c>
      <c r="N17" s="12"/>
      <c r="O17" s="12"/>
      <c r="P17" s="12"/>
      <c r="Q17" s="12"/>
      <c r="R17" s="12"/>
      <c r="S17" s="12"/>
      <c r="T17" s="12"/>
      <c r="U17" s="12"/>
      <c r="V17" s="12"/>
      <c r="W17" s="13"/>
      <c r="Z17" s="28" t="s">
        <v>12</v>
      </c>
      <c r="AA17" s="1">
        <f>SUM(W9,W14,W19,W24,W29)</f>
        <v>39</v>
      </c>
    </row>
    <row r="18" ht="14.25" customHeight="1">
      <c r="B18" s="26"/>
      <c r="C18" s="29"/>
      <c r="D18" s="29"/>
      <c r="M18" s="25"/>
      <c r="N18" s="28" t="s">
        <v>16</v>
      </c>
      <c r="O18" s="28" t="s">
        <v>26</v>
      </c>
      <c r="P18" s="28" t="s">
        <v>27</v>
      </c>
      <c r="Q18" s="28" t="s">
        <v>28</v>
      </c>
      <c r="R18" s="28" t="s">
        <v>29</v>
      </c>
      <c r="S18" s="28" t="s">
        <v>30</v>
      </c>
      <c r="T18" s="28" t="s">
        <v>31</v>
      </c>
      <c r="U18" s="28" t="s">
        <v>32</v>
      </c>
      <c r="V18" s="28" t="s">
        <v>33</v>
      </c>
      <c r="W18" s="28" t="s">
        <v>12</v>
      </c>
    </row>
    <row r="19" ht="14.25" customHeight="1">
      <c r="M19" s="34" t="s">
        <v>36</v>
      </c>
      <c r="N19" s="35">
        <f>SUMIF($A37:$A46,"Pecho",$E37:$E46)</f>
        <v>6</v>
      </c>
      <c r="O19" s="35">
        <f>SUMIF($A37:$A46,"Espalda",$E37:$E46)</f>
        <v>0</v>
      </c>
      <c r="P19" s="35">
        <f>SUMIF($A37:$A46,"Hombros",$E37:$E46)</f>
        <v>0</v>
      </c>
      <c r="Q19" s="35">
        <f>SUMIF($A37:$A46,"Bíceps",$E37:$E46)</f>
        <v>0</v>
      </c>
      <c r="R19" s="35">
        <f>SUMIF($A37:$A46,"Tríceps",$E37:$E46)</f>
        <v>3</v>
      </c>
      <c r="S19" s="35">
        <f>SUMIF($A37:$A46,"Cuádriceps",$E37:$E46)</f>
        <v>4</v>
      </c>
      <c r="T19" s="35">
        <f>SUMIF($A37:$A46,"Isquios",$E37:$E46)</f>
        <v>0</v>
      </c>
      <c r="U19" s="35">
        <f>SUMIF($A37:$A46,"Glúteos",$E37:$E46)</f>
        <v>10</v>
      </c>
      <c r="V19" s="35">
        <f>SUMIF($A37:$A46,"Pantorrillas",$E37:$E46)</f>
        <v>0</v>
      </c>
      <c r="W19" s="35">
        <f>SUMIF($A37:$A46,"Otros",$E37:$E46)</f>
        <v>9</v>
      </c>
    </row>
    <row r="20" ht="14.25" customHeight="1">
      <c r="A20" s="2" t="s">
        <v>494</v>
      </c>
      <c r="B20" s="3"/>
      <c r="C20" s="4"/>
      <c r="J20" s="1"/>
      <c r="M20" s="34" t="s">
        <v>7</v>
      </c>
      <c r="N20" s="35" t="str">
        <f>AVERAGEIF($A37:$A46,"Pecho",$G37:$G46)</f>
        <v>#DIV/0!</v>
      </c>
      <c r="O20" s="35" t="str">
        <f>AVERAGEIF($A37:$A46,"Espalda",$G37:$G46)</f>
        <v>#DIV/0!</v>
      </c>
      <c r="P20" s="35" t="str">
        <f>AVERAGEIF($A37:$A46,"Hombros",$G37:$G46)</f>
        <v>#DIV/0!</v>
      </c>
      <c r="Q20" s="35" t="str">
        <f>AVERAGEIF($A37:$A46,"Bíceps",$G37:$G46)</f>
        <v>#DIV/0!</v>
      </c>
      <c r="R20" s="35" t="str">
        <f>AVERAGEIF($A37:$A46,"Tríceps",$G37:$G46)</f>
        <v>#DIV/0!</v>
      </c>
      <c r="S20" s="35">
        <f>AVERAGEIF($A37:$A46,"Cuádriceps",$G37:$G46)</f>
        <v>8</v>
      </c>
      <c r="T20" s="35" t="str">
        <f>AVERAGEIF($A37:$A46,"Isquios",$G37:$G46)</f>
        <v>#DIV/0!</v>
      </c>
      <c r="U20" s="35">
        <f>AVERAGEIF($A37:$A46,"Glúteos",$G37:$G46)</f>
        <v>8</v>
      </c>
      <c r="V20" s="35" t="str">
        <f>AVERAGEIF($A37:$A46,"Pantorrillas",$G37:$G46)</f>
        <v>#DIV/0!</v>
      </c>
      <c r="W20" s="35" t="str">
        <f>AVERAGEIF($A37:$A46,"Otros",$G37:$G46)</f>
        <v>#DIV/0!</v>
      </c>
    </row>
    <row r="21" ht="14.25" customHeight="1">
      <c r="A21" s="5" t="s">
        <v>2</v>
      </c>
      <c r="B21" s="7" t="s">
        <v>4</v>
      </c>
      <c r="C21" s="8"/>
      <c r="D21" s="9"/>
      <c r="E21" s="5" t="s">
        <v>5</v>
      </c>
      <c r="F21" s="5" t="s">
        <v>6</v>
      </c>
      <c r="G21" s="5" t="s">
        <v>7</v>
      </c>
      <c r="H21" s="5" t="s">
        <v>8</v>
      </c>
      <c r="I21" s="7" t="s">
        <v>9</v>
      </c>
      <c r="J21" s="9"/>
      <c r="M21" s="25"/>
      <c r="N21" s="25"/>
      <c r="O21" s="25"/>
      <c r="P21" s="25"/>
      <c r="Q21" s="25"/>
      <c r="R21" s="25"/>
      <c r="S21" s="25"/>
      <c r="T21" s="25"/>
      <c r="U21" s="25"/>
    </row>
    <row r="22" ht="14.25" customHeight="1">
      <c r="A22" s="53" t="s">
        <v>12</v>
      </c>
      <c r="B22" s="54" t="s">
        <v>99</v>
      </c>
      <c r="C22" s="18"/>
      <c r="D22" s="20"/>
      <c r="E22" s="53">
        <v>2.0</v>
      </c>
      <c r="F22" s="53">
        <v>10.0</v>
      </c>
      <c r="G22" s="53"/>
      <c r="H22" s="53"/>
      <c r="I22" s="55"/>
      <c r="J22" s="9"/>
      <c r="M22" s="11" t="s">
        <v>66</v>
      </c>
      <c r="N22" s="12"/>
      <c r="O22" s="12"/>
      <c r="P22" s="12"/>
      <c r="Q22" s="12"/>
      <c r="R22" s="12"/>
      <c r="S22" s="12"/>
      <c r="T22" s="12"/>
      <c r="U22" s="12"/>
      <c r="V22" s="12"/>
      <c r="W22" s="13"/>
    </row>
    <row r="23" ht="14.25" customHeight="1">
      <c r="A23" s="53" t="s">
        <v>12</v>
      </c>
      <c r="B23" s="54" t="s">
        <v>100</v>
      </c>
      <c r="C23" s="18"/>
      <c r="D23" s="20"/>
      <c r="E23" s="53">
        <v>2.0</v>
      </c>
      <c r="F23" s="53">
        <v>12.0</v>
      </c>
      <c r="G23" s="53"/>
      <c r="H23" s="53"/>
      <c r="I23" s="55"/>
      <c r="J23" s="9"/>
      <c r="M23" s="25"/>
      <c r="N23" s="28" t="s">
        <v>16</v>
      </c>
      <c r="O23" s="28" t="s">
        <v>26</v>
      </c>
      <c r="P23" s="28" t="s">
        <v>27</v>
      </c>
      <c r="Q23" s="28" t="s">
        <v>28</v>
      </c>
      <c r="R23" s="28" t="s">
        <v>29</v>
      </c>
      <c r="S23" s="28" t="s">
        <v>30</v>
      </c>
      <c r="T23" s="28" t="s">
        <v>31</v>
      </c>
      <c r="U23" s="28" t="s">
        <v>32</v>
      </c>
      <c r="V23" s="28" t="s">
        <v>33</v>
      </c>
      <c r="W23" s="28" t="s">
        <v>12</v>
      </c>
    </row>
    <row r="24" ht="14.25" customHeight="1">
      <c r="A24" s="53" t="s">
        <v>12</v>
      </c>
      <c r="B24" s="54" t="s">
        <v>425</v>
      </c>
      <c r="C24" s="18"/>
      <c r="D24" s="20"/>
      <c r="E24" s="53">
        <v>2.0</v>
      </c>
      <c r="F24" s="53">
        <v>10.0</v>
      </c>
      <c r="G24" s="53"/>
      <c r="H24" s="53"/>
      <c r="I24" s="55"/>
      <c r="J24" s="9"/>
      <c r="M24" s="34" t="s">
        <v>36</v>
      </c>
      <c r="N24" s="35">
        <f>SUMIF($A51:$A60,"Pecho",$E51:$E60)</f>
        <v>0</v>
      </c>
      <c r="O24" s="35">
        <f>SUMIF($A51:$A60,"Espalda",$E51:$E60)</f>
        <v>0</v>
      </c>
      <c r="P24" s="35">
        <f>SUMIF($A51:$A60,"Hombros",$E51:$E60)</f>
        <v>3</v>
      </c>
      <c r="Q24" s="35">
        <f>SUMIF($A51:$A60,"Bíceps",$E51:$E60)</f>
        <v>0</v>
      </c>
      <c r="R24" s="35">
        <f>SUMIF($A51:$A60,"Tríceps",$E51:$E60)</f>
        <v>0</v>
      </c>
      <c r="S24" s="35">
        <f>SUMIF($A51:$A60,"Cuádriceps",$E51:$E60)</f>
        <v>10</v>
      </c>
      <c r="T24" s="35">
        <f>SUMIF($A51:$A60,"Isquios",$E51:$E60)</f>
        <v>3</v>
      </c>
      <c r="U24" s="35">
        <f>SUMIF($A51:$A60,"Glúteos",$E51:$E60)</f>
        <v>0</v>
      </c>
      <c r="V24" s="35">
        <f>SUMIF($A51:$A60,"Pantorrillas",$E51:$E60)</f>
        <v>0</v>
      </c>
      <c r="W24" s="35">
        <f>SUMIF($A51:$A60,"Otros",$E51:$E60)</f>
        <v>7</v>
      </c>
    </row>
    <row r="25" ht="14.25" customHeight="1">
      <c r="A25" s="49" t="s">
        <v>26</v>
      </c>
      <c r="B25" s="50" t="s">
        <v>121</v>
      </c>
      <c r="C25" s="18"/>
      <c r="D25" s="20"/>
      <c r="E25" s="49">
        <v>4.0</v>
      </c>
      <c r="F25" s="49">
        <v>8.0</v>
      </c>
      <c r="G25" s="49">
        <v>8.0</v>
      </c>
      <c r="H25" s="49" t="s">
        <v>55</v>
      </c>
      <c r="I25" s="51"/>
      <c r="J25" s="9"/>
      <c r="M25" s="34" t="s">
        <v>7</v>
      </c>
      <c r="N25" s="35" t="str">
        <f>AVERAGEIF($A51:$A60,"Pecho",$G51:$G60)</f>
        <v>#DIV/0!</v>
      </c>
      <c r="O25" s="35" t="str">
        <f>AVERAGEIF($A51:$A60,"Espalda",$G51:$G60)</f>
        <v>#DIV/0!</v>
      </c>
      <c r="P25" s="35">
        <f>AVERAGEIF($A51:$A60,"Hombros",$G51:$G60)</f>
        <v>6</v>
      </c>
      <c r="Q25" s="35" t="str">
        <f>AVERAGEIF($A51:$A60,"Bíceps",$G51:$G60)</f>
        <v>#DIV/0!</v>
      </c>
      <c r="R25" s="35" t="str">
        <f>AVERAGEIF($A51:$A60,"Tríceps",$G51:$G60)</f>
        <v>#DIV/0!</v>
      </c>
      <c r="S25" s="35">
        <f>AVERAGEIF($A51:$A60,"Cuádriceps",$G51:$G60)</f>
        <v>6.666666667</v>
      </c>
      <c r="T25" s="35">
        <f>AVERAGEIF($A51:$A60,"Isquios",$G51:$G60)</f>
        <v>7</v>
      </c>
      <c r="U25" s="35" t="str">
        <f>AVERAGEIF($A51:$A60,"Glúteos",$G51:$G60)</f>
        <v>#DIV/0!</v>
      </c>
      <c r="V25" s="35" t="str">
        <f>AVERAGEIF($A51:$A60,"Pantorrillas",$G51:$G60)</f>
        <v>#DIV/0!</v>
      </c>
      <c r="W25" s="35">
        <f>AVERAGEIF($A51:$A60,"Otros",$G51:$G60)</f>
        <v>7</v>
      </c>
    </row>
    <row r="26" ht="14.25" customHeight="1">
      <c r="A26" s="49" t="s">
        <v>26</v>
      </c>
      <c r="B26" s="50" t="s">
        <v>501</v>
      </c>
      <c r="C26" s="18"/>
      <c r="D26" s="20"/>
      <c r="E26" s="49">
        <v>3.0</v>
      </c>
      <c r="F26" s="49" t="s">
        <v>420</v>
      </c>
      <c r="G26" s="49"/>
      <c r="H26" s="49"/>
      <c r="I26" s="51"/>
      <c r="J26" s="9"/>
      <c r="M26" s="25"/>
      <c r="N26" s="25"/>
      <c r="O26" s="25"/>
      <c r="P26" s="25"/>
      <c r="Q26" s="25"/>
      <c r="R26" s="25"/>
      <c r="S26" s="25"/>
      <c r="T26" s="25"/>
      <c r="U26" s="25"/>
    </row>
    <row r="27" ht="14.25" customHeight="1">
      <c r="A27" s="53" t="s">
        <v>31</v>
      </c>
      <c r="B27" s="54" t="s">
        <v>122</v>
      </c>
      <c r="C27" s="18"/>
      <c r="D27" s="20"/>
      <c r="E27" s="53">
        <v>4.0</v>
      </c>
      <c r="F27" s="53" t="s">
        <v>108</v>
      </c>
      <c r="G27" s="53"/>
      <c r="H27" s="53"/>
      <c r="I27" s="55"/>
      <c r="J27" s="9"/>
      <c r="M27" s="11" t="s">
        <v>76</v>
      </c>
      <c r="N27" s="12"/>
      <c r="O27" s="12"/>
      <c r="P27" s="12"/>
      <c r="Q27" s="12"/>
      <c r="R27" s="12"/>
      <c r="S27" s="12"/>
      <c r="T27" s="12"/>
      <c r="U27" s="12"/>
      <c r="V27" s="12"/>
      <c r="W27" s="13"/>
    </row>
    <row r="28" ht="14.25" customHeight="1">
      <c r="A28" s="53" t="s">
        <v>26</v>
      </c>
      <c r="B28" s="54" t="s">
        <v>503</v>
      </c>
      <c r="C28" s="18"/>
      <c r="D28" s="20"/>
      <c r="E28" s="53">
        <v>3.0</v>
      </c>
      <c r="F28" s="53" t="s">
        <v>65</v>
      </c>
      <c r="G28" s="53"/>
      <c r="H28" s="53"/>
      <c r="I28" s="55"/>
      <c r="J28" s="9"/>
      <c r="M28" s="25"/>
      <c r="N28" s="28" t="s">
        <v>16</v>
      </c>
      <c r="O28" s="28" t="s">
        <v>26</v>
      </c>
      <c r="P28" s="28" t="s">
        <v>27</v>
      </c>
      <c r="Q28" s="28" t="s">
        <v>28</v>
      </c>
      <c r="R28" s="28" t="s">
        <v>29</v>
      </c>
      <c r="S28" s="28" t="s">
        <v>30</v>
      </c>
      <c r="T28" s="28" t="s">
        <v>31</v>
      </c>
      <c r="U28" s="28" t="s">
        <v>32</v>
      </c>
      <c r="V28" s="28" t="s">
        <v>33</v>
      </c>
      <c r="W28" s="28" t="s">
        <v>12</v>
      </c>
    </row>
    <row r="29" ht="14.25" customHeight="1">
      <c r="A29" s="49" t="s">
        <v>27</v>
      </c>
      <c r="B29" s="50" t="s">
        <v>504</v>
      </c>
      <c r="C29" s="18"/>
      <c r="D29" s="20"/>
      <c r="E29" s="49">
        <v>3.0</v>
      </c>
      <c r="F29" s="49">
        <v>12.0</v>
      </c>
      <c r="G29" s="49"/>
      <c r="H29" s="49"/>
      <c r="I29" s="51"/>
      <c r="J29" s="9"/>
      <c r="M29" s="34" t="s">
        <v>36</v>
      </c>
      <c r="N29" s="35">
        <f>SUMIF($A65:$A74,"Pecho",$E65:$E74)</f>
        <v>6</v>
      </c>
      <c r="O29" s="35">
        <f>SUMIF($A65:$A74,"Espalda",$E65:$E74)</f>
        <v>0</v>
      </c>
      <c r="P29" s="35">
        <f>SUMIF($A65:$A74,"Hombros",$E65:$E74)</f>
        <v>0</v>
      </c>
      <c r="Q29" s="35">
        <f>SUMIF($A65:$A74,"Bíceps",$E65:$E74)</f>
        <v>4</v>
      </c>
      <c r="R29" s="35">
        <f>SUMIF($A65:$A74,"Tríceps",$E65:$E74)</f>
        <v>0</v>
      </c>
      <c r="S29" s="35">
        <f>SUMIF($A65:$A74,"Cuádriceps",$E65:$E74)</f>
        <v>0</v>
      </c>
      <c r="T29" s="35">
        <f>SUMIF($A65:$A74,"Isquios",$E65:$E74)</f>
        <v>8</v>
      </c>
      <c r="U29" s="35">
        <f>SUMIF($A65:$A74,"Glúteos",$E65:$E74)</f>
        <v>3</v>
      </c>
      <c r="V29" s="35">
        <f>SUMIF($A65:$A74,"Pantorrillas",$E65:$E74)</f>
        <v>4</v>
      </c>
      <c r="W29" s="35">
        <f>SUMIF($A65:$A74,"Otros",$E65:$E74)</f>
        <v>9</v>
      </c>
    </row>
    <row r="30" ht="14.25" customHeight="1">
      <c r="A30" s="53" t="s">
        <v>33</v>
      </c>
      <c r="B30" s="56" t="s">
        <v>506</v>
      </c>
      <c r="C30" s="8"/>
      <c r="D30" s="9"/>
      <c r="E30" s="53">
        <v>3.0</v>
      </c>
      <c r="F30" s="53">
        <v>12.0</v>
      </c>
      <c r="G30" s="53"/>
      <c r="H30" s="53"/>
      <c r="I30" s="55"/>
      <c r="J30" s="9"/>
      <c r="M30" s="34" t="s">
        <v>7</v>
      </c>
      <c r="N30" s="35">
        <f>AVERAGEIF($A65:$A74,"Pecho",$G65:$G74)</f>
        <v>6</v>
      </c>
      <c r="O30" s="35" t="str">
        <f>AVERAGEIF($A65:$A74,"Espalda",$G65:$G74)</f>
        <v>#DIV/0!</v>
      </c>
      <c r="P30" s="35" t="str">
        <f>AVERAGEIF($A65:$A74,"Hombros",$G65:$G74)</f>
        <v>#DIV/0!</v>
      </c>
      <c r="Q30" s="35">
        <f>AVERAGEIF($A65:$A74,"Bíceps",$G65:$G74)</f>
        <v>7</v>
      </c>
      <c r="R30" s="35" t="str">
        <f>AVERAGEIF($A65:$A74,"Tríceps",$G65:$G74)</f>
        <v>#DIV/0!</v>
      </c>
      <c r="S30" s="35" t="str">
        <f>AVERAGEIF($A65:$A74,"Cuádriceps",$G65:$G74)</f>
        <v>#DIV/0!</v>
      </c>
      <c r="T30" s="35">
        <f>AVERAGEIF($A65:$A74,"Isquios",$G65:$G74)</f>
        <v>6</v>
      </c>
      <c r="U30" s="35">
        <f>AVERAGEIF($A65:$A74,"Glúteos",$G65:$G74)</f>
        <v>6</v>
      </c>
      <c r="V30" s="35">
        <f>AVERAGEIF($A65:$A74,"Pantorrillas",$G65:$G74)</f>
        <v>7</v>
      </c>
      <c r="W30" s="35" t="str">
        <f>AVERAGEIF($A65:$A74,"Otros",$G65:$G74)</f>
        <v>#DIV/0!</v>
      </c>
    </row>
    <row r="31" ht="14.25" customHeight="1">
      <c r="A31" s="53" t="s">
        <v>26</v>
      </c>
      <c r="B31" s="138" t="s">
        <v>508</v>
      </c>
      <c r="C31" s="8"/>
      <c r="D31" s="9"/>
      <c r="E31" s="53">
        <v>3.0</v>
      </c>
      <c r="F31" s="53">
        <v>12.0</v>
      </c>
      <c r="G31" s="53"/>
      <c r="H31" s="53"/>
      <c r="I31" s="57"/>
      <c r="J31" s="59"/>
      <c r="M31" s="65"/>
      <c r="N31" s="25"/>
      <c r="O31" s="25"/>
      <c r="P31" s="25"/>
      <c r="Q31" s="25"/>
      <c r="R31" s="25"/>
      <c r="S31" s="25"/>
      <c r="T31" s="25"/>
      <c r="U31" s="25"/>
      <c r="V31" s="25"/>
      <c r="W31" s="25"/>
    </row>
    <row r="32" ht="14.25" customHeight="1">
      <c r="A32" s="53" t="s">
        <v>31</v>
      </c>
      <c r="B32" s="56" t="s">
        <v>207</v>
      </c>
      <c r="C32" s="8"/>
      <c r="D32" s="9"/>
      <c r="E32" s="53">
        <v>3.0</v>
      </c>
      <c r="F32" s="53">
        <v>10.0</v>
      </c>
      <c r="G32" s="53"/>
      <c r="H32" s="53"/>
      <c r="I32" s="55"/>
      <c r="J32" s="9"/>
    </row>
    <row r="33" ht="14.25" customHeight="1">
      <c r="B33" s="26"/>
      <c r="C33" s="29"/>
      <c r="D33" s="29"/>
    </row>
    <row r="34" ht="14.25" customHeight="1"/>
    <row r="35" ht="14.25" customHeight="1">
      <c r="A35" s="2" t="s">
        <v>513</v>
      </c>
      <c r="B35" s="3"/>
      <c r="C35" s="4"/>
      <c r="J35" s="1"/>
    </row>
    <row r="36" ht="14.25" customHeight="1">
      <c r="A36" s="5" t="s">
        <v>2</v>
      </c>
      <c r="B36" s="7" t="s">
        <v>4</v>
      </c>
      <c r="C36" s="8"/>
      <c r="D36" s="9"/>
      <c r="E36" s="5" t="s">
        <v>5</v>
      </c>
      <c r="F36" s="5" t="s">
        <v>6</v>
      </c>
      <c r="G36" s="5" t="s">
        <v>7</v>
      </c>
      <c r="H36" s="5" t="s">
        <v>8</v>
      </c>
      <c r="I36" s="7" t="s">
        <v>9</v>
      </c>
      <c r="J36" s="9"/>
    </row>
    <row r="37" ht="14.25" customHeight="1">
      <c r="A37" s="53" t="s">
        <v>12</v>
      </c>
      <c r="B37" s="54" t="s">
        <v>514</v>
      </c>
      <c r="C37" s="18"/>
      <c r="D37" s="20"/>
      <c r="E37" s="53">
        <v>3.0</v>
      </c>
      <c r="F37" s="53">
        <v>10.0</v>
      </c>
      <c r="G37" s="53"/>
      <c r="H37" s="53"/>
      <c r="I37" s="55"/>
      <c r="J37" s="9"/>
    </row>
    <row r="38" ht="14.25" customHeight="1">
      <c r="A38" s="53" t="s">
        <v>12</v>
      </c>
      <c r="B38" s="54" t="s">
        <v>515</v>
      </c>
      <c r="C38" s="18"/>
      <c r="D38" s="20"/>
      <c r="E38" s="53">
        <v>3.0</v>
      </c>
      <c r="F38" s="53">
        <v>12.0</v>
      </c>
      <c r="G38" s="53"/>
      <c r="H38" s="53"/>
      <c r="I38" s="55"/>
      <c r="J38" s="9"/>
    </row>
    <row r="39" ht="14.25" customHeight="1">
      <c r="A39" s="53" t="s">
        <v>12</v>
      </c>
      <c r="B39" s="54" t="s">
        <v>516</v>
      </c>
      <c r="C39" s="18"/>
      <c r="D39" s="20"/>
      <c r="E39" s="53">
        <v>3.0</v>
      </c>
      <c r="F39" s="53">
        <v>12.0</v>
      </c>
      <c r="G39" s="53"/>
      <c r="H39" s="53"/>
      <c r="I39" s="55"/>
      <c r="J39" s="9"/>
    </row>
    <row r="40" ht="14.25" customHeight="1">
      <c r="A40" s="49" t="s">
        <v>30</v>
      </c>
      <c r="B40" s="50" t="s">
        <v>517</v>
      </c>
      <c r="C40" s="18"/>
      <c r="D40" s="20"/>
      <c r="E40" s="49">
        <v>4.0</v>
      </c>
      <c r="F40" s="49">
        <v>10.0</v>
      </c>
      <c r="G40" s="49">
        <v>8.0</v>
      </c>
      <c r="H40" s="49" t="s">
        <v>55</v>
      </c>
      <c r="I40" s="51"/>
      <c r="J40" s="9"/>
    </row>
    <row r="41" ht="14.25" customHeight="1">
      <c r="A41" s="49" t="s">
        <v>32</v>
      </c>
      <c r="B41" s="50" t="s">
        <v>107</v>
      </c>
      <c r="C41" s="18"/>
      <c r="D41" s="20"/>
      <c r="E41" s="49">
        <v>3.0</v>
      </c>
      <c r="F41" s="49">
        <v>12.0</v>
      </c>
      <c r="G41" s="49">
        <v>8.0</v>
      </c>
      <c r="H41" s="49"/>
      <c r="I41" s="51"/>
      <c r="J41" s="9"/>
    </row>
    <row r="42" ht="14.25" customHeight="1">
      <c r="A42" s="53" t="s">
        <v>16</v>
      </c>
      <c r="B42" s="54" t="s">
        <v>460</v>
      </c>
      <c r="C42" s="18"/>
      <c r="D42" s="20"/>
      <c r="E42" s="53">
        <v>3.0</v>
      </c>
      <c r="F42" s="53">
        <v>12.0</v>
      </c>
      <c r="G42" s="53"/>
      <c r="H42" s="53"/>
      <c r="I42" s="55"/>
      <c r="J42" s="9"/>
    </row>
    <row r="43" ht="14.25" customHeight="1">
      <c r="A43" s="53" t="s">
        <v>32</v>
      </c>
      <c r="B43" s="54" t="s">
        <v>519</v>
      </c>
      <c r="C43" s="18"/>
      <c r="D43" s="20"/>
      <c r="E43" s="53">
        <v>3.0</v>
      </c>
      <c r="F43" s="53">
        <v>10.0</v>
      </c>
      <c r="G43" s="53"/>
      <c r="H43" s="53"/>
      <c r="I43" s="55"/>
      <c r="J43" s="9"/>
    </row>
    <row r="44" ht="14.25" customHeight="1">
      <c r="A44" s="49" t="s">
        <v>29</v>
      </c>
      <c r="B44" s="50" t="s">
        <v>521</v>
      </c>
      <c r="C44" s="18"/>
      <c r="D44" s="20"/>
      <c r="E44" s="49">
        <v>3.0</v>
      </c>
      <c r="F44" s="49">
        <v>10.0</v>
      </c>
      <c r="G44" s="49"/>
      <c r="H44" s="49"/>
      <c r="I44" s="51"/>
      <c r="J44" s="9"/>
    </row>
    <row r="45" ht="14.25" customHeight="1">
      <c r="A45" s="53" t="s">
        <v>32</v>
      </c>
      <c r="B45" s="54" t="s">
        <v>523</v>
      </c>
      <c r="C45" s="18"/>
      <c r="D45" s="20"/>
      <c r="E45" s="53">
        <v>4.0</v>
      </c>
      <c r="F45" s="53">
        <v>12.0</v>
      </c>
      <c r="G45" s="53"/>
      <c r="H45" s="53"/>
      <c r="I45" s="55"/>
      <c r="J45" s="9"/>
    </row>
    <row r="46" ht="14.25" customHeight="1">
      <c r="A46" s="53" t="s">
        <v>16</v>
      </c>
      <c r="B46" s="56" t="s">
        <v>525</v>
      </c>
      <c r="C46" s="8"/>
      <c r="D46" s="9"/>
      <c r="E46" s="53">
        <v>3.0</v>
      </c>
      <c r="F46" s="53">
        <v>12.0</v>
      </c>
      <c r="G46" s="53"/>
      <c r="H46" s="53"/>
      <c r="I46" s="55"/>
      <c r="J46" s="9"/>
    </row>
    <row r="47" ht="14.25" customHeight="1">
      <c r="B47" s="26"/>
      <c r="C47" s="29"/>
      <c r="D47" s="29"/>
    </row>
    <row r="48" ht="14.25" customHeight="1"/>
    <row r="49" ht="14.25" customHeight="1">
      <c r="A49" s="2" t="s">
        <v>66</v>
      </c>
      <c r="B49" s="3"/>
      <c r="C49" s="4"/>
      <c r="D49" s="82" t="s">
        <v>527</v>
      </c>
      <c r="J49" s="1"/>
    </row>
    <row r="50" ht="14.25" customHeight="1">
      <c r="A50" s="5" t="s">
        <v>2</v>
      </c>
      <c r="B50" s="7" t="s">
        <v>4</v>
      </c>
      <c r="C50" s="8"/>
      <c r="D50" s="9"/>
      <c r="E50" s="5" t="s">
        <v>5</v>
      </c>
      <c r="F50" s="5" t="s">
        <v>6</v>
      </c>
      <c r="G50" s="5" t="s">
        <v>7</v>
      </c>
      <c r="H50" s="5" t="s">
        <v>8</v>
      </c>
      <c r="I50" s="7" t="s">
        <v>9</v>
      </c>
      <c r="J50" s="9"/>
    </row>
    <row r="51" ht="14.25" customHeight="1">
      <c r="A51" s="68" t="s">
        <v>113</v>
      </c>
      <c r="B51" s="69" t="s">
        <v>134</v>
      </c>
      <c r="C51" s="18"/>
      <c r="D51" s="20"/>
      <c r="E51" s="68"/>
      <c r="F51" s="68"/>
      <c r="G51" s="68"/>
      <c r="H51" s="68"/>
      <c r="I51" s="71"/>
      <c r="J51" s="9"/>
    </row>
    <row r="52" ht="14.25" customHeight="1">
      <c r="A52" s="68" t="s">
        <v>113</v>
      </c>
      <c r="B52" s="69" t="s">
        <v>529</v>
      </c>
      <c r="C52" s="18"/>
      <c r="D52" s="20"/>
      <c r="E52" s="68"/>
      <c r="F52" s="68"/>
      <c r="G52" s="68"/>
      <c r="H52" s="68"/>
      <c r="I52" s="71"/>
      <c r="J52" s="9"/>
    </row>
    <row r="53" ht="14.25" customHeight="1">
      <c r="A53" s="68" t="s">
        <v>12</v>
      </c>
      <c r="B53" s="69" t="s">
        <v>530</v>
      </c>
      <c r="C53" s="18"/>
      <c r="D53" s="20"/>
      <c r="E53" s="68"/>
      <c r="F53" s="68">
        <v>10.0</v>
      </c>
      <c r="G53" s="68"/>
      <c r="H53" s="68"/>
      <c r="I53" s="71"/>
      <c r="J53" s="9"/>
    </row>
    <row r="54" ht="14.25" customHeight="1">
      <c r="A54" s="49" t="s">
        <v>113</v>
      </c>
      <c r="B54" s="50" t="s">
        <v>531</v>
      </c>
      <c r="C54" s="18"/>
      <c r="D54" s="20"/>
      <c r="E54" s="49">
        <v>4.0</v>
      </c>
      <c r="F54" s="49">
        <v>6.0</v>
      </c>
      <c r="G54" s="49">
        <v>7.0</v>
      </c>
      <c r="H54" s="49"/>
      <c r="I54" s="51"/>
      <c r="J54" s="9"/>
    </row>
    <row r="55" ht="14.25" customHeight="1">
      <c r="A55" s="49" t="s">
        <v>30</v>
      </c>
      <c r="B55" s="50" t="s">
        <v>532</v>
      </c>
      <c r="C55" s="18"/>
      <c r="D55" s="20"/>
      <c r="E55" s="49">
        <v>4.0</v>
      </c>
      <c r="F55" s="49" t="s">
        <v>71</v>
      </c>
      <c r="G55" s="49">
        <v>8.0</v>
      </c>
      <c r="H55" s="49"/>
      <c r="I55" s="51"/>
      <c r="J55" s="9"/>
    </row>
    <row r="56" ht="14.25" customHeight="1">
      <c r="A56" s="49" t="s">
        <v>30</v>
      </c>
      <c r="B56" s="50" t="s">
        <v>534</v>
      </c>
      <c r="C56" s="18"/>
      <c r="D56" s="20"/>
      <c r="E56" s="49">
        <v>3.0</v>
      </c>
      <c r="F56" s="49">
        <v>6.0</v>
      </c>
      <c r="G56" s="49">
        <v>6.0</v>
      </c>
      <c r="H56" s="49"/>
      <c r="I56" s="51"/>
      <c r="J56" s="9"/>
    </row>
    <row r="57" ht="14.25" customHeight="1">
      <c r="A57" s="68" t="s">
        <v>27</v>
      </c>
      <c r="B57" s="69" t="s">
        <v>535</v>
      </c>
      <c r="C57" s="18"/>
      <c r="D57" s="20"/>
      <c r="E57" s="68">
        <v>3.0</v>
      </c>
      <c r="F57" s="68">
        <v>10.0</v>
      </c>
      <c r="G57" s="68">
        <v>6.0</v>
      </c>
      <c r="H57" s="68"/>
      <c r="I57" s="71"/>
      <c r="J57" s="9"/>
    </row>
    <row r="58" ht="14.25" customHeight="1">
      <c r="A58" s="68" t="s">
        <v>30</v>
      </c>
      <c r="B58" s="69" t="s">
        <v>537</v>
      </c>
      <c r="C58" s="18"/>
      <c r="D58" s="20"/>
      <c r="E58" s="68">
        <v>3.0</v>
      </c>
      <c r="F58" s="68">
        <v>10.0</v>
      </c>
      <c r="G58" s="68">
        <v>6.0</v>
      </c>
      <c r="H58" s="68"/>
      <c r="I58" s="71"/>
      <c r="J58" s="9"/>
    </row>
    <row r="59" ht="14.25" customHeight="1">
      <c r="A59" s="49" t="s">
        <v>31</v>
      </c>
      <c r="B59" s="50" t="s">
        <v>539</v>
      </c>
      <c r="C59" s="18"/>
      <c r="D59" s="20"/>
      <c r="E59" s="49">
        <v>3.0</v>
      </c>
      <c r="F59" s="49">
        <v>10.0</v>
      </c>
      <c r="G59" s="49">
        <v>7.0</v>
      </c>
      <c r="H59" s="49"/>
      <c r="I59" s="51"/>
      <c r="J59" s="9"/>
    </row>
    <row r="60" ht="14.25" customHeight="1">
      <c r="A60" s="49" t="s">
        <v>113</v>
      </c>
      <c r="B60" s="66" t="s">
        <v>541</v>
      </c>
      <c r="C60" s="8"/>
      <c r="D60" s="9"/>
      <c r="E60" s="49">
        <v>3.0</v>
      </c>
      <c r="F60" s="49">
        <v>8.0</v>
      </c>
      <c r="G60" s="49">
        <v>7.0</v>
      </c>
      <c r="H60" s="49"/>
      <c r="I60" s="51"/>
      <c r="J60" s="9"/>
    </row>
    <row r="61" ht="14.25" customHeight="1">
      <c r="B61" s="26"/>
      <c r="C61" s="29"/>
      <c r="D61" s="29"/>
    </row>
    <row r="62" ht="14.25" customHeight="1"/>
    <row r="63" ht="14.25" customHeight="1">
      <c r="A63" s="2" t="s">
        <v>76</v>
      </c>
      <c r="B63" s="3"/>
      <c r="C63" s="4"/>
      <c r="D63" s="82" t="s">
        <v>161</v>
      </c>
      <c r="J63" s="1"/>
    </row>
    <row r="64" ht="14.25" customHeight="1">
      <c r="A64" s="5" t="s">
        <v>2</v>
      </c>
      <c r="B64" s="7" t="s">
        <v>4</v>
      </c>
      <c r="C64" s="8"/>
      <c r="D64" s="9"/>
      <c r="E64" s="5" t="s">
        <v>5</v>
      </c>
      <c r="F64" s="5" t="s">
        <v>6</v>
      </c>
      <c r="G64" s="5" t="s">
        <v>7</v>
      </c>
      <c r="H64" s="5" t="s">
        <v>8</v>
      </c>
      <c r="I64" s="7" t="s">
        <v>9</v>
      </c>
      <c r="J64" s="9"/>
    </row>
    <row r="65" ht="14.25" customHeight="1">
      <c r="A65" s="83" t="s">
        <v>113</v>
      </c>
      <c r="B65" s="85" t="s">
        <v>163</v>
      </c>
      <c r="C65" s="18"/>
      <c r="D65" s="20"/>
      <c r="E65" s="83">
        <v>3.0</v>
      </c>
      <c r="F65" s="83">
        <v>10.0</v>
      </c>
      <c r="G65" s="83"/>
      <c r="H65" s="83"/>
      <c r="I65" s="86"/>
      <c r="J65" s="9"/>
    </row>
    <row r="66" ht="14.25" customHeight="1">
      <c r="A66" s="83" t="s">
        <v>113</v>
      </c>
      <c r="B66" s="85" t="s">
        <v>166</v>
      </c>
      <c r="C66" s="18"/>
      <c r="D66" s="20"/>
      <c r="E66" s="83">
        <v>3.0</v>
      </c>
      <c r="F66" s="83" t="s">
        <v>548</v>
      </c>
      <c r="G66" s="83"/>
      <c r="H66" s="83"/>
      <c r="I66" s="86"/>
      <c r="J66" s="9"/>
    </row>
    <row r="67" ht="14.25" customHeight="1">
      <c r="A67" s="83" t="s">
        <v>113</v>
      </c>
      <c r="B67" s="85" t="s">
        <v>549</v>
      </c>
      <c r="C67" s="18"/>
      <c r="D67" s="20"/>
      <c r="E67" s="83">
        <v>3.0</v>
      </c>
      <c r="F67" s="83" t="s">
        <v>550</v>
      </c>
      <c r="G67" s="83"/>
      <c r="H67" s="83"/>
      <c r="I67" s="86"/>
      <c r="J67" s="9"/>
    </row>
    <row r="68" ht="14.25" customHeight="1">
      <c r="A68" s="49" t="s">
        <v>31</v>
      </c>
      <c r="B68" s="50" t="s">
        <v>173</v>
      </c>
      <c r="C68" s="18"/>
      <c r="D68" s="20"/>
      <c r="E68" s="49">
        <v>4.0</v>
      </c>
      <c r="F68" s="49">
        <v>8.0</v>
      </c>
      <c r="G68" s="49">
        <v>6.0</v>
      </c>
      <c r="H68" s="49"/>
      <c r="I68" s="51"/>
      <c r="J68" s="9"/>
    </row>
    <row r="69" ht="14.25" customHeight="1">
      <c r="A69" s="49" t="s">
        <v>31</v>
      </c>
      <c r="B69" s="50" t="s">
        <v>176</v>
      </c>
      <c r="C69" s="18"/>
      <c r="D69" s="20"/>
      <c r="E69" s="49">
        <v>4.0</v>
      </c>
      <c r="F69" s="49">
        <v>6.0</v>
      </c>
      <c r="G69" s="49">
        <v>6.0</v>
      </c>
      <c r="H69" s="49"/>
      <c r="I69" s="51"/>
      <c r="J69" s="9"/>
    </row>
    <row r="70" ht="14.25" customHeight="1">
      <c r="A70" s="68" t="s">
        <v>16</v>
      </c>
      <c r="B70" s="69" t="s">
        <v>179</v>
      </c>
      <c r="C70" s="18"/>
      <c r="D70" s="20"/>
      <c r="E70" s="68">
        <v>3.0</v>
      </c>
      <c r="F70" s="68">
        <v>10.0</v>
      </c>
      <c r="G70" s="68">
        <v>6.0</v>
      </c>
      <c r="H70" s="68"/>
      <c r="I70" s="71"/>
      <c r="J70" s="9"/>
    </row>
    <row r="71" ht="14.25" customHeight="1">
      <c r="A71" s="68" t="s">
        <v>16</v>
      </c>
      <c r="B71" s="69" t="s">
        <v>554</v>
      </c>
      <c r="C71" s="18"/>
      <c r="D71" s="20"/>
      <c r="E71" s="68">
        <v>3.0</v>
      </c>
      <c r="F71" s="68">
        <v>10.0</v>
      </c>
      <c r="G71" s="68">
        <v>6.0</v>
      </c>
      <c r="H71" s="68"/>
      <c r="I71" s="71"/>
      <c r="J71" s="9"/>
    </row>
    <row r="72" ht="14.25" customHeight="1">
      <c r="A72" s="49" t="s">
        <v>28</v>
      </c>
      <c r="B72" s="50" t="s">
        <v>182</v>
      </c>
      <c r="C72" s="18"/>
      <c r="D72" s="20"/>
      <c r="E72" s="49">
        <v>4.0</v>
      </c>
      <c r="F72" s="49">
        <v>10.0</v>
      </c>
      <c r="G72" s="49">
        <v>7.0</v>
      </c>
      <c r="H72" s="49"/>
      <c r="I72" s="51"/>
      <c r="J72" s="9"/>
    </row>
    <row r="73" ht="14.25" customHeight="1">
      <c r="A73" s="49" t="s">
        <v>33</v>
      </c>
      <c r="B73" s="50" t="s">
        <v>183</v>
      </c>
      <c r="C73" s="18"/>
      <c r="D73" s="20"/>
      <c r="E73" s="49">
        <v>4.0</v>
      </c>
      <c r="F73" s="49">
        <v>12.0</v>
      </c>
      <c r="G73" s="49">
        <v>7.0</v>
      </c>
      <c r="H73" s="49"/>
      <c r="I73" s="51"/>
      <c r="J73" s="9"/>
    </row>
    <row r="74" ht="14.25" customHeight="1">
      <c r="A74" s="49" t="s">
        <v>32</v>
      </c>
      <c r="B74" s="66" t="s">
        <v>185</v>
      </c>
      <c r="C74" s="8"/>
      <c r="D74" s="9"/>
      <c r="E74" s="49">
        <v>3.0</v>
      </c>
      <c r="F74" s="49" t="s">
        <v>178</v>
      </c>
      <c r="G74" s="49">
        <v>6.0</v>
      </c>
      <c r="H74" s="49"/>
      <c r="I74" s="51"/>
      <c r="J74" s="9"/>
    </row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6">
    <mergeCell ref="I26:J26"/>
    <mergeCell ref="I27:J27"/>
    <mergeCell ref="I11:J11"/>
    <mergeCell ref="I13:J13"/>
    <mergeCell ref="I21:J21"/>
    <mergeCell ref="I22:J22"/>
    <mergeCell ref="I23:J23"/>
    <mergeCell ref="I24:J24"/>
    <mergeCell ref="I25:J25"/>
    <mergeCell ref="A6:C6"/>
    <mergeCell ref="B7:D7"/>
    <mergeCell ref="I7:J7"/>
    <mergeCell ref="M7:W7"/>
    <mergeCell ref="Z7:AB7"/>
    <mergeCell ref="B8:D8"/>
    <mergeCell ref="B9:D9"/>
    <mergeCell ref="I12:J12"/>
    <mergeCell ref="M12:W12"/>
    <mergeCell ref="I8:J8"/>
    <mergeCell ref="I9:J9"/>
    <mergeCell ref="B10:D10"/>
    <mergeCell ref="I10:J10"/>
    <mergeCell ref="B11:D11"/>
    <mergeCell ref="B12:D12"/>
    <mergeCell ref="B13:D13"/>
    <mergeCell ref="I17:J17"/>
    <mergeCell ref="M17:W17"/>
    <mergeCell ref="M22:W22"/>
    <mergeCell ref="B14:D14"/>
    <mergeCell ref="I14:J14"/>
    <mergeCell ref="B15:D15"/>
    <mergeCell ref="I15:J15"/>
    <mergeCell ref="B16:D16"/>
    <mergeCell ref="I16:J16"/>
    <mergeCell ref="B17:D17"/>
    <mergeCell ref="B26:D26"/>
    <mergeCell ref="B27:D27"/>
    <mergeCell ref="M27:W27"/>
    <mergeCell ref="I28:J28"/>
    <mergeCell ref="B18:D18"/>
    <mergeCell ref="A20:C20"/>
    <mergeCell ref="B21:D21"/>
    <mergeCell ref="B22:D22"/>
    <mergeCell ref="B23:D23"/>
    <mergeCell ref="B24:D24"/>
    <mergeCell ref="B25:D25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A63:C63"/>
    <mergeCell ref="B64:D64"/>
    <mergeCell ref="B72:D72"/>
    <mergeCell ref="B73:D73"/>
    <mergeCell ref="B74:D74"/>
    <mergeCell ref="B65:D65"/>
    <mergeCell ref="B66:D66"/>
    <mergeCell ref="B67:D67"/>
    <mergeCell ref="B68:D68"/>
    <mergeCell ref="B69:D69"/>
    <mergeCell ref="B70:D70"/>
    <mergeCell ref="B71:D71"/>
    <mergeCell ref="I70:J70"/>
    <mergeCell ref="I71:J71"/>
    <mergeCell ref="I72:J72"/>
    <mergeCell ref="I73:J73"/>
    <mergeCell ref="I74:J74"/>
    <mergeCell ref="I60:J60"/>
    <mergeCell ref="I64:J64"/>
    <mergeCell ref="I65:J65"/>
    <mergeCell ref="I66:J66"/>
    <mergeCell ref="I67:J67"/>
    <mergeCell ref="I68:J68"/>
    <mergeCell ref="I69:J69"/>
    <mergeCell ref="B28:D28"/>
    <mergeCell ref="B29:D29"/>
    <mergeCell ref="I29:J29"/>
    <mergeCell ref="B30:D30"/>
    <mergeCell ref="I30:J30"/>
    <mergeCell ref="B31:D31"/>
    <mergeCell ref="I32:J32"/>
    <mergeCell ref="I37:J37"/>
    <mergeCell ref="I38:J38"/>
    <mergeCell ref="B32:D32"/>
    <mergeCell ref="B33:D33"/>
    <mergeCell ref="A35:C35"/>
    <mergeCell ref="B36:D36"/>
    <mergeCell ref="I36:J36"/>
    <mergeCell ref="B37:D37"/>
    <mergeCell ref="B38:D38"/>
    <mergeCell ref="B39:D39"/>
    <mergeCell ref="I39:J39"/>
    <mergeCell ref="B40:D40"/>
    <mergeCell ref="I40:J40"/>
    <mergeCell ref="B41:D41"/>
    <mergeCell ref="I41:J41"/>
    <mergeCell ref="I42:J42"/>
    <mergeCell ref="B42:D42"/>
    <mergeCell ref="B43:D43"/>
    <mergeCell ref="B44:D44"/>
    <mergeCell ref="B45:D45"/>
    <mergeCell ref="B46:D46"/>
    <mergeCell ref="B47:D47"/>
    <mergeCell ref="A49:C49"/>
    <mergeCell ref="I43:J43"/>
    <mergeCell ref="I44:J44"/>
    <mergeCell ref="I45:J45"/>
    <mergeCell ref="I46:J46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</mergeCells>
  <dataValidations>
    <dataValidation type="list" allowBlank="1" showErrorMessage="1" sqref="A8:A17 A22:A32 A37:A46 A51:A60 A65:A74">
      <formula1>Datos!$D$2:$D$11</formula1>
    </dataValidation>
    <dataValidation type="list" allowBlank="1" showErrorMessage="1" sqref="J5">
      <formula1>Datos!$B$2:$B$12</formula1>
    </dataValidation>
    <dataValidation type="list" allowBlank="1" showErrorMessage="1" sqref="J6 J20 J35 J49 J63">
      <formula1>Datos!$D$2:$D$14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10.71"/>
    <col customWidth="1" min="24" max="24" width="7.86"/>
    <col customWidth="1" min="25" max="25" width="15.43"/>
    <col customWidth="1" min="26" max="28" width="10.71"/>
  </cols>
  <sheetData>
    <row r="1" ht="14.25" customHeight="1"/>
    <row r="2" ht="14.25" customHeight="1"/>
    <row r="3" ht="14.25" customHeight="1"/>
    <row r="4" ht="14.25" customHeight="1"/>
    <row r="5" ht="14.25" customHeight="1">
      <c r="J5" s="1"/>
    </row>
    <row r="6" ht="14.25" customHeight="1">
      <c r="A6" s="2" t="s">
        <v>479</v>
      </c>
      <c r="B6" s="3"/>
      <c r="C6" s="4"/>
      <c r="J6" s="1"/>
    </row>
    <row r="7" ht="14.25" customHeight="1">
      <c r="A7" s="5" t="s">
        <v>2</v>
      </c>
      <c r="B7" s="7" t="s">
        <v>4</v>
      </c>
      <c r="C7" s="8"/>
      <c r="D7" s="9"/>
      <c r="E7" s="5" t="s">
        <v>5</v>
      </c>
      <c r="F7" s="5" t="s">
        <v>6</v>
      </c>
      <c r="G7" s="5" t="s">
        <v>7</v>
      </c>
      <c r="H7" s="5" t="s">
        <v>8</v>
      </c>
      <c r="I7" s="7" t="s">
        <v>9</v>
      </c>
      <c r="J7" s="9"/>
      <c r="M7" s="11" t="s">
        <v>0</v>
      </c>
      <c r="N7" s="12"/>
      <c r="O7" s="12"/>
      <c r="P7" s="12"/>
      <c r="Q7" s="12"/>
      <c r="R7" s="12"/>
      <c r="S7" s="12"/>
      <c r="T7" s="12"/>
      <c r="U7" s="12"/>
      <c r="V7" s="12"/>
      <c r="W7" s="13"/>
      <c r="Y7" s="1"/>
      <c r="Z7" s="14" t="s">
        <v>10</v>
      </c>
      <c r="AA7" s="12"/>
      <c r="AB7" s="13"/>
    </row>
    <row r="8" ht="14.25" customHeight="1">
      <c r="A8" s="68" t="s">
        <v>12</v>
      </c>
      <c r="B8" s="69" t="s">
        <v>481</v>
      </c>
      <c r="C8" s="18"/>
      <c r="D8" s="20"/>
      <c r="E8" s="68">
        <v>2.0</v>
      </c>
      <c r="F8" s="68">
        <v>10.0</v>
      </c>
      <c r="G8" s="68"/>
      <c r="H8" s="68"/>
      <c r="I8" s="71"/>
      <c r="J8" s="9"/>
      <c r="M8" s="25"/>
      <c r="N8" s="28" t="s">
        <v>16</v>
      </c>
      <c r="O8" s="28" t="s">
        <v>26</v>
      </c>
      <c r="P8" s="28" t="s">
        <v>27</v>
      </c>
      <c r="Q8" s="28" t="s">
        <v>28</v>
      </c>
      <c r="R8" s="28" t="s">
        <v>29</v>
      </c>
      <c r="S8" s="28" t="s">
        <v>30</v>
      </c>
      <c r="T8" s="28" t="s">
        <v>31</v>
      </c>
      <c r="U8" s="28" t="s">
        <v>32</v>
      </c>
      <c r="V8" s="28" t="s">
        <v>33</v>
      </c>
      <c r="W8" s="28" t="s">
        <v>12</v>
      </c>
      <c r="Z8" s="28" t="s">
        <v>16</v>
      </c>
      <c r="AA8" s="1">
        <f>SUM(N9,N14,N19,N24,N29)</f>
        <v>10</v>
      </c>
    </row>
    <row r="9" ht="14.25" customHeight="1">
      <c r="A9" s="68" t="s">
        <v>12</v>
      </c>
      <c r="B9" s="69" t="s">
        <v>482</v>
      </c>
      <c r="C9" s="18"/>
      <c r="D9" s="20"/>
      <c r="E9" s="68">
        <v>3.0</v>
      </c>
      <c r="F9" s="68">
        <v>12.0</v>
      </c>
      <c r="G9" s="68"/>
      <c r="H9" s="68"/>
      <c r="I9" s="71"/>
      <c r="J9" s="9"/>
      <c r="M9" s="34" t="s">
        <v>36</v>
      </c>
      <c r="N9" s="37">
        <f>SUMIF(A8:A17,"Pecho",E8:E17)</f>
        <v>0</v>
      </c>
      <c r="O9" s="37">
        <f>SUMIF(A8:A17,"Espalda",E8:E17)</f>
        <v>0</v>
      </c>
      <c r="P9" s="37">
        <f>SUMIF($A8:$A17,"Hombros",$E8:$E17)</f>
        <v>4</v>
      </c>
      <c r="Q9" s="37">
        <f>SUMIF($A8:$A17,"Bíceps",$E8:$E17)</f>
        <v>0</v>
      </c>
      <c r="R9" s="37">
        <f>SUMIF($A8:$A17,"Tríceps",$E8:$E17)</f>
        <v>0</v>
      </c>
      <c r="S9" s="38">
        <f>SUMIF(A8:A17,"Cuádriceps",E8:E17)</f>
        <v>7</v>
      </c>
      <c r="T9" s="37">
        <f>SUMIF($A8:$A17,"Isquios",$E8:$E17)</f>
        <v>0</v>
      </c>
      <c r="U9" s="37">
        <f>SUMIF($A8:$A17,"Glúteos",$E8:$E17)</f>
        <v>6</v>
      </c>
      <c r="V9" s="37">
        <f>SUMIF($A8:$A17,"Pantorrillas",$E8:$E17)</f>
        <v>0</v>
      </c>
      <c r="W9" s="37">
        <f>SUMIF($A8:$A17,"Otros",$E8:$E17)</f>
        <v>15</v>
      </c>
      <c r="Z9" s="28" t="s">
        <v>26</v>
      </c>
      <c r="AA9" s="1">
        <f>SUM(O9,O14,O19,O24,O29)</f>
        <v>7</v>
      </c>
    </row>
    <row r="10" ht="14.25" customHeight="1">
      <c r="A10" s="68" t="s">
        <v>12</v>
      </c>
      <c r="B10" s="69" t="s">
        <v>486</v>
      </c>
      <c r="C10" s="18"/>
      <c r="D10" s="20"/>
      <c r="E10" s="68">
        <v>3.0</v>
      </c>
      <c r="F10" s="68">
        <v>10.0</v>
      </c>
      <c r="G10" s="68"/>
      <c r="H10" s="68"/>
      <c r="I10" s="71"/>
      <c r="J10" s="9"/>
      <c r="M10" s="34" t="s">
        <v>7</v>
      </c>
      <c r="N10" s="35" t="str">
        <f>AVERAGEIF($A8:$A17,"Pecho",$G8:$G17)</f>
        <v>#DIV/0!</v>
      </c>
      <c r="O10" s="35" t="str">
        <f>AVERAGEIF($A8:$A17,"Espalda",$G8:$G17)</f>
        <v>#DIV/0!</v>
      </c>
      <c r="P10" s="35" t="str">
        <f>AVERAGEIF($A8:$A17,"Hombros",$G8:$G17)</f>
        <v>#DIV/0!</v>
      </c>
      <c r="Q10" s="35" t="str">
        <f>AVERAGEIF($A8:$A17,"Bíceps",$G8:$G17)</f>
        <v>#DIV/0!</v>
      </c>
      <c r="R10" s="35" t="str">
        <f>AVERAGEIF($A8:$A17,"Tríceps",$G8:$G17)</f>
        <v>#DIV/0!</v>
      </c>
      <c r="S10" s="35" t="str">
        <f>AVERAGEIF($A8:$A17,"Cuádriceps",$G8:$G17)</f>
        <v>#DIV/0!</v>
      </c>
      <c r="T10" s="35" t="str">
        <f>AVERAGEIF($A8:$A17,"Isquios",$G8:$G17)</f>
        <v>#DIV/0!</v>
      </c>
      <c r="U10" s="35" t="str">
        <f>AVERAGEIF($A8:$A17,"Glúteos",$G8:$G17)</f>
        <v>#DIV/0!</v>
      </c>
      <c r="V10" s="35" t="str">
        <f>AVERAGEIF($A8:$A17,"Pantorrillas",$G8:$G17)</f>
        <v>#DIV/0!</v>
      </c>
      <c r="W10" s="35">
        <f>AVERAGEIF($A8:$A17,"Otros",$G8:$G17)</f>
        <v>8</v>
      </c>
      <c r="Z10" s="28" t="s">
        <v>27</v>
      </c>
      <c r="AA10" s="1">
        <f>SUM(P9,P14,P19,P24,P29)</f>
        <v>11</v>
      </c>
    </row>
    <row r="11" ht="14.25" customHeight="1">
      <c r="A11" s="27" t="s">
        <v>12</v>
      </c>
      <c r="B11" s="30" t="s">
        <v>490</v>
      </c>
      <c r="C11" s="18"/>
      <c r="D11" s="20"/>
      <c r="E11" s="27">
        <v>4.0</v>
      </c>
      <c r="F11" s="27">
        <v>4.0</v>
      </c>
      <c r="G11" s="27">
        <v>8.0</v>
      </c>
      <c r="H11" s="27" t="s">
        <v>55</v>
      </c>
      <c r="I11" s="33"/>
      <c r="J11" s="9"/>
      <c r="M11" s="25"/>
      <c r="N11" s="25"/>
      <c r="O11" s="25"/>
      <c r="P11" s="25"/>
      <c r="Q11" s="25"/>
      <c r="R11" s="25"/>
      <c r="S11" s="25"/>
      <c r="T11" s="25"/>
      <c r="U11" s="25"/>
      <c r="Z11" s="28" t="s">
        <v>28</v>
      </c>
      <c r="AA11" s="1">
        <f>SUM(Q9,Q14,Q19,Q24,Q29)</f>
        <v>3</v>
      </c>
    </row>
    <row r="12" ht="14.25" customHeight="1">
      <c r="A12" s="49" t="s">
        <v>30</v>
      </c>
      <c r="B12" s="50" t="s">
        <v>491</v>
      </c>
      <c r="C12" s="18"/>
      <c r="D12" s="20"/>
      <c r="E12" s="49">
        <v>4.0</v>
      </c>
      <c r="F12" s="49">
        <v>6.0</v>
      </c>
      <c r="G12" s="49"/>
      <c r="H12" s="49"/>
      <c r="I12" s="51"/>
      <c r="J12" s="9"/>
      <c r="M12" s="11" t="s">
        <v>45</v>
      </c>
      <c r="N12" s="12"/>
      <c r="O12" s="12"/>
      <c r="P12" s="12"/>
      <c r="Q12" s="12"/>
      <c r="R12" s="12"/>
      <c r="S12" s="12"/>
      <c r="T12" s="12"/>
      <c r="U12" s="12"/>
      <c r="V12" s="12"/>
      <c r="W12" s="13"/>
      <c r="Z12" s="28" t="s">
        <v>29</v>
      </c>
      <c r="AA12" s="1">
        <f>SUM(R9,R14,R19,R24,R29)</f>
        <v>0</v>
      </c>
    </row>
    <row r="13" ht="14.25" customHeight="1">
      <c r="A13" s="49" t="s">
        <v>32</v>
      </c>
      <c r="B13" s="50" t="s">
        <v>107</v>
      </c>
      <c r="C13" s="18"/>
      <c r="D13" s="20"/>
      <c r="E13" s="49">
        <v>3.0</v>
      </c>
      <c r="F13" s="49">
        <v>10.0</v>
      </c>
      <c r="G13" s="49"/>
      <c r="H13" s="49"/>
      <c r="I13" s="51"/>
      <c r="J13" s="9"/>
      <c r="M13" s="25"/>
      <c r="N13" s="28" t="s">
        <v>16</v>
      </c>
      <c r="O13" s="28" t="s">
        <v>26</v>
      </c>
      <c r="P13" s="28" t="s">
        <v>27</v>
      </c>
      <c r="Q13" s="28" t="s">
        <v>28</v>
      </c>
      <c r="R13" s="28" t="s">
        <v>29</v>
      </c>
      <c r="S13" s="28" t="s">
        <v>30</v>
      </c>
      <c r="T13" s="28" t="s">
        <v>31</v>
      </c>
      <c r="U13" s="28" t="s">
        <v>32</v>
      </c>
      <c r="V13" s="28" t="s">
        <v>33</v>
      </c>
      <c r="W13" s="28" t="s">
        <v>12</v>
      </c>
      <c r="Z13" s="28" t="s">
        <v>30</v>
      </c>
      <c r="AA13" s="1">
        <f>SUM(S9,S14,S19,S24,S29)</f>
        <v>10</v>
      </c>
    </row>
    <row r="14" ht="14.25" customHeight="1">
      <c r="A14" s="27" t="s">
        <v>30</v>
      </c>
      <c r="B14" s="30" t="s">
        <v>487</v>
      </c>
      <c r="C14" s="18"/>
      <c r="D14" s="20"/>
      <c r="E14" s="27">
        <v>3.0</v>
      </c>
      <c r="F14" s="27" t="s">
        <v>71</v>
      </c>
      <c r="G14" s="27"/>
      <c r="H14" s="27"/>
      <c r="I14" s="33"/>
      <c r="J14" s="9"/>
      <c r="M14" s="34" t="s">
        <v>36</v>
      </c>
      <c r="N14" s="35">
        <f>SUMIF($A22:$A32,"Pecho",$E22:$E32)</f>
        <v>0</v>
      </c>
      <c r="O14" s="35">
        <f>SUMIF($A22:$A32,"Espalda",$E22:$E32)</f>
        <v>7</v>
      </c>
      <c r="P14" s="35">
        <f>SUMIF($A22:$A32,"Hombros",$E22:$E32)</f>
        <v>3</v>
      </c>
      <c r="Q14" s="35">
        <f>SUMIF($A22:$A32,"Bíceps",$E22:$E32)</f>
        <v>0</v>
      </c>
      <c r="R14" s="35">
        <f>SUMIF($A22:$A32,"Tríceps",$E22:$E32)</f>
        <v>0</v>
      </c>
      <c r="S14" s="35">
        <f>SUMIF($A22:$A32,"Cuádriceps",$E22:$E32)</f>
        <v>3</v>
      </c>
      <c r="T14" s="35">
        <f>SUMIF($A22:$A32,"Isquios",$E22:$E32)</f>
        <v>3</v>
      </c>
      <c r="U14" s="35">
        <f>SUMIF($A22:$A32,"Glúteos",$E22:$E32)</f>
        <v>0</v>
      </c>
      <c r="V14" s="35">
        <f>SUMIF($A22:$A32,"Pantorrillas",$E22:$E32)</f>
        <v>4</v>
      </c>
      <c r="W14" s="35">
        <f>SUMIF($A22:$A32,"Otros",$E22:$E32)</f>
        <v>13</v>
      </c>
      <c r="Z14" s="28" t="s">
        <v>31</v>
      </c>
      <c r="AA14" s="1">
        <f>SUM(T9,T14,T19,T24,T29)</f>
        <v>6</v>
      </c>
    </row>
    <row r="15" ht="14.25" customHeight="1">
      <c r="A15" s="27" t="s">
        <v>27</v>
      </c>
      <c r="B15" s="30" t="s">
        <v>52</v>
      </c>
      <c r="C15" s="18"/>
      <c r="D15" s="20"/>
      <c r="E15" s="27">
        <v>4.0</v>
      </c>
      <c r="F15" s="27">
        <v>8.0</v>
      </c>
      <c r="G15" s="27"/>
      <c r="H15" s="27"/>
      <c r="I15" s="33"/>
      <c r="J15" s="9"/>
      <c r="M15" s="34" t="s">
        <v>7</v>
      </c>
      <c r="N15" s="35" t="str">
        <f>AVERAGEIF($A22:$A32,"Pecho",$G22:$G32)</f>
        <v>#DIV/0!</v>
      </c>
      <c r="O15" s="35" t="str">
        <f>AVERAGEIF($A22:$A32,"Espalda",$G22:$G32)</f>
        <v>#DIV/0!</v>
      </c>
      <c r="P15" s="35" t="str">
        <f>AVERAGEIF($A22:$A32,"Hombros",$G22:$G32)</f>
        <v>#DIV/0!</v>
      </c>
      <c r="Q15" s="35" t="str">
        <f>AVERAGEIF($A22:$A32,"Bíceps",$G22:$G32)</f>
        <v>#DIV/0!</v>
      </c>
      <c r="R15" s="35" t="str">
        <f>AVERAGEIF($A22:$A32,"Tríceps",$G22:$G32)</f>
        <v>#DIV/0!</v>
      </c>
      <c r="S15" s="35" t="str">
        <f>AVERAGEIF($A22:$A32,"Cuádriceps",$G22:$G32)</f>
        <v>#DIV/0!</v>
      </c>
      <c r="T15" s="35" t="str">
        <f>AVERAGEIF($A22:$A32,"Isquios",$G22:$G32)</f>
        <v>#DIV/0!</v>
      </c>
      <c r="U15" s="35" t="str">
        <f>AVERAGEIF($A22:$A32,"Glúteos",$G22:$G32)</f>
        <v>#DIV/0!</v>
      </c>
      <c r="V15" s="35" t="str">
        <f>AVERAGEIF($A22:$A32,"Pantorrillas",$G22:$G32)</f>
        <v>#DIV/0!</v>
      </c>
      <c r="W15" s="35">
        <f>AVERAGEIF($A22:$A32,"Otros",$G22:$G32)</f>
        <v>8</v>
      </c>
      <c r="Z15" s="28" t="s">
        <v>32</v>
      </c>
      <c r="AA15" s="1">
        <f>SUM(U9,U14,U19,U24,U29)</f>
        <v>9</v>
      </c>
    </row>
    <row r="16" ht="14.25" customHeight="1">
      <c r="A16" s="49" t="s">
        <v>32</v>
      </c>
      <c r="B16" s="50" t="s">
        <v>496</v>
      </c>
      <c r="C16" s="18"/>
      <c r="D16" s="20"/>
      <c r="E16" s="49">
        <v>3.0</v>
      </c>
      <c r="F16" s="49" t="s">
        <v>65</v>
      </c>
      <c r="G16" s="49"/>
      <c r="H16" s="49"/>
      <c r="I16" s="51"/>
      <c r="J16" s="9"/>
      <c r="M16" s="25"/>
      <c r="N16" s="25"/>
      <c r="O16" s="25"/>
      <c r="P16" s="25"/>
      <c r="Q16" s="25"/>
      <c r="R16" s="25"/>
      <c r="S16" s="25"/>
      <c r="T16" s="25"/>
      <c r="U16" s="25"/>
      <c r="Z16" s="28" t="s">
        <v>33</v>
      </c>
      <c r="AA16" s="1">
        <f>SUM(V9,V14,V19,V24,V29)</f>
        <v>4</v>
      </c>
    </row>
    <row r="17" ht="14.25" customHeight="1">
      <c r="A17" s="49" t="s">
        <v>12</v>
      </c>
      <c r="B17" s="50" t="s">
        <v>497</v>
      </c>
      <c r="C17" s="18"/>
      <c r="D17" s="20"/>
      <c r="E17" s="49">
        <v>3.0</v>
      </c>
      <c r="F17" s="49">
        <v>12.0</v>
      </c>
      <c r="G17" s="49"/>
      <c r="H17" s="49"/>
      <c r="I17" s="51"/>
      <c r="J17" s="9"/>
      <c r="M17" s="11" t="s">
        <v>57</v>
      </c>
      <c r="N17" s="12"/>
      <c r="O17" s="12"/>
      <c r="P17" s="12"/>
      <c r="Q17" s="12"/>
      <c r="R17" s="12"/>
      <c r="S17" s="12"/>
      <c r="T17" s="12"/>
      <c r="U17" s="12"/>
      <c r="V17" s="12"/>
      <c r="W17" s="13"/>
      <c r="Z17" s="28" t="s">
        <v>12</v>
      </c>
      <c r="AA17" s="1">
        <f>SUM(W9,W14,W19,W24,W29)</f>
        <v>37</v>
      </c>
    </row>
    <row r="18" ht="14.25" customHeight="1">
      <c r="B18" s="26"/>
      <c r="C18" s="29"/>
      <c r="D18" s="29"/>
      <c r="M18" s="25"/>
      <c r="N18" s="28" t="s">
        <v>16</v>
      </c>
      <c r="O18" s="28" t="s">
        <v>26</v>
      </c>
      <c r="P18" s="28" t="s">
        <v>27</v>
      </c>
      <c r="Q18" s="28" t="s">
        <v>28</v>
      </c>
      <c r="R18" s="28" t="s">
        <v>29</v>
      </c>
      <c r="S18" s="28" t="s">
        <v>30</v>
      </c>
      <c r="T18" s="28" t="s">
        <v>31</v>
      </c>
      <c r="U18" s="28" t="s">
        <v>32</v>
      </c>
      <c r="V18" s="28" t="s">
        <v>33</v>
      </c>
      <c r="W18" s="28" t="s">
        <v>12</v>
      </c>
    </row>
    <row r="19" ht="14.25" customHeight="1">
      <c r="M19" s="34" t="s">
        <v>36</v>
      </c>
      <c r="N19" s="35">
        <f>SUMIF($A37:$A46,"Pecho",$E37:$E46)</f>
        <v>10</v>
      </c>
      <c r="O19" s="35">
        <f>SUMIF($A37:$A46,"Espalda",$E37:$E46)</f>
        <v>0</v>
      </c>
      <c r="P19" s="35">
        <f>SUMIF($A37:$A46,"Hombros",$E37:$E46)</f>
        <v>4</v>
      </c>
      <c r="Q19" s="35">
        <f>SUMIF($A37:$A46,"Bíceps",$E37:$E46)</f>
        <v>3</v>
      </c>
      <c r="R19" s="35">
        <f>SUMIF($A37:$A46,"Tríceps",$E37:$E46)</f>
        <v>0</v>
      </c>
      <c r="S19" s="35">
        <f>SUMIF($A37:$A46,"Cuádriceps",$E37:$E46)</f>
        <v>0</v>
      </c>
      <c r="T19" s="35">
        <f>SUMIF($A37:$A46,"Isquios",$E37:$E46)</f>
        <v>3</v>
      </c>
      <c r="U19" s="35">
        <f>SUMIF($A37:$A46,"Glúteos",$E37:$E46)</f>
        <v>3</v>
      </c>
      <c r="V19" s="35">
        <f>SUMIF($A37:$A46,"Pantorrillas",$E37:$E46)</f>
        <v>0</v>
      </c>
      <c r="W19" s="35">
        <f>SUMIF($A37:$A46,"Otros",$E37:$E46)</f>
        <v>9</v>
      </c>
    </row>
    <row r="20" ht="14.25" customHeight="1">
      <c r="A20" s="2" t="s">
        <v>500</v>
      </c>
      <c r="B20" s="3"/>
      <c r="C20" s="4"/>
      <c r="J20" s="1"/>
      <c r="M20" s="34" t="s">
        <v>7</v>
      </c>
      <c r="N20" s="35" t="str">
        <f>AVERAGEIF($A37:$A46,"Pecho",$G37:$G46)</f>
        <v>#DIV/0!</v>
      </c>
      <c r="O20" s="35" t="str">
        <f>AVERAGEIF($A37:$A46,"Espalda",$G37:$G46)</f>
        <v>#DIV/0!</v>
      </c>
      <c r="P20" s="35" t="str">
        <f>AVERAGEIF($A37:$A46,"Hombros",$G37:$G46)</f>
        <v>#DIV/0!</v>
      </c>
      <c r="Q20" s="35" t="str">
        <f>AVERAGEIF($A37:$A46,"Bíceps",$G37:$G46)</f>
        <v>#DIV/0!</v>
      </c>
      <c r="R20" s="35" t="str">
        <f>AVERAGEIF($A37:$A46,"Tríceps",$G37:$G46)</f>
        <v>#DIV/0!</v>
      </c>
      <c r="S20" s="35" t="str">
        <f>AVERAGEIF($A37:$A46,"Cuádriceps",$G37:$G46)</f>
        <v>#DIV/0!</v>
      </c>
      <c r="T20" s="35">
        <f>AVERAGEIF($A37:$A46,"Isquios",$G37:$G46)</f>
        <v>8</v>
      </c>
      <c r="U20" s="35" t="str">
        <f>AVERAGEIF($A37:$A46,"Glúteos",$G37:$G46)</f>
        <v>#DIV/0!</v>
      </c>
      <c r="V20" s="35" t="str">
        <f>AVERAGEIF($A37:$A46,"Pantorrillas",$G37:$G46)</f>
        <v>#DIV/0!</v>
      </c>
      <c r="W20" s="35" t="str">
        <f>AVERAGEIF($A37:$A46,"Otros",$G37:$G46)</f>
        <v>#DIV/0!</v>
      </c>
    </row>
    <row r="21" ht="14.25" customHeight="1">
      <c r="A21" s="5" t="s">
        <v>2</v>
      </c>
      <c r="B21" s="7" t="s">
        <v>4</v>
      </c>
      <c r="C21" s="8"/>
      <c r="D21" s="9"/>
      <c r="E21" s="5" t="s">
        <v>5</v>
      </c>
      <c r="F21" s="5" t="s">
        <v>6</v>
      </c>
      <c r="G21" s="5" t="s">
        <v>7</v>
      </c>
      <c r="H21" s="5" t="s">
        <v>8</v>
      </c>
      <c r="I21" s="7" t="s">
        <v>9</v>
      </c>
      <c r="J21" s="9"/>
      <c r="M21" s="25"/>
      <c r="N21" s="25"/>
      <c r="O21" s="25"/>
      <c r="P21" s="25"/>
      <c r="Q21" s="25"/>
      <c r="R21" s="25"/>
      <c r="S21" s="25"/>
      <c r="T21" s="25"/>
      <c r="U21" s="25"/>
    </row>
    <row r="22" ht="14.25" customHeight="1">
      <c r="A22" s="68" t="s">
        <v>12</v>
      </c>
      <c r="B22" s="69"/>
      <c r="C22" s="18"/>
      <c r="D22" s="20"/>
      <c r="E22" s="68">
        <v>2.0</v>
      </c>
      <c r="F22" s="68">
        <v>10.0</v>
      </c>
      <c r="G22" s="68"/>
      <c r="H22" s="68"/>
      <c r="I22" s="71"/>
      <c r="J22" s="9"/>
      <c r="M22" s="11" t="s">
        <v>66</v>
      </c>
      <c r="N22" s="12"/>
      <c r="O22" s="12"/>
      <c r="P22" s="12"/>
      <c r="Q22" s="12"/>
      <c r="R22" s="12"/>
      <c r="S22" s="12"/>
      <c r="T22" s="12"/>
      <c r="U22" s="12"/>
      <c r="V22" s="12"/>
      <c r="W22" s="13"/>
    </row>
    <row r="23" ht="14.25" customHeight="1">
      <c r="A23" s="68" t="s">
        <v>12</v>
      </c>
      <c r="B23" s="69" t="s">
        <v>100</v>
      </c>
      <c r="C23" s="18"/>
      <c r="D23" s="20"/>
      <c r="E23" s="68">
        <v>2.0</v>
      </c>
      <c r="F23" s="68">
        <v>12.0</v>
      </c>
      <c r="G23" s="68"/>
      <c r="H23" s="68"/>
      <c r="I23" s="71"/>
      <c r="J23" s="9"/>
      <c r="M23" s="25"/>
      <c r="N23" s="28" t="s">
        <v>16</v>
      </c>
      <c r="O23" s="28" t="s">
        <v>26</v>
      </c>
      <c r="P23" s="28" t="s">
        <v>27</v>
      </c>
      <c r="Q23" s="28" t="s">
        <v>28</v>
      </c>
      <c r="R23" s="28" t="s">
        <v>29</v>
      </c>
      <c r="S23" s="28" t="s">
        <v>30</v>
      </c>
      <c r="T23" s="28" t="s">
        <v>31</v>
      </c>
      <c r="U23" s="28" t="s">
        <v>32</v>
      </c>
      <c r="V23" s="28" t="s">
        <v>33</v>
      </c>
      <c r="W23" s="28" t="s">
        <v>12</v>
      </c>
    </row>
    <row r="24" ht="14.25" customHeight="1">
      <c r="A24" s="68" t="s">
        <v>12</v>
      </c>
      <c r="B24" s="69" t="s">
        <v>425</v>
      </c>
      <c r="C24" s="18"/>
      <c r="D24" s="20"/>
      <c r="E24" s="68">
        <v>2.0</v>
      </c>
      <c r="F24" s="68">
        <v>10.0</v>
      </c>
      <c r="G24" s="68"/>
      <c r="H24" s="68"/>
      <c r="I24" s="71"/>
      <c r="J24" s="9"/>
      <c r="M24" s="34" t="s">
        <v>36</v>
      </c>
      <c r="N24" s="35">
        <f>SUMIF($A51:$A60,"Pecho",$E51:$E60)</f>
        <v>0</v>
      </c>
      <c r="O24" s="35">
        <f>SUMIF($A51:$A60,"Espalda",$E51:$E60)</f>
        <v>0</v>
      </c>
      <c r="P24" s="35">
        <f>SUMIF($A51:$A60,"Hombros",$E51:$E60)</f>
        <v>0</v>
      </c>
      <c r="Q24" s="35">
        <f>SUMIF($A51:$A60,"Bíceps",$E51:$E60)</f>
        <v>0</v>
      </c>
      <c r="R24" s="35">
        <f>SUMIF($A51:$A60,"Tríceps",$E51:$E60)</f>
        <v>0</v>
      </c>
      <c r="S24" s="35">
        <f>SUMIF($A51:$A60,"Cuádriceps",$E51:$E60)</f>
        <v>0</v>
      </c>
      <c r="T24" s="35">
        <f>SUMIF($A51:$A60,"Isquios",$E51:$E60)</f>
        <v>0</v>
      </c>
      <c r="U24" s="35">
        <f>SUMIF($A51:$A60,"Glúteos",$E51:$E60)</f>
        <v>0</v>
      </c>
      <c r="V24" s="35">
        <f>SUMIF($A51:$A60,"Pantorrillas",$E51:$E60)</f>
        <v>0</v>
      </c>
      <c r="W24" s="35">
        <f>SUMIF($A51:$A60,"Otros",$E51:$E60)</f>
        <v>0</v>
      </c>
    </row>
    <row r="25" ht="14.25" customHeight="1">
      <c r="A25" s="27" t="s">
        <v>12</v>
      </c>
      <c r="B25" s="30" t="s">
        <v>505</v>
      </c>
      <c r="C25" s="18"/>
      <c r="D25" s="20"/>
      <c r="E25" s="27">
        <v>4.0</v>
      </c>
      <c r="F25" s="27">
        <v>5.0</v>
      </c>
      <c r="G25" s="27">
        <v>8.0</v>
      </c>
      <c r="H25" s="27" t="s">
        <v>55</v>
      </c>
      <c r="I25" s="33"/>
      <c r="J25" s="9"/>
      <c r="M25" s="34" t="s">
        <v>7</v>
      </c>
      <c r="N25" s="35" t="str">
        <f>AVERAGEIF($A51:$A60,"Pecho",$G51:$G60)</f>
        <v>#DIV/0!</v>
      </c>
      <c r="O25" s="35" t="str">
        <f>AVERAGEIF($A51:$A60,"Espalda",$G51:$G60)</f>
        <v>#DIV/0!</v>
      </c>
      <c r="P25" s="35" t="str">
        <f>AVERAGEIF($A51:$A60,"Hombros",$G51:$G60)</f>
        <v>#DIV/0!</v>
      </c>
      <c r="Q25" s="35" t="str">
        <f>AVERAGEIF($A51:$A60,"Bíceps",$G51:$G60)</f>
        <v>#DIV/0!</v>
      </c>
      <c r="R25" s="35" t="str">
        <f>AVERAGEIF($A51:$A60,"Tríceps",$G51:$G60)</f>
        <v>#DIV/0!</v>
      </c>
      <c r="S25" s="35" t="str">
        <f>AVERAGEIF($A51:$A60,"Cuádriceps",$G51:$G60)</f>
        <v>#DIV/0!</v>
      </c>
      <c r="T25" s="35" t="str">
        <f>AVERAGEIF($A51:$A60,"Isquios",$G51:$G60)</f>
        <v>#DIV/0!</v>
      </c>
      <c r="U25" s="35" t="str">
        <f>AVERAGEIF($A51:$A60,"Glúteos",$G51:$G60)</f>
        <v>#DIV/0!</v>
      </c>
      <c r="V25" s="35" t="str">
        <f>AVERAGEIF($A51:$A60,"Pantorrillas",$G51:$G60)</f>
        <v>#DIV/0!</v>
      </c>
      <c r="W25" s="35" t="str">
        <f>AVERAGEIF($A51:$A60,"Otros",$G51:$G60)</f>
        <v>#DIV/0!</v>
      </c>
    </row>
    <row r="26" ht="14.25" customHeight="1">
      <c r="A26" s="49" t="s">
        <v>30</v>
      </c>
      <c r="B26" s="50" t="s">
        <v>507</v>
      </c>
      <c r="C26" s="18"/>
      <c r="D26" s="20"/>
      <c r="E26" s="49">
        <v>3.0</v>
      </c>
      <c r="F26" s="49">
        <v>6.0</v>
      </c>
      <c r="G26" s="49"/>
      <c r="H26" s="49"/>
      <c r="I26" s="51"/>
      <c r="J26" s="9"/>
      <c r="M26" s="25"/>
      <c r="N26" s="25"/>
      <c r="O26" s="25"/>
      <c r="P26" s="25"/>
      <c r="Q26" s="25"/>
      <c r="R26" s="25"/>
      <c r="S26" s="25"/>
      <c r="T26" s="25"/>
      <c r="U26" s="25"/>
    </row>
    <row r="27" ht="14.25" customHeight="1">
      <c r="A27" s="49" t="s">
        <v>26</v>
      </c>
      <c r="B27" s="50" t="s">
        <v>121</v>
      </c>
      <c r="C27" s="18"/>
      <c r="D27" s="20"/>
      <c r="E27" s="49">
        <v>4.0</v>
      </c>
      <c r="F27" s="49" t="s">
        <v>108</v>
      </c>
      <c r="G27" s="49"/>
      <c r="H27" s="49"/>
      <c r="I27" s="51"/>
      <c r="J27" s="9"/>
      <c r="M27" s="11" t="s">
        <v>76</v>
      </c>
      <c r="N27" s="12"/>
      <c r="O27" s="12"/>
      <c r="P27" s="12"/>
      <c r="Q27" s="12"/>
      <c r="R27" s="12"/>
      <c r="S27" s="12"/>
      <c r="T27" s="12"/>
      <c r="U27" s="12"/>
      <c r="V27" s="12"/>
      <c r="W27" s="13"/>
    </row>
    <row r="28" ht="14.25" customHeight="1">
      <c r="A28" s="27" t="s">
        <v>26</v>
      </c>
      <c r="B28" s="30" t="s">
        <v>510</v>
      </c>
      <c r="C28" s="18"/>
      <c r="D28" s="20"/>
      <c r="E28" s="27">
        <v>3.0</v>
      </c>
      <c r="F28" s="27">
        <v>8.0</v>
      </c>
      <c r="G28" s="27"/>
      <c r="H28" s="27"/>
      <c r="I28" s="33"/>
      <c r="J28" s="9"/>
      <c r="M28" s="25"/>
      <c r="N28" s="28" t="s">
        <v>16</v>
      </c>
      <c r="O28" s="28" t="s">
        <v>26</v>
      </c>
      <c r="P28" s="28" t="s">
        <v>27</v>
      </c>
      <c r="Q28" s="28" t="s">
        <v>28</v>
      </c>
      <c r="R28" s="28" t="s">
        <v>29</v>
      </c>
      <c r="S28" s="28" t="s">
        <v>30</v>
      </c>
      <c r="T28" s="28" t="s">
        <v>31</v>
      </c>
      <c r="U28" s="28" t="s">
        <v>32</v>
      </c>
      <c r="V28" s="28" t="s">
        <v>33</v>
      </c>
      <c r="W28" s="28" t="s">
        <v>12</v>
      </c>
    </row>
    <row r="29" ht="14.25" customHeight="1">
      <c r="A29" s="27" t="s">
        <v>31</v>
      </c>
      <c r="B29" s="30" t="s">
        <v>512</v>
      </c>
      <c r="C29" s="18"/>
      <c r="D29" s="20"/>
      <c r="E29" s="27">
        <v>3.0</v>
      </c>
      <c r="F29" s="27">
        <v>12.0</v>
      </c>
      <c r="G29" s="27"/>
      <c r="H29" s="27"/>
      <c r="I29" s="33"/>
      <c r="J29" s="9"/>
      <c r="M29" s="34" t="s">
        <v>36</v>
      </c>
      <c r="N29" s="35">
        <f>SUMIF($A65:$A74,"Pecho",$E65:$E74)</f>
        <v>0</v>
      </c>
      <c r="O29" s="35">
        <f>SUMIF($A65:$A74,"Espalda",$E65:$E74)</f>
        <v>0</v>
      </c>
      <c r="P29" s="35">
        <f>SUMIF($A65:$A74,"Hombros",$E65:$E74)</f>
        <v>0</v>
      </c>
      <c r="Q29" s="35">
        <f>SUMIF($A65:$A74,"Bíceps",$E65:$E74)</f>
        <v>0</v>
      </c>
      <c r="R29" s="35">
        <f>SUMIF($A65:$A74,"Tríceps",$E65:$E74)</f>
        <v>0</v>
      </c>
      <c r="S29" s="35">
        <f>SUMIF($A65:$A74,"Cuádriceps",$E65:$E74)</f>
        <v>0</v>
      </c>
      <c r="T29" s="35">
        <f>SUMIF($A65:$A74,"Isquios",$E65:$E74)</f>
        <v>0</v>
      </c>
      <c r="U29" s="35">
        <f>SUMIF($A65:$A74,"Glúteos",$E65:$E74)</f>
        <v>0</v>
      </c>
      <c r="V29" s="35">
        <f>SUMIF($A65:$A74,"Pantorrillas",$E65:$E74)</f>
        <v>0</v>
      </c>
      <c r="W29" s="35">
        <f>SUMIF($A65:$A74,"Otros",$E65:$E74)</f>
        <v>0</v>
      </c>
    </row>
    <row r="30" ht="14.25" customHeight="1">
      <c r="A30" s="27" t="s">
        <v>33</v>
      </c>
      <c r="B30" s="60" t="s">
        <v>518</v>
      </c>
      <c r="C30" s="8"/>
      <c r="D30" s="9"/>
      <c r="E30" s="27">
        <v>4.0</v>
      </c>
      <c r="F30" s="27">
        <v>3.0</v>
      </c>
      <c r="G30" s="27"/>
      <c r="H30" s="27"/>
      <c r="I30" s="33"/>
      <c r="J30" s="9"/>
      <c r="M30" s="34" t="s">
        <v>7</v>
      </c>
      <c r="N30" s="35" t="str">
        <f>AVERAGEIF($A65:$A74,"Pecho",$G65:$G74)</f>
        <v>#DIV/0!</v>
      </c>
      <c r="O30" s="35" t="str">
        <f>AVERAGEIF($A65:$A74,"Espalda",$G65:$G74)</f>
        <v>#DIV/0!</v>
      </c>
      <c r="P30" s="35" t="str">
        <f>AVERAGEIF($A65:$A74,"Hombros",$G65:$G74)</f>
        <v>#DIV/0!</v>
      </c>
      <c r="Q30" s="35" t="str">
        <f>AVERAGEIF($A65:$A74,"Bíceps",$G65:$G74)</f>
        <v>#DIV/0!</v>
      </c>
      <c r="R30" s="35" t="str">
        <f>AVERAGEIF($A65:$A74,"Tríceps",$G65:$G74)</f>
        <v>#DIV/0!</v>
      </c>
      <c r="S30" s="35" t="str">
        <f>AVERAGEIF($A65:$A74,"Cuádriceps",$G65:$G74)</f>
        <v>#DIV/0!</v>
      </c>
      <c r="T30" s="35" t="str">
        <f>AVERAGEIF($A65:$A74,"Isquios",$G65:$G74)</f>
        <v>#DIV/0!</v>
      </c>
      <c r="U30" s="35" t="str">
        <f>AVERAGEIF($A65:$A74,"Glúteos",$G65:$G74)</f>
        <v>#DIV/0!</v>
      </c>
      <c r="V30" s="35" t="str">
        <f>AVERAGEIF($A65:$A74,"Pantorrillas",$G65:$G74)</f>
        <v>#DIV/0!</v>
      </c>
      <c r="W30" s="35" t="str">
        <f>AVERAGEIF($A65:$A74,"Otros",$G65:$G74)</f>
        <v>#DIV/0!</v>
      </c>
    </row>
    <row r="31" ht="14.25" customHeight="1">
      <c r="A31" s="49" t="s">
        <v>27</v>
      </c>
      <c r="B31" s="62" t="s">
        <v>145</v>
      </c>
      <c r="C31" s="8"/>
      <c r="D31" s="9"/>
      <c r="E31" s="49">
        <v>3.0</v>
      </c>
      <c r="F31" s="49">
        <v>10.0</v>
      </c>
      <c r="G31" s="49"/>
      <c r="H31" s="49"/>
      <c r="I31" s="63"/>
      <c r="J31" s="64"/>
      <c r="M31" s="65"/>
      <c r="N31" s="25"/>
      <c r="O31" s="25"/>
      <c r="P31" s="25"/>
      <c r="Q31" s="25"/>
      <c r="R31" s="25"/>
      <c r="S31" s="25"/>
      <c r="T31" s="25"/>
      <c r="U31" s="25"/>
      <c r="V31" s="25"/>
      <c r="W31" s="25"/>
    </row>
    <row r="32" ht="14.25" customHeight="1">
      <c r="A32" s="49" t="s">
        <v>12</v>
      </c>
      <c r="B32" s="66" t="s">
        <v>528</v>
      </c>
      <c r="C32" s="8"/>
      <c r="D32" s="9"/>
      <c r="E32" s="49">
        <v>3.0</v>
      </c>
      <c r="F32" s="49" t="s">
        <v>128</v>
      </c>
      <c r="G32" s="49"/>
      <c r="H32" s="49"/>
      <c r="I32" s="51"/>
      <c r="J32" s="9"/>
    </row>
    <row r="33" ht="14.25" customHeight="1">
      <c r="B33" s="26"/>
      <c r="C33" s="29"/>
      <c r="D33" s="29"/>
    </row>
    <row r="34" ht="14.25" customHeight="1"/>
    <row r="35" ht="14.25" customHeight="1">
      <c r="A35" s="2" t="s">
        <v>427</v>
      </c>
      <c r="B35" s="3"/>
      <c r="C35" s="4"/>
      <c r="J35" s="1"/>
    </row>
    <row r="36" ht="14.25" customHeight="1">
      <c r="A36" s="5" t="s">
        <v>2</v>
      </c>
      <c r="B36" s="7" t="s">
        <v>4</v>
      </c>
      <c r="C36" s="8"/>
      <c r="D36" s="9"/>
      <c r="E36" s="5" t="s">
        <v>5</v>
      </c>
      <c r="F36" s="5" t="s">
        <v>6</v>
      </c>
      <c r="G36" s="5" t="s">
        <v>7</v>
      </c>
      <c r="H36" s="5" t="s">
        <v>8</v>
      </c>
      <c r="I36" s="7" t="s">
        <v>9</v>
      </c>
      <c r="J36" s="9"/>
    </row>
    <row r="37" ht="14.25" customHeight="1">
      <c r="A37" s="53" t="s">
        <v>12</v>
      </c>
      <c r="B37" s="54" t="s">
        <v>440</v>
      </c>
      <c r="C37" s="18"/>
      <c r="D37" s="20"/>
      <c r="E37" s="53">
        <v>3.0</v>
      </c>
      <c r="F37" s="53">
        <v>10.0</v>
      </c>
      <c r="G37" s="53"/>
      <c r="H37" s="53"/>
      <c r="I37" s="55"/>
      <c r="J37" s="9"/>
    </row>
    <row r="38" ht="14.25" customHeight="1">
      <c r="A38" s="53" t="s">
        <v>12</v>
      </c>
      <c r="B38" s="54" t="s">
        <v>368</v>
      </c>
      <c r="C38" s="18"/>
      <c r="D38" s="20"/>
      <c r="E38" s="53">
        <v>3.0</v>
      </c>
      <c r="F38" s="53">
        <v>12.0</v>
      </c>
      <c r="G38" s="53"/>
      <c r="H38" s="53"/>
      <c r="I38" s="55"/>
      <c r="J38" s="9"/>
    </row>
    <row r="39" ht="14.25" customHeight="1">
      <c r="A39" s="53" t="s">
        <v>12</v>
      </c>
      <c r="B39" s="54" t="s">
        <v>369</v>
      </c>
      <c r="C39" s="18"/>
      <c r="D39" s="20"/>
      <c r="E39" s="53">
        <v>3.0</v>
      </c>
      <c r="F39" s="53">
        <v>12.0</v>
      </c>
      <c r="G39" s="53"/>
      <c r="H39" s="53"/>
      <c r="I39" s="55"/>
      <c r="J39" s="9"/>
    </row>
    <row r="40" ht="14.25" customHeight="1">
      <c r="A40" s="49" t="s">
        <v>31</v>
      </c>
      <c r="B40" s="50" t="s">
        <v>531</v>
      </c>
      <c r="C40" s="18"/>
      <c r="D40" s="20"/>
      <c r="E40" s="49">
        <v>3.0</v>
      </c>
      <c r="F40" s="49">
        <v>6.0</v>
      </c>
      <c r="G40" s="49">
        <v>8.0</v>
      </c>
      <c r="H40" s="49" t="s">
        <v>55</v>
      </c>
      <c r="I40" s="51"/>
      <c r="J40" s="9"/>
    </row>
    <row r="41" ht="14.25" customHeight="1">
      <c r="A41" s="49" t="s">
        <v>16</v>
      </c>
      <c r="B41" s="50" t="s">
        <v>536</v>
      </c>
      <c r="C41" s="18"/>
      <c r="D41" s="20"/>
      <c r="E41" s="49">
        <v>3.0</v>
      </c>
      <c r="F41" s="49">
        <v>6.0</v>
      </c>
      <c r="G41" s="49"/>
      <c r="H41" s="49"/>
      <c r="I41" s="51"/>
      <c r="J41" s="9"/>
    </row>
    <row r="42" ht="14.25" customHeight="1">
      <c r="A42" s="27" t="s">
        <v>16</v>
      </c>
      <c r="B42" s="30" t="s">
        <v>538</v>
      </c>
      <c r="C42" s="18"/>
      <c r="D42" s="20"/>
      <c r="E42" s="27">
        <v>3.0</v>
      </c>
      <c r="F42" s="27">
        <v>6.0</v>
      </c>
      <c r="G42" s="27"/>
      <c r="H42" s="27"/>
      <c r="I42" s="33"/>
      <c r="J42" s="9"/>
    </row>
    <row r="43" ht="14.25" customHeight="1">
      <c r="A43" s="27" t="s">
        <v>32</v>
      </c>
      <c r="B43" s="30" t="s">
        <v>540</v>
      </c>
      <c r="C43" s="18"/>
      <c r="D43" s="20"/>
      <c r="E43" s="27">
        <v>3.0</v>
      </c>
      <c r="F43" s="27">
        <v>6.0</v>
      </c>
      <c r="G43" s="27"/>
      <c r="H43" s="27"/>
      <c r="I43" s="33"/>
      <c r="J43" s="9"/>
    </row>
    <row r="44" ht="14.25" customHeight="1">
      <c r="A44" s="49" t="s">
        <v>16</v>
      </c>
      <c r="B44" s="50" t="s">
        <v>460</v>
      </c>
      <c r="C44" s="18"/>
      <c r="D44" s="20"/>
      <c r="E44" s="49">
        <v>4.0</v>
      </c>
      <c r="F44" s="49" t="s">
        <v>65</v>
      </c>
      <c r="G44" s="49"/>
      <c r="H44" s="49"/>
      <c r="I44" s="51"/>
      <c r="J44" s="9"/>
    </row>
    <row r="45" ht="14.25" customHeight="1">
      <c r="A45" s="49" t="s">
        <v>27</v>
      </c>
      <c r="B45" s="50" t="s">
        <v>544</v>
      </c>
      <c r="C45" s="18"/>
      <c r="D45" s="20"/>
      <c r="E45" s="49">
        <v>4.0</v>
      </c>
      <c r="F45" s="49" t="s">
        <v>71</v>
      </c>
      <c r="G45" s="49"/>
      <c r="H45" s="49"/>
      <c r="I45" s="51"/>
      <c r="J45" s="9"/>
    </row>
    <row r="46" ht="14.25" customHeight="1">
      <c r="A46" s="49" t="s">
        <v>28</v>
      </c>
      <c r="B46" s="66" t="s">
        <v>545</v>
      </c>
      <c r="C46" s="8"/>
      <c r="D46" s="9"/>
      <c r="E46" s="49">
        <v>3.0</v>
      </c>
      <c r="F46" s="49">
        <v>12.0</v>
      </c>
      <c r="G46" s="49"/>
      <c r="H46" s="49"/>
      <c r="I46" s="51"/>
      <c r="J46" s="9"/>
    </row>
    <row r="47" ht="14.25" customHeight="1">
      <c r="B47" s="26"/>
      <c r="C47" s="29"/>
      <c r="D47" s="29"/>
    </row>
    <row r="48" ht="14.25" customHeight="1"/>
    <row r="49" ht="14.25" customHeight="1">
      <c r="A49" s="2" t="s">
        <v>66</v>
      </c>
      <c r="B49" s="3"/>
      <c r="C49" s="4"/>
      <c r="J49" s="1"/>
    </row>
    <row r="50" ht="14.25" customHeight="1">
      <c r="A50" s="6" t="s">
        <v>2</v>
      </c>
      <c r="B50" s="10" t="s">
        <v>4</v>
      </c>
      <c r="C50" s="8"/>
      <c r="D50" s="9"/>
      <c r="E50" s="6" t="s">
        <v>5</v>
      </c>
      <c r="F50" s="6" t="s">
        <v>6</v>
      </c>
      <c r="G50" s="6" t="s">
        <v>7</v>
      </c>
      <c r="H50" s="6" t="s">
        <v>8</v>
      </c>
      <c r="I50" s="10" t="s">
        <v>9</v>
      </c>
      <c r="J50" s="9"/>
    </row>
    <row r="51" ht="14.25" customHeight="1">
      <c r="A51" s="16"/>
      <c r="B51" s="26"/>
      <c r="C51" s="29"/>
      <c r="D51" s="29"/>
      <c r="E51" s="16"/>
      <c r="F51" s="16"/>
      <c r="G51" s="16"/>
      <c r="H51" s="16"/>
      <c r="I51" s="24"/>
      <c r="J51" s="9"/>
    </row>
    <row r="52" ht="14.25" customHeight="1">
      <c r="A52" s="16"/>
      <c r="B52" s="26"/>
      <c r="C52" s="29"/>
      <c r="D52" s="29"/>
      <c r="E52" s="16"/>
      <c r="F52" s="16"/>
      <c r="G52" s="16"/>
      <c r="H52" s="16"/>
      <c r="I52" s="24"/>
      <c r="J52" s="9"/>
    </row>
    <row r="53" ht="14.25" customHeight="1">
      <c r="A53" s="16" t="s">
        <v>12</v>
      </c>
      <c r="B53" s="26" t="s">
        <v>329</v>
      </c>
      <c r="C53" s="29"/>
      <c r="D53" s="29"/>
      <c r="E53" s="16"/>
      <c r="F53" s="16">
        <v>10.0</v>
      </c>
      <c r="G53" s="16"/>
      <c r="H53" s="16"/>
      <c r="I53" s="24"/>
      <c r="J53" s="9"/>
    </row>
    <row r="54" ht="14.25" customHeight="1">
      <c r="A54" s="16" t="s">
        <v>31</v>
      </c>
      <c r="B54" s="30" t="s">
        <v>331</v>
      </c>
      <c r="C54" s="18"/>
      <c r="D54" s="20"/>
      <c r="E54" s="27"/>
      <c r="F54" s="27">
        <v>10.0</v>
      </c>
      <c r="G54" s="27"/>
      <c r="H54" s="27"/>
      <c r="I54" s="24"/>
      <c r="J54" s="9"/>
    </row>
    <row r="55" ht="14.25" customHeight="1">
      <c r="A55" s="16" t="s">
        <v>32</v>
      </c>
      <c r="B55" s="30" t="s">
        <v>333</v>
      </c>
      <c r="C55" s="18"/>
      <c r="D55" s="20"/>
      <c r="E55" s="27"/>
      <c r="F55" s="27" t="s">
        <v>278</v>
      </c>
      <c r="G55" s="27"/>
      <c r="H55" s="27"/>
      <c r="I55" s="24"/>
      <c r="J55" s="9"/>
    </row>
    <row r="56" ht="14.25" customHeight="1">
      <c r="A56" s="16" t="s">
        <v>26</v>
      </c>
      <c r="B56" s="30" t="s">
        <v>335</v>
      </c>
      <c r="C56" s="18"/>
      <c r="D56" s="20"/>
      <c r="E56" s="27"/>
      <c r="F56" s="27">
        <v>8.0</v>
      </c>
      <c r="G56" s="27"/>
      <c r="H56" s="27"/>
      <c r="I56" s="24"/>
      <c r="J56" s="9"/>
    </row>
    <row r="57" ht="14.25" customHeight="1">
      <c r="A57" s="16" t="s">
        <v>32</v>
      </c>
      <c r="B57" s="30" t="s">
        <v>338</v>
      </c>
      <c r="C57" s="18"/>
      <c r="D57" s="20"/>
      <c r="E57" s="27"/>
      <c r="F57" s="27">
        <v>8.0</v>
      </c>
      <c r="G57" s="27"/>
      <c r="H57" s="27"/>
      <c r="I57" s="24"/>
      <c r="J57" s="9"/>
    </row>
    <row r="58" ht="14.25" customHeight="1">
      <c r="A58" s="16" t="s">
        <v>26</v>
      </c>
      <c r="B58" s="30" t="s">
        <v>340</v>
      </c>
      <c r="C58" s="18"/>
      <c r="D58" s="20"/>
      <c r="E58" s="27"/>
      <c r="F58" s="27">
        <v>10.0</v>
      </c>
      <c r="G58" s="27"/>
      <c r="H58" s="27"/>
      <c r="I58" s="24"/>
      <c r="J58" s="9"/>
    </row>
    <row r="59" ht="14.25" customHeight="1">
      <c r="A59" s="16" t="s">
        <v>28</v>
      </c>
      <c r="B59" s="30" t="s">
        <v>341</v>
      </c>
      <c r="C59" s="18"/>
      <c r="D59" s="20"/>
      <c r="E59" s="27"/>
      <c r="F59" s="27"/>
      <c r="G59" s="27"/>
      <c r="H59" s="27"/>
      <c r="I59" s="24"/>
      <c r="J59" s="9"/>
    </row>
    <row r="60" ht="14.25" customHeight="1">
      <c r="A60" s="16" t="s">
        <v>33</v>
      </c>
      <c r="B60" s="60" t="s">
        <v>342</v>
      </c>
      <c r="C60" s="8"/>
      <c r="D60" s="9"/>
      <c r="E60" s="27"/>
      <c r="F60" s="27">
        <v>10.0</v>
      </c>
      <c r="G60" s="27"/>
      <c r="H60" s="27"/>
      <c r="I60" s="24"/>
      <c r="J60" s="9"/>
    </row>
    <row r="61" ht="14.25" customHeight="1">
      <c r="B61" s="26"/>
      <c r="C61" s="29"/>
      <c r="D61" s="29"/>
    </row>
    <row r="62" ht="14.25" customHeight="1"/>
    <row r="63" ht="14.25" customHeight="1">
      <c r="A63" s="2" t="s">
        <v>76</v>
      </c>
      <c r="B63" s="3"/>
      <c r="C63" s="4"/>
      <c r="J63" s="1"/>
    </row>
    <row r="64" ht="14.25" customHeight="1">
      <c r="A64" s="6" t="s">
        <v>2</v>
      </c>
      <c r="B64" s="10" t="s">
        <v>4</v>
      </c>
      <c r="C64" s="8"/>
      <c r="D64" s="9"/>
      <c r="E64" s="6" t="s">
        <v>5</v>
      </c>
      <c r="F64" s="6" t="s">
        <v>6</v>
      </c>
      <c r="G64" s="6" t="s">
        <v>7</v>
      </c>
      <c r="H64" s="6" t="s">
        <v>8</v>
      </c>
      <c r="I64" s="10" t="s">
        <v>9</v>
      </c>
      <c r="J64" s="9"/>
    </row>
    <row r="65" ht="14.25" customHeight="1">
      <c r="A65" s="16"/>
      <c r="B65" s="26"/>
      <c r="C65" s="29"/>
      <c r="D65" s="29"/>
      <c r="E65" s="16"/>
      <c r="F65" s="16"/>
      <c r="G65" s="16"/>
      <c r="H65" s="16"/>
      <c r="I65" s="24"/>
      <c r="J65" s="9"/>
    </row>
    <row r="66" ht="14.25" customHeight="1">
      <c r="A66" s="16"/>
      <c r="B66" s="26"/>
      <c r="C66" s="29"/>
      <c r="D66" s="29"/>
      <c r="E66" s="16"/>
      <c r="F66" s="16"/>
      <c r="G66" s="16"/>
      <c r="H66" s="16"/>
      <c r="I66" s="24"/>
      <c r="J66" s="9"/>
    </row>
    <row r="67" ht="14.25" customHeight="1">
      <c r="A67" s="16"/>
      <c r="B67" s="26"/>
      <c r="C67" s="29"/>
      <c r="D67" s="29"/>
      <c r="E67" s="16"/>
      <c r="F67" s="16"/>
      <c r="G67" s="16"/>
      <c r="H67" s="16"/>
      <c r="I67" s="24"/>
      <c r="J67" s="9"/>
    </row>
    <row r="68" ht="14.25" customHeight="1">
      <c r="A68" s="16"/>
      <c r="B68" s="26"/>
      <c r="C68" s="29"/>
      <c r="D68" s="29"/>
      <c r="E68" s="16"/>
      <c r="F68" s="16"/>
      <c r="G68" s="16"/>
      <c r="H68" s="16"/>
      <c r="I68" s="24"/>
      <c r="J68" s="9"/>
    </row>
    <row r="69" ht="14.25" customHeight="1">
      <c r="A69" s="16"/>
      <c r="B69" s="26"/>
      <c r="C69" s="29"/>
      <c r="D69" s="29"/>
      <c r="E69" s="16"/>
      <c r="F69" s="16"/>
      <c r="G69" s="16"/>
      <c r="H69" s="16"/>
      <c r="I69" s="24"/>
      <c r="J69" s="9"/>
    </row>
    <row r="70" ht="14.25" customHeight="1">
      <c r="A70" s="16"/>
      <c r="B70" s="26"/>
      <c r="C70" s="29"/>
      <c r="D70" s="29"/>
      <c r="E70" s="16"/>
      <c r="F70" s="16"/>
      <c r="G70" s="16"/>
      <c r="H70" s="16"/>
      <c r="I70" s="24"/>
      <c r="J70" s="9"/>
    </row>
    <row r="71" ht="14.25" customHeight="1">
      <c r="A71" s="16"/>
      <c r="B71" s="26"/>
      <c r="C71" s="29"/>
      <c r="D71" s="29"/>
      <c r="E71" s="16"/>
      <c r="F71" s="16"/>
      <c r="G71" s="16"/>
      <c r="H71" s="16"/>
      <c r="I71" s="24"/>
      <c r="J71" s="9"/>
    </row>
    <row r="72" ht="14.25" customHeight="1">
      <c r="A72" s="16"/>
      <c r="B72" s="26"/>
      <c r="C72" s="29"/>
      <c r="D72" s="29"/>
      <c r="E72" s="16"/>
      <c r="F72" s="16"/>
      <c r="G72" s="16"/>
      <c r="H72" s="16"/>
      <c r="I72" s="24"/>
      <c r="J72" s="9"/>
    </row>
    <row r="73" ht="14.25" customHeight="1">
      <c r="A73" s="16"/>
      <c r="B73" s="26"/>
      <c r="C73" s="29"/>
      <c r="D73" s="29"/>
      <c r="E73" s="16"/>
      <c r="F73" s="16"/>
      <c r="G73" s="16"/>
      <c r="H73" s="16"/>
      <c r="I73" s="24"/>
      <c r="J73" s="9"/>
    </row>
    <row r="74" ht="14.25" customHeight="1">
      <c r="A74" s="16"/>
      <c r="B74" s="58"/>
      <c r="C74" s="8"/>
      <c r="D74" s="9"/>
      <c r="E74" s="16"/>
      <c r="F74" s="16"/>
      <c r="G74" s="16"/>
      <c r="H74" s="16"/>
      <c r="I74" s="24"/>
      <c r="J74" s="9"/>
    </row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6">
    <mergeCell ref="I26:J26"/>
    <mergeCell ref="I27:J27"/>
    <mergeCell ref="I11:J11"/>
    <mergeCell ref="I13:J13"/>
    <mergeCell ref="I21:J21"/>
    <mergeCell ref="I22:J22"/>
    <mergeCell ref="I23:J23"/>
    <mergeCell ref="I24:J24"/>
    <mergeCell ref="I25:J25"/>
    <mergeCell ref="A6:C6"/>
    <mergeCell ref="B7:D7"/>
    <mergeCell ref="I7:J7"/>
    <mergeCell ref="M7:W7"/>
    <mergeCell ref="Z7:AB7"/>
    <mergeCell ref="B8:D8"/>
    <mergeCell ref="B9:D9"/>
    <mergeCell ref="I12:J12"/>
    <mergeCell ref="M12:W12"/>
    <mergeCell ref="I8:J8"/>
    <mergeCell ref="I9:J9"/>
    <mergeCell ref="B10:D10"/>
    <mergeCell ref="I10:J10"/>
    <mergeCell ref="B11:D11"/>
    <mergeCell ref="B12:D12"/>
    <mergeCell ref="B13:D13"/>
    <mergeCell ref="I17:J17"/>
    <mergeCell ref="M17:W17"/>
    <mergeCell ref="M22:W22"/>
    <mergeCell ref="B14:D14"/>
    <mergeCell ref="I14:J14"/>
    <mergeCell ref="B15:D15"/>
    <mergeCell ref="I15:J15"/>
    <mergeCell ref="B16:D16"/>
    <mergeCell ref="I16:J16"/>
    <mergeCell ref="B17:D17"/>
    <mergeCell ref="B26:D26"/>
    <mergeCell ref="B27:D27"/>
    <mergeCell ref="M27:W27"/>
    <mergeCell ref="I28:J28"/>
    <mergeCell ref="B18:D18"/>
    <mergeCell ref="A20:C20"/>
    <mergeCell ref="B21:D21"/>
    <mergeCell ref="B22:D22"/>
    <mergeCell ref="B23:D23"/>
    <mergeCell ref="B24:D24"/>
    <mergeCell ref="B25:D25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A63:C63"/>
    <mergeCell ref="B64:D64"/>
    <mergeCell ref="B72:D72"/>
    <mergeCell ref="B73:D73"/>
    <mergeCell ref="B74:D74"/>
    <mergeCell ref="B65:D65"/>
    <mergeCell ref="B66:D66"/>
    <mergeCell ref="B67:D67"/>
    <mergeCell ref="B68:D68"/>
    <mergeCell ref="B69:D69"/>
    <mergeCell ref="B70:D70"/>
    <mergeCell ref="B71:D71"/>
    <mergeCell ref="I70:J70"/>
    <mergeCell ref="I71:J71"/>
    <mergeCell ref="I72:J72"/>
    <mergeCell ref="I73:J73"/>
    <mergeCell ref="I74:J74"/>
    <mergeCell ref="I60:J60"/>
    <mergeCell ref="I64:J64"/>
    <mergeCell ref="I65:J65"/>
    <mergeCell ref="I66:J66"/>
    <mergeCell ref="I67:J67"/>
    <mergeCell ref="I68:J68"/>
    <mergeCell ref="I69:J69"/>
    <mergeCell ref="B28:D28"/>
    <mergeCell ref="B29:D29"/>
    <mergeCell ref="I29:J29"/>
    <mergeCell ref="B30:D30"/>
    <mergeCell ref="I30:J30"/>
    <mergeCell ref="B31:D31"/>
    <mergeCell ref="I32:J32"/>
    <mergeCell ref="I37:J37"/>
    <mergeCell ref="I38:J38"/>
    <mergeCell ref="B32:D32"/>
    <mergeCell ref="B33:D33"/>
    <mergeCell ref="A35:C35"/>
    <mergeCell ref="B36:D36"/>
    <mergeCell ref="I36:J36"/>
    <mergeCell ref="B37:D37"/>
    <mergeCell ref="B38:D38"/>
    <mergeCell ref="B39:D39"/>
    <mergeCell ref="I39:J39"/>
    <mergeCell ref="B40:D40"/>
    <mergeCell ref="I40:J40"/>
    <mergeCell ref="B41:D41"/>
    <mergeCell ref="I41:J41"/>
    <mergeCell ref="I42:J42"/>
    <mergeCell ref="B42:D42"/>
    <mergeCell ref="B43:D43"/>
    <mergeCell ref="B44:D44"/>
    <mergeCell ref="B45:D45"/>
    <mergeCell ref="B46:D46"/>
    <mergeCell ref="B47:D47"/>
    <mergeCell ref="A49:C49"/>
    <mergeCell ref="I43:J43"/>
    <mergeCell ref="I44:J44"/>
    <mergeCell ref="I45:J45"/>
    <mergeCell ref="I46:J46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</mergeCells>
  <dataValidations>
    <dataValidation type="list" allowBlank="1" showErrorMessage="1" sqref="A8:A17 A22:A32 A37:A46 A51:A60 A65:A74">
      <formula1>Datos!$D$2:$D$11</formula1>
    </dataValidation>
    <dataValidation type="list" allowBlank="1" showErrorMessage="1" sqref="J5">
      <formula1>Datos!$B$2:$B$12</formula1>
    </dataValidation>
    <dataValidation type="list" allowBlank="1" showErrorMessage="1" sqref="J6 J20 J35 J49 J63">
      <formula1>Datos!$D$2:$D$14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10.71"/>
    <col customWidth="1" min="24" max="24" width="7.86"/>
    <col customWidth="1" min="25" max="25" width="15.43"/>
    <col customWidth="1" min="26" max="28" width="10.71"/>
  </cols>
  <sheetData>
    <row r="1" ht="14.25" customHeight="1"/>
    <row r="2" ht="14.25" customHeight="1"/>
    <row r="3" ht="14.25" customHeight="1"/>
    <row r="4" ht="14.25" customHeight="1"/>
    <row r="5" ht="14.25" customHeight="1">
      <c r="J5" s="1"/>
    </row>
    <row r="6" ht="14.25" customHeight="1">
      <c r="A6" s="2" t="s">
        <v>0</v>
      </c>
      <c r="B6" s="3"/>
      <c r="C6" s="4"/>
      <c r="J6" s="1"/>
    </row>
    <row r="7" ht="14.25" customHeight="1">
      <c r="A7" s="6" t="s">
        <v>2</v>
      </c>
      <c r="B7" s="10" t="s">
        <v>4</v>
      </c>
      <c r="C7" s="8"/>
      <c r="D7" s="9"/>
      <c r="E7" s="6" t="s">
        <v>5</v>
      </c>
      <c r="F7" s="6" t="s">
        <v>6</v>
      </c>
      <c r="G7" s="6" t="s">
        <v>7</v>
      </c>
      <c r="H7" s="6" t="s">
        <v>8</v>
      </c>
      <c r="I7" s="10" t="s">
        <v>9</v>
      </c>
      <c r="J7" s="9"/>
      <c r="M7" s="11" t="s">
        <v>0</v>
      </c>
      <c r="N7" s="12"/>
      <c r="O7" s="12"/>
      <c r="P7" s="12"/>
      <c r="Q7" s="12"/>
      <c r="R7" s="12"/>
      <c r="S7" s="12"/>
      <c r="T7" s="12"/>
      <c r="U7" s="12"/>
      <c r="V7" s="12"/>
      <c r="W7" s="13"/>
      <c r="Y7" s="1"/>
      <c r="Z7" s="14" t="s">
        <v>10</v>
      </c>
      <c r="AA7" s="12"/>
      <c r="AB7" s="13"/>
    </row>
    <row r="8" ht="14.25" customHeight="1">
      <c r="A8" s="16" t="s">
        <v>12</v>
      </c>
      <c r="B8" s="108" t="s">
        <v>488</v>
      </c>
      <c r="C8" s="18"/>
      <c r="D8" s="20"/>
      <c r="E8" s="109">
        <v>3.0</v>
      </c>
      <c r="F8" s="109">
        <v>10.0</v>
      </c>
      <c r="G8" s="109"/>
      <c r="H8" s="109"/>
      <c r="I8" s="24"/>
      <c r="J8" s="9"/>
      <c r="M8" s="25"/>
      <c r="N8" s="28" t="s">
        <v>16</v>
      </c>
      <c r="O8" s="28" t="s">
        <v>26</v>
      </c>
      <c r="P8" s="28" t="s">
        <v>27</v>
      </c>
      <c r="Q8" s="28" t="s">
        <v>28</v>
      </c>
      <c r="R8" s="28" t="s">
        <v>29</v>
      </c>
      <c r="S8" s="28" t="s">
        <v>30</v>
      </c>
      <c r="T8" s="28" t="s">
        <v>31</v>
      </c>
      <c r="U8" s="28" t="s">
        <v>32</v>
      </c>
      <c r="V8" s="28" t="s">
        <v>33</v>
      </c>
      <c r="W8" s="28" t="s">
        <v>12</v>
      </c>
      <c r="Z8" s="28" t="s">
        <v>16</v>
      </c>
      <c r="AA8" s="1">
        <f>SUM(N9,N14,N19,N24,N29)</f>
        <v>7</v>
      </c>
    </row>
    <row r="9" ht="14.25" customHeight="1">
      <c r="A9" s="16" t="s">
        <v>12</v>
      </c>
      <c r="B9" s="108" t="s">
        <v>492</v>
      </c>
      <c r="C9" s="18"/>
      <c r="D9" s="20"/>
      <c r="E9" s="109">
        <v>3.0</v>
      </c>
      <c r="F9" s="109">
        <v>10.0</v>
      </c>
      <c r="G9" s="109"/>
      <c r="H9" s="109"/>
      <c r="I9" s="24"/>
      <c r="J9" s="9"/>
      <c r="M9" s="34" t="s">
        <v>36</v>
      </c>
      <c r="N9" s="37">
        <f>SUMIF(A8:A17,"Pecho",E8:E17)</f>
        <v>0</v>
      </c>
      <c r="O9" s="37">
        <f>SUMIF(A8:A17,"Espalda",E8:E17)</f>
        <v>7</v>
      </c>
      <c r="P9" s="37">
        <f>SUMIF($A8:$A17,"Hombros",$E8:$E17)</f>
        <v>0</v>
      </c>
      <c r="Q9" s="37">
        <f>SUMIF($A8:$A17,"Bíceps",$E8:$E17)</f>
        <v>0</v>
      </c>
      <c r="R9" s="37">
        <f>SUMIF($A8:$A17,"Tríceps",$E8:$E17)</f>
        <v>0</v>
      </c>
      <c r="S9" s="38">
        <f>SUMIF(A8:A17,"Cuádriceps",E8:E17)</f>
        <v>4</v>
      </c>
      <c r="T9" s="37">
        <f>SUMIF($A8:$A17,"Isquios",$E8:$E17)</f>
        <v>3</v>
      </c>
      <c r="U9" s="37">
        <f>SUMIF($A8:$A17,"Glúteos",$E8:$E17)</f>
        <v>7</v>
      </c>
      <c r="V9" s="37">
        <f>SUMIF($A8:$A17,"Pantorrillas",$E8:$E17)</f>
        <v>0</v>
      </c>
      <c r="W9" s="37">
        <f>SUMIF($A8:$A17,"Otros",$E8:$E17)</f>
        <v>12</v>
      </c>
      <c r="Z9" s="28" t="s">
        <v>26</v>
      </c>
      <c r="AA9" s="1">
        <f>SUM(O9,O14,O19,O24,O29)</f>
        <v>10</v>
      </c>
    </row>
    <row r="10" ht="14.25" customHeight="1">
      <c r="A10" s="16" t="s">
        <v>12</v>
      </c>
      <c r="B10" s="108" t="s">
        <v>208</v>
      </c>
      <c r="C10" s="18"/>
      <c r="D10" s="20"/>
      <c r="E10" s="109">
        <v>3.0</v>
      </c>
      <c r="F10" s="109">
        <v>10.0</v>
      </c>
      <c r="G10" s="109"/>
      <c r="H10" s="109"/>
      <c r="I10" s="24"/>
      <c r="J10" s="9"/>
      <c r="M10" s="34" t="s">
        <v>7</v>
      </c>
      <c r="N10" s="35" t="str">
        <f>AVERAGEIF($A8:$A17,"Pecho",$G8:$G17)</f>
        <v>#DIV/0!</v>
      </c>
      <c r="O10" s="35" t="str">
        <f>AVERAGEIF($A8:$A17,"Espalda",$G8:$G17)</f>
        <v>#DIV/0!</v>
      </c>
      <c r="P10" s="35" t="str">
        <f>AVERAGEIF($A8:$A17,"Hombros",$G8:$G17)</f>
        <v>#DIV/0!</v>
      </c>
      <c r="Q10" s="35" t="str">
        <f>AVERAGEIF($A8:$A17,"Bíceps",$G8:$G17)</f>
        <v>#DIV/0!</v>
      </c>
      <c r="R10" s="35" t="str">
        <f>AVERAGEIF($A8:$A17,"Tríceps",$G8:$G17)</f>
        <v>#DIV/0!</v>
      </c>
      <c r="S10" s="35" t="str">
        <f>AVERAGEIF($A8:$A17,"Cuádriceps",$G8:$G17)</f>
        <v>#DIV/0!</v>
      </c>
      <c r="T10" s="35" t="str">
        <f>AVERAGEIF($A8:$A17,"Isquios",$G8:$G17)</f>
        <v>#DIV/0!</v>
      </c>
      <c r="U10" s="35">
        <f>AVERAGEIF($A8:$A17,"Glúteos",$G8:$G17)</f>
        <v>8</v>
      </c>
      <c r="V10" s="35" t="str">
        <f>AVERAGEIF($A8:$A17,"Pantorrillas",$G8:$G17)</f>
        <v>#DIV/0!</v>
      </c>
      <c r="W10" s="35" t="str">
        <f>AVERAGEIF($A8:$A17,"Otros",$G8:$G17)</f>
        <v>#DIV/0!</v>
      </c>
      <c r="Z10" s="28" t="s">
        <v>27</v>
      </c>
      <c r="AA10" s="1">
        <f>SUM(P9,P14,P19,P24,P29)</f>
        <v>3</v>
      </c>
    </row>
    <row r="11" ht="14.25" customHeight="1">
      <c r="A11" s="16" t="s">
        <v>32</v>
      </c>
      <c r="B11" s="30" t="s">
        <v>277</v>
      </c>
      <c r="C11" s="18"/>
      <c r="D11" s="20"/>
      <c r="E11" s="27">
        <v>4.0</v>
      </c>
      <c r="F11" s="27">
        <v>10.0</v>
      </c>
      <c r="G11" s="27">
        <v>8.0</v>
      </c>
      <c r="H11" s="27" t="s">
        <v>55</v>
      </c>
      <c r="I11" s="24"/>
      <c r="J11" s="9"/>
      <c r="M11" s="25"/>
      <c r="N11" s="25"/>
      <c r="O11" s="25"/>
      <c r="P11" s="25"/>
      <c r="Q11" s="25"/>
      <c r="R11" s="25"/>
      <c r="S11" s="25"/>
      <c r="T11" s="25"/>
      <c r="U11" s="25"/>
      <c r="Z11" s="28" t="s">
        <v>28</v>
      </c>
      <c r="AA11" s="1">
        <f>SUM(Q9,Q14,Q19,Q24,Q29)</f>
        <v>7</v>
      </c>
    </row>
    <row r="12" ht="14.25" customHeight="1">
      <c r="A12" s="16" t="s">
        <v>32</v>
      </c>
      <c r="B12" s="30" t="s">
        <v>495</v>
      </c>
      <c r="C12" s="18"/>
      <c r="D12" s="20"/>
      <c r="E12" s="27">
        <v>3.0</v>
      </c>
      <c r="F12" s="27">
        <v>10.0</v>
      </c>
      <c r="G12" s="27"/>
      <c r="H12" s="27"/>
      <c r="I12" s="24"/>
      <c r="J12" s="9"/>
      <c r="M12" s="11" t="s">
        <v>45</v>
      </c>
      <c r="N12" s="12"/>
      <c r="O12" s="12"/>
      <c r="P12" s="12"/>
      <c r="Q12" s="12"/>
      <c r="R12" s="12"/>
      <c r="S12" s="12"/>
      <c r="T12" s="12"/>
      <c r="U12" s="12"/>
      <c r="V12" s="12"/>
      <c r="W12" s="13"/>
      <c r="Z12" s="28" t="s">
        <v>29</v>
      </c>
      <c r="AA12" s="1">
        <f>SUM(R9,R14,R19,R24,R29)</f>
        <v>4</v>
      </c>
    </row>
    <row r="13" ht="14.25" customHeight="1">
      <c r="A13" s="16" t="s">
        <v>26</v>
      </c>
      <c r="B13" s="108" t="s">
        <v>393</v>
      </c>
      <c r="C13" s="18"/>
      <c r="D13" s="20"/>
      <c r="E13" s="109">
        <v>4.0</v>
      </c>
      <c r="F13" s="109">
        <v>12.0</v>
      </c>
      <c r="G13" s="109"/>
      <c r="H13" s="109"/>
      <c r="I13" s="24"/>
      <c r="J13" s="9"/>
      <c r="M13" s="25"/>
      <c r="N13" s="28" t="s">
        <v>16</v>
      </c>
      <c r="O13" s="28" t="s">
        <v>26</v>
      </c>
      <c r="P13" s="28" t="s">
        <v>27</v>
      </c>
      <c r="Q13" s="28" t="s">
        <v>28</v>
      </c>
      <c r="R13" s="28" t="s">
        <v>29</v>
      </c>
      <c r="S13" s="28" t="s">
        <v>30</v>
      </c>
      <c r="T13" s="28" t="s">
        <v>31</v>
      </c>
      <c r="U13" s="28" t="s">
        <v>32</v>
      </c>
      <c r="V13" s="28" t="s">
        <v>33</v>
      </c>
      <c r="W13" s="28" t="s">
        <v>12</v>
      </c>
      <c r="Z13" s="28" t="s">
        <v>30</v>
      </c>
      <c r="AA13" s="1">
        <f>SUM(S9,S14,S19,S24,S29)</f>
        <v>15</v>
      </c>
    </row>
    <row r="14" ht="14.25" customHeight="1">
      <c r="A14" s="16" t="s">
        <v>31</v>
      </c>
      <c r="B14" s="108" t="s">
        <v>498</v>
      </c>
      <c r="C14" s="18"/>
      <c r="D14" s="20"/>
      <c r="E14" s="109">
        <v>3.0</v>
      </c>
      <c r="F14" s="109" t="s">
        <v>499</v>
      </c>
      <c r="G14" s="109"/>
      <c r="H14" s="109"/>
      <c r="I14" s="24"/>
      <c r="J14" s="9"/>
      <c r="M14" s="34" t="s">
        <v>36</v>
      </c>
      <c r="N14" s="35">
        <f>SUMIF($A22:$A31,"Pecho",$E22:$E31)</f>
        <v>3</v>
      </c>
      <c r="O14" s="35">
        <f>SUMIF($A22:$A31,"Espalda",$E22:$E31)</f>
        <v>0</v>
      </c>
      <c r="P14" s="35">
        <f>SUMIF($A22:$A31,"Hombros",$E22:$E31)</f>
        <v>3</v>
      </c>
      <c r="Q14" s="35">
        <f>SUMIF($A22:$A31,"Bíceps",$E22:$E31)</f>
        <v>0</v>
      </c>
      <c r="R14" s="35">
        <f>SUMIF($A22:$A31,"Tríceps",$E22:$E31)</f>
        <v>4</v>
      </c>
      <c r="S14" s="35">
        <f>SUMIF($A22:$A31,"Cuádriceps",$E22:$E31)</f>
        <v>7</v>
      </c>
      <c r="T14" s="35">
        <f>SUMIF($A22:$A31,"Isquios",$E22:$E31)</f>
        <v>4</v>
      </c>
      <c r="U14" s="35">
        <f>SUMIF($A22:$A31,"Glúteos",$E22:$E31)</f>
        <v>4</v>
      </c>
      <c r="V14" s="35">
        <f>SUMIF($A22:$A31,"Pantorrillas",$E22:$E31)</f>
        <v>0</v>
      </c>
      <c r="W14" s="35">
        <f>SUMIF($A22:$A31,"Otros",$E22:$E31)</f>
        <v>9</v>
      </c>
      <c r="Z14" s="28" t="s">
        <v>31</v>
      </c>
      <c r="AA14" s="1">
        <f>SUM(T9,T14,T19,T24,T29)</f>
        <v>11</v>
      </c>
    </row>
    <row r="15" ht="14.25" customHeight="1">
      <c r="A15" s="16" t="s">
        <v>30</v>
      </c>
      <c r="B15" s="30" t="s">
        <v>290</v>
      </c>
      <c r="C15" s="18"/>
      <c r="D15" s="20"/>
      <c r="E15" s="27">
        <v>4.0</v>
      </c>
      <c r="F15" s="27">
        <v>10.0</v>
      </c>
      <c r="G15" s="27"/>
      <c r="H15" s="27"/>
      <c r="I15" s="24"/>
      <c r="J15" s="9"/>
      <c r="M15" s="34" t="s">
        <v>7</v>
      </c>
      <c r="N15" s="35" t="str">
        <f>AVERAGEIF($A22:$A31,"Pecho",$G22:$G31)</f>
        <v>#DIV/0!</v>
      </c>
      <c r="O15" s="35" t="str">
        <f>AVERAGEIF($A22:$A31,"Espalda",$G22:$G31)</f>
        <v>#DIV/0!</v>
      </c>
      <c r="P15" s="35" t="str">
        <f>AVERAGEIF($A22:$A31,"Hombros",$G22:$G31)</f>
        <v>#DIV/0!</v>
      </c>
      <c r="Q15" s="35" t="str">
        <f>AVERAGEIF($A22:$A31,"Bíceps",$G22:$G31)</f>
        <v>#DIV/0!</v>
      </c>
      <c r="R15" s="35" t="str">
        <f>AVERAGEIF($A22:$A31,"Tríceps",$G22:$G31)</f>
        <v>#DIV/0!</v>
      </c>
      <c r="S15" s="35" t="str">
        <f>AVERAGEIF($A22:$A31,"Cuádriceps",$G22:$G31)</f>
        <v>#DIV/0!</v>
      </c>
      <c r="T15" s="35">
        <f>AVERAGEIF($A22:$A31,"Isquios",$G22:$G31)</f>
        <v>8</v>
      </c>
      <c r="U15" s="35" t="str">
        <f>AVERAGEIF($A22:$A31,"Glúteos",$G22:$G31)</f>
        <v>#DIV/0!</v>
      </c>
      <c r="V15" s="35" t="str">
        <f>AVERAGEIF($A22:$A31,"Pantorrillas",$G22:$G31)</f>
        <v>#DIV/0!</v>
      </c>
      <c r="W15" s="35" t="str">
        <f>AVERAGEIF($A22:$A31,"Otros",$G22:$G31)</f>
        <v>#DIV/0!</v>
      </c>
      <c r="Z15" s="28" t="s">
        <v>32</v>
      </c>
      <c r="AA15" s="1">
        <f>SUM(U9,U14,U19,U24,U29)</f>
        <v>11</v>
      </c>
    </row>
    <row r="16" ht="14.25" customHeight="1">
      <c r="A16" s="16" t="s">
        <v>26</v>
      </c>
      <c r="B16" s="30" t="s">
        <v>415</v>
      </c>
      <c r="C16" s="18"/>
      <c r="D16" s="20"/>
      <c r="E16" s="27">
        <v>3.0</v>
      </c>
      <c r="F16" s="27">
        <v>12.0</v>
      </c>
      <c r="G16" s="27"/>
      <c r="H16" s="27"/>
      <c r="I16" s="24"/>
      <c r="J16" s="9"/>
      <c r="M16" s="25"/>
      <c r="N16" s="25"/>
      <c r="O16" s="25"/>
      <c r="P16" s="25"/>
      <c r="Q16" s="25"/>
      <c r="R16" s="25"/>
      <c r="S16" s="25"/>
      <c r="T16" s="25"/>
      <c r="U16" s="25"/>
      <c r="Z16" s="28" t="s">
        <v>33</v>
      </c>
      <c r="AA16" s="1">
        <f>SUM(V9,V14,V19,V24,V29)</f>
        <v>0</v>
      </c>
    </row>
    <row r="17" ht="14.25" customHeight="1">
      <c r="A17" s="16" t="s">
        <v>12</v>
      </c>
      <c r="B17" s="108" t="s">
        <v>502</v>
      </c>
      <c r="C17" s="18"/>
      <c r="D17" s="20"/>
      <c r="E17" s="109">
        <v>3.0</v>
      </c>
      <c r="F17" s="109">
        <v>12.0</v>
      </c>
      <c r="G17" s="109"/>
      <c r="H17" s="109"/>
      <c r="I17" s="24"/>
      <c r="J17" s="9"/>
      <c r="M17" s="11" t="s">
        <v>57</v>
      </c>
      <c r="N17" s="12"/>
      <c r="O17" s="12"/>
      <c r="P17" s="12"/>
      <c r="Q17" s="12"/>
      <c r="R17" s="12"/>
      <c r="S17" s="12"/>
      <c r="T17" s="12"/>
      <c r="U17" s="12"/>
      <c r="V17" s="12"/>
      <c r="W17" s="13"/>
      <c r="Z17" s="28" t="s">
        <v>12</v>
      </c>
      <c r="AA17" s="1">
        <f>SUM(W9,W14,W19,W24,W29)</f>
        <v>33</v>
      </c>
    </row>
    <row r="18" ht="14.25" customHeight="1">
      <c r="B18" s="26"/>
      <c r="C18" s="29"/>
      <c r="D18" s="29"/>
      <c r="M18" s="25"/>
      <c r="N18" s="28" t="s">
        <v>16</v>
      </c>
      <c r="O18" s="28" t="s">
        <v>26</v>
      </c>
      <c r="P18" s="28" t="s">
        <v>27</v>
      </c>
      <c r="Q18" s="28" t="s">
        <v>28</v>
      </c>
      <c r="R18" s="28" t="s">
        <v>29</v>
      </c>
      <c r="S18" s="28" t="s">
        <v>30</v>
      </c>
      <c r="T18" s="28" t="s">
        <v>31</v>
      </c>
      <c r="U18" s="28" t="s">
        <v>32</v>
      </c>
      <c r="V18" s="28" t="s">
        <v>33</v>
      </c>
      <c r="W18" s="28" t="s">
        <v>12</v>
      </c>
    </row>
    <row r="19" ht="14.25" customHeight="1">
      <c r="M19" s="34" t="s">
        <v>36</v>
      </c>
      <c r="N19" s="35">
        <f>SUMIF($A37:$A46,"Pecho",$E37:$E46)</f>
        <v>4</v>
      </c>
      <c r="O19" s="35">
        <f>SUMIF($A37:$A46,"Espalda",$E37:$E46)</f>
        <v>3</v>
      </c>
      <c r="P19" s="35">
        <f>SUMIF($A37:$A46,"Hombros",$E37:$E46)</f>
        <v>0</v>
      </c>
      <c r="Q19" s="35">
        <f>SUMIF($A37:$A46,"Bíceps",$E37:$E46)</f>
        <v>7</v>
      </c>
      <c r="R19" s="35">
        <f>SUMIF($A37:$A46,"Tríceps",$E37:$E46)</f>
        <v>0</v>
      </c>
      <c r="S19" s="35">
        <f>SUMIF($A37:$A46,"Cuádriceps",$E37:$E46)</f>
        <v>4</v>
      </c>
      <c r="T19" s="35">
        <f>SUMIF($A37:$A46,"Isquios",$E37:$E46)</f>
        <v>4</v>
      </c>
      <c r="U19" s="35">
        <f>SUMIF($A37:$A46,"Glúteos",$E37:$E46)</f>
        <v>0</v>
      </c>
      <c r="V19" s="35">
        <f>SUMIF($A37:$A46,"Pantorrillas",$E37:$E46)</f>
        <v>0</v>
      </c>
      <c r="W19" s="35">
        <f>SUMIF($A37:$A46,"Otros",$E37:$E46)</f>
        <v>12</v>
      </c>
    </row>
    <row r="20" ht="14.25" customHeight="1">
      <c r="A20" s="2" t="s">
        <v>45</v>
      </c>
      <c r="B20" s="3"/>
      <c r="C20" s="4"/>
      <c r="J20" s="1"/>
      <c r="M20" s="34" t="s">
        <v>7</v>
      </c>
      <c r="N20" s="35">
        <f>AVERAGEIF($A37:$A46,"Pecho",$G37:$G46)</f>
        <v>8</v>
      </c>
      <c r="O20" s="35" t="str">
        <f>AVERAGEIF($A37:$A46,"Espalda",$G37:$G46)</f>
        <v>#DIV/0!</v>
      </c>
      <c r="P20" s="35" t="str">
        <f>AVERAGEIF($A37:$A46,"Hombros",$G37:$G46)</f>
        <v>#DIV/0!</v>
      </c>
      <c r="Q20" s="35" t="str">
        <f>AVERAGEIF($A37:$A46,"Bíceps",$G37:$G46)</f>
        <v>#DIV/0!</v>
      </c>
      <c r="R20" s="35" t="str">
        <f>AVERAGEIF($A37:$A46,"Tríceps",$G37:$G46)</f>
        <v>#DIV/0!</v>
      </c>
      <c r="S20" s="35" t="str">
        <f>AVERAGEIF($A37:$A46,"Cuádriceps",$G37:$G46)</f>
        <v>#DIV/0!</v>
      </c>
      <c r="T20" s="35" t="str">
        <f>AVERAGEIF($A37:$A46,"Isquios",$G37:$G46)</f>
        <v>#DIV/0!</v>
      </c>
      <c r="U20" s="35" t="str">
        <f>AVERAGEIF($A37:$A46,"Glúteos",$G37:$G46)</f>
        <v>#DIV/0!</v>
      </c>
      <c r="V20" s="35" t="str">
        <f>AVERAGEIF($A37:$A46,"Pantorrillas",$G37:$G46)</f>
        <v>#DIV/0!</v>
      </c>
      <c r="W20" s="35" t="str">
        <f>AVERAGEIF($A37:$A46,"Otros",$G37:$G46)</f>
        <v>#DIV/0!</v>
      </c>
    </row>
    <row r="21" ht="14.25" customHeight="1">
      <c r="A21" s="6" t="s">
        <v>2</v>
      </c>
      <c r="B21" s="10" t="s">
        <v>4</v>
      </c>
      <c r="C21" s="8"/>
      <c r="D21" s="9"/>
      <c r="E21" s="6" t="s">
        <v>5</v>
      </c>
      <c r="F21" s="6" t="s">
        <v>6</v>
      </c>
      <c r="G21" s="6" t="s">
        <v>7</v>
      </c>
      <c r="H21" s="6" t="s">
        <v>8</v>
      </c>
      <c r="I21" s="10" t="s">
        <v>9</v>
      </c>
      <c r="J21" s="9"/>
      <c r="M21" s="25"/>
      <c r="N21" s="25"/>
      <c r="O21" s="25"/>
      <c r="P21" s="25"/>
      <c r="Q21" s="25"/>
      <c r="R21" s="25"/>
      <c r="S21" s="25"/>
      <c r="T21" s="25"/>
      <c r="U21" s="25"/>
    </row>
    <row r="22" ht="14.25" customHeight="1">
      <c r="A22" s="16" t="s">
        <v>12</v>
      </c>
      <c r="B22" s="114" t="s">
        <v>309</v>
      </c>
      <c r="C22" s="18"/>
      <c r="D22" s="20"/>
      <c r="E22" s="115">
        <v>3.0</v>
      </c>
      <c r="F22" s="115">
        <v>10.0</v>
      </c>
      <c r="G22" s="115"/>
      <c r="H22" s="115"/>
      <c r="I22" s="24"/>
      <c r="J22" s="9"/>
      <c r="M22" s="11" t="s">
        <v>66</v>
      </c>
      <c r="N22" s="12"/>
      <c r="O22" s="12"/>
      <c r="P22" s="12"/>
      <c r="Q22" s="12"/>
      <c r="R22" s="12"/>
      <c r="S22" s="12"/>
      <c r="T22" s="12"/>
      <c r="U22" s="12"/>
      <c r="V22" s="12"/>
      <c r="W22" s="13"/>
    </row>
    <row r="23" ht="14.25" customHeight="1">
      <c r="A23" s="16" t="s">
        <v>12</v>
      </c>
      <c r="B23" s="114" t="s">
        <v>509</v>
      </c>
      <c r="C23" s="18"/>
      <c r="D23" s="20"/>
      <c r="E23" s="115">
        <v>3.0</v>
      </c>
      <c r="F23" s="115" t="s">
        <v>289</v>
      </c>
      <c r="G23" s="115"/>
      <c r="H23" s="115"/>
      <c r="I23" s="24"/>
      <c r="J23" s="9"/>
      <c r="M23" s="25"/>
      <c r="N23" s="28" t="s">
        <v>16</v>
      </c>
      <c r="O23" s="28" t="s">
        <v>26</v>
      </c>
      <c r="P23" s="28" t="s">
        <v>27</v>
      </c>
      <c r="Q23" s="28" t="s">
        <v>28</v>
      </c>
      <c r="R23" s="28" t="s">
        <v>29</v>
      </c>
      <c r="S23" s="28" t="s">
        <v>30</v>
      </c>
      <c r="T23" s="28" t="s">
        <v>31</v>
      </c>
      <c r="U23" s="28" t="s">
        <v>32</v>
      </c>
      <c r="V23" s="28" t="s">
        <v>33</v>
      </c>
      <c r="W23" s="28" t="s">
        <v>12</v>
      </c>
    </row>
    <row r="24" ht="14.25" customHeight="1">
      <c r="A24" s="16" t="s">
        <v>12</v>
      </c>
      <c r="B24" s="114" t="s">
        <v>511</v>
      </c>
      <c r="C24" s="18"/>
      <c r="D24" s="20"/>
      <c r="E24" s="115">
        <v>3.0</v>
      </c>
      <c r="F24" s="115">
        <v>10.0</v>
      </c>
      <c r="G24" s="115"/>
      <c r="H24" s="115"/>
      <c r="I24" s="24"/>
      <c r="J24" s="9"/>
      <c r="M24" s="34" t="s">
        <v>36</v>
      </c>
      <c r="N24" s="35">
        <f>SUMIF($A51:$A60,"Pecho",$E51:$E60)</f>
        <v>0</v>
      </c>
      <c r="O24" s="35">
        <f>SUMIF($A51:$A60,"Espalda",$E51:$E60)</f>
        <v>0</v>
      </c>
      <c r="P24" s="35">
        <f>SUMIF($A51:$A60,"Hombros",$E51:$E60)</f>
        <v>0</v>
      </c>
      <c r="Q24" s="35">
        <f>SUMIF($A51:$A60,"Bíceps",$E51:$E60)</f>
        <v>0</v>
      </c>
      <c r="R24" s="35">
        <f>SUMIF($A51:$A60,"Tríceps",$E51:$E60)</f>
        <v>0</v>
      </c>
      <c r="S24" s="35">
        <f>SUMIF($A51:$A60,"Cuádriceps",$E51:$E60)</f>
        <v>0</v>
      </c>
      <c r="T24" s="35">
        <f>SUMIF($A51:$A60,"Isquios",$E51:$E60)</f>
        <v>0</v>
      </c>
      <c r="U24" s="35">
        <f>SUMIF($A51:$A60,"Glúteos",$E51:$E60)</f>
        <v>0</v>
      </c>
      <c r="V24" s="35">
        <f>SUMIF($A51:$A60,"Pantorrillas",$E51:$E60)</f>
        <v>0</v>
      </c>
      <c r="W24" s="35">
        <f>SUMIF($A51:$A60,"Otros",$E51:$E60)</f>
        <v>0</v>
      </c>
    </row>
    <row r="25" ht="14.25" customHeight="1">
      <c r="A25" s="16" t="s">
        <v>31</v>
      </c>
      <c r="B25" s="30" t="s">
        <v>296</v>
      </c>
      <c r="C25" s="18"/>
      <c r="D25" s="20"/>
      <c r="E25" s="27">
        <v>4.0</v>
      </c>
      <c r="F25" s="27">
        <v>10.0</v>
      </c>
      <c r="G25" s="27">
        <v>8.0</v>
      </c>
      <c r="H25" s="27" t="s">
        <v>55</v>
      </c>
      <c r="I25" s="24"/>
      <c r="J25" s="9"/>
      <c r="M25" s="34" t="s">
        <v>7</v>
      </c>
      <c r="N25" s="35" t="str">
        <f>AVERAGEIF($A51:$A60,"Pecho",$G51:$G60)</f>
        <v>#DIV/0!</v>
      </c>
      <c r="O25" s="35" t="str">
        <f>AVERAGEIF($A51:$A60,"Espalda",$G51:$G60)</f>
        <v>#DIV/0!</v>
      </c>
      <c r="P25" s="35" t="str">
        <f>AVERAGEIF($A51:$A60,"Hombros",$G51:$G60)</f>
        <v>#DIV/0!</v>
      </c>
      <c r="Q25" s="35" t="str">
        <f>AVERAGEIF($A51:$A60,"Bíceps",$G51:$G60)</f>
        <v>#DIV/0!</v>
      </c>
      <c r="R25" s="35" t="str">
        <f>AVERAGEIF($A51:$A60,"Tríceps",$G51:$G60)</f>
        <v>#DIV/0!</v>
      </c>
      <c r="S25" s="35" t="str">
        <f>AVERAGEIF($A51:$A60,"Cuádriceps",$G51:$G60)</f>
        <v>#DIV/0!</v>
      </c>
      <c r="T25" s="35" t="str">
        <f>AVERAGEIF($A51:$A60,"Isquios",$G51:$G60)</f>
        <v>#DIV/0!</v>
      </c>
      <c r="U25" s="35" t="str">
        <f>AVERAGEIF($A51:$A60,"Glúteos",$G51:$G60)</f>
        <v>#DIV/0!</v>
      </c>
      <c r="V25" s="35" t="str">
        <f>AVERAGEIF($A51:$A60,"Pantorrillas",$G51:$G60)</f>
        <v>#DIV/0!</v>
      </c>
      <c r="W25" s="35" t="str">
        <f>AVERAGEIF($A51:$A60,"Otros",$G51:$G60)</f>
        <v>#DIV/0!</v>
      </c>
    </row>
    <row r="26" ht="14.25" customHeight="1">
      <c r="A26" s="16" t="s">
        <v>30</v>
      </c>
      <c r="B26" s="30" t="s">
        <v>520</v>
      </c>
      <c r="C26" s="18"/>
      <c r="D26" s="20"/>
      <c r="E26" s="27">
        <v>3.0</v>
      </c>
      <c r="F26" s="27" t="s">
        <v>522</v>
      </c>
      <c r="G26" s="27"/>
      <c r="H26" s="27"/>
      <c r="I26" s="24"/>
      <c r="J26" s="9"/>
      <c r="M26" s="25"/>
      <c r="N26" s="25"/>
      <c r="O26" s="25"/>
      <c r="P26" s="25"/>
      <c r="Q26" s="25"/>
      <c r="R26" s="25"/>
      <c r="S26" s="25"/>
      <c r="T26" s="25"/>
      <c r="U26" s="25"/>
    </row>
    <row r="27" ht="14.25" customHeight="1">
      <c r="A27" s="16" t="s">
        <v>29</v>
      </c>
      <c r="B27" s="108" t="s">
        <v>524</v>
      </c>
      <c r="C27" s="18"/>
      <c r="D27" s="20"/>
      <c r="E27" s="109">
        <v>4.0</v>
      </c>
      <c r="F27" s="109">
        <v>10.0</v>
      </c>
      <c r="G27" s="109"/>
      <c r="H27" s="109"/>
      <c r="I27" s="24"/>
      <c r="J27" s="9"/>
      <c r="M27" s="11" t="s">
        <v>76</v>
      </c>
      <c r="N27" s="12"/>
      <c r="O27" s="12"/>
      <c r="P27" s="12"/>
      <c r="Q27" s="12"/>
      <c r="R27" s="12"/>
      <c r="S27" s="12"/>
      <c r="T27" s="12"/>
      <c r="U27" s="12"/>
      <c r="V27" s="12"/>
      <c r="W27" s="13"/>
    </row>
    <row r="28" ht="14.25" customHeight="1">
      <c r="A28" s="16" t="s">
        <v>16</v>
      </c>
      <c r="B28" s="108" t="s">
        <v>526</v>
      </c>
      <c r="C28" s="18"/>
      <c r="D28" s="20"/>
      <c r="E28" s="109">
        <v>3.0</v>
      </c>
      <c r="F28" s="109">
        <v>10.0</v>
      </c>
      <c r="G28" s="109"/>
      <c r="H28" s="109"/>
      <c r="I28" s="24"/>
      <c r="J28" s="9"/>
      <c r="M28" s="25"/>
      <c r="N28" s="28" t="s">
        <v>16</v>
      </c>
      <c r="O28" s="28" t="s">
        <v>26</v>
      </c>
      <c r="P28" s="28" t="s">
        <v>27</v>
      </c>
      <c r="Q28" s="28" t="s">
        <v>28</v>
      </c>
      <c r="R28" s="28" t="s">
        <v>29</v>
      </c>
      <c r="S28" s="28" t="s">
        <v>30</v>
      </c>
      <c r="T28" s="28" t="s">
        <v>31</v>
      </c>
      <c r="U28" s="28" t="s">
        <v>32</v>
      </c>
      <c r="V28" s="28" t="s">
        <v>33</v>
      </c>
      <c r="W28" s="28" t="s">
        <v>12</v>
      </c>
    </row>
    <row r="29" ht="14.25" customHeight="1">
      <c r="A29" s="16" t="s">
        <v>32</v>
      </c>
      <c r="B29" s="30" t="s">
        <v>306</v>
      </c>
      <c r="C29" s="18"/>
      <c r="D29" s="20"/>
      <c r="E29" s="27">
        <v>4.0</v>
      </c>
      <c r="F29" s="27">
        <v>10.0</v>
      </c>
      <c r="G29" s="27"/>
      <c r="H29" s="27"/>
      <c r="I29" s="24"/>
      <c r="J29" s="9"/>
      <c r="M29" s="34" t="s">
        <v>36</v>
      </c>
      <c r="N29" s="35">
        <f>SUMIF($A65:$A74,"Pecho",$E65:$E74)</f>
        <v>0</v>
      </c>
      <c r="O29" s="35">
        <f>SUMIF($A65:$A74,"Espalda",$E65:$E74)</f>
        <v>0</v>
      </c>
      <c r="P29" s="35">
        <f>SUMIF($A65:$A74,"Hombros",$E65:$E74)</f>
        <v>0</v>
      </c>
      <c r="Q29" s="35">
        <f>SUMIF($A65:$A74,"Bíceps",$E65:$E74)</f>
        <v>0</v>
      </c>
      <c r="R29" s="35">
        <f>SUMIF($A65:$A74,"Tríceps",$E65:$E74)</f>
        <v>0</v>
      </c>
      <c r="S29" s="35">
        <f>SUMIF($A65:$A74,"Cuádriceps",$E65:$E74)</f>
        <v>0</v>
      </c>
      <c r="T29" s="35">
        <f>SUMIF($A65:$A74,"Isquios",$E65:$E74)</f>
        <v>0</v>
      </c>
      <c r="U29" s="35">
        <f>SUMIF($A65:$A74,"Glúteos",$E65:$E74)</f>
        <v>0</v>
      </c>
      <c r="V29" s="35">
        <f>SUMIF($A65:$A74,"Pantorrillas",$E65:$E74)</f>
        <v>0</v>
      </c>
      <c r="W29" s="35">
        <f>SUMIF($A65:$A74,"Otros",$E65:$E74)</f>
        <v>0</v>
      </c>
    </row>
    <row r="30" ht="14.25" customHeight="1">
      <c r="A30" s="16" t="s">
        <v>27</v>
      </c>
      <c r="B30" s="30" t="s">
        <v>533</v>
      </c>
      <c r="C30" s="18"/>
      <c r="D30" s="20"/>
      <c r="E30" s="27">
        <v>3.0</v>
      </c>
      <c r="F30" s="27">
        <v>10.0</v>
      </c>
      <c r="G30" s="27"/>
      <c r="H30" s="27"/>
      <c r="I30" s="24"/>
      <c r="J30" s="9"/>
      <c r="M30" s="34" t="s">
        <v>7</v>
      </c>
      <c r="N30" s="35" t="str">
        <f>AVERAGEIF($A65:$A74,"Pecho",$G65:$G74)</f>
        <v>#DIV/0!</v>
      </c>
      <c r="O30" s="35" t="str">
        <f>AVERAGEIF($A65:$A74,"Espalda",$G65:$G74)</f>
        <v>#DIV/0!</v>
      </c>
      <c r="P30" s="35" t="str">
        <f>AVERAGEIF($A65:$A74,"Hombros",$G65:$G74)</f>
        <v>#DIV/0!</v>
      </c>
      <c r="Q30" s="35" t="str">
        <f>AVERAGEIF($A65:$A74,"Bíceps",$G65:$G74)</f>
        <v>#DIV/0!</v>
      </c>
      <c r="R30" s="35" t="str">
        <f>AVERAGEIF($A65:$A74,"Tríceps",$G65:$G74)</f>
        <v>#DIV/0!</v>
      </c>
      <c r="S30" s="35" t="str">
        <f>AVERAGEIF($A65:$A74,"Cuádriceps",$G65:$G74)</f>
        <v>#DIV/0!</v>
      </c>
      <c r="T30" s="35" t="str">
        <f>AVERAGEIF($A65:$A74,"Isquios",$G65:$G74)</f>
        <v>#DIV/0!</v>
      </c>
      <c r="U30" s="35" t="str">
        <f>AVERAGEIF($A65:$A74,"Glúteos",$G65:$G74)</f>
        <v>#DIV/0!</v>
      </c>
      <c r="V30" s="35" t="str">
        <f>AVERAGEIF($A65:$A74,"Pantorrillas",$G65:$G74)</f>
        <v>#DIV/0!</v>
      </c>
      <c r="W30" s="35" t="str">
        <f>AVERAGEIF($A65:$A74,"Otros",$G65:$G74)</f>
        <v>#DIV/0!</v>
      </c>
    </row>
    <row r="31" ht="14.25" customHeight="1">
      <c r="A31" s="16" t="s">
        <v>30</v>
      </c>
      <c r="B31" s="118" t="s">
        <v>542</v>
      </c>
      <c r="C31" s="8"/>
      <c r="D31" s="9"/>
      <c r="E31" s="68">
        <v>4.0</v>
      </c>
      <c r="F31" s="68" t="s">
        <v>543</v>
      </c>
      <c r="G31" s="68"/>
      <c r="H31" s="68"/>
      <c r="I31" s="24"/>
      <c r="J31" s="9"/>
    </row>
    <row r="32" ht="14.25" customHeight="1">
      <c r="A32" s="1" t="s">
        <v>32</v>
      </c>
      <c r="B32" s="120"/>
      <c r="C32" s="119" t="s">
        <v>346</v>
      </c>
      <c r="D32" s="123"/>
      <c r="E32" s="121">
        <v>3.0</v>
      </c>
      <c r="F32" s="121">
        <v>12.0</v>
      </c>
      <c r="G32" s="121"/>
      <c r="H32" s="121"/>
      <c r="I32" s="25"/>
      <c r="J32" s="1"/>
    </row>
    <row r="33" ht="14.25" customHeight="1">
      <c r="B33" s="26"/>
      <c r="C33" s="29"/>
      <c r="D33" s="29"/>
    </row>
    <row r="34" ht="14.25" customHeight="1"/>
    <row r="35" ht="14.25" customHeight="1">
      <c r="A35" s="2" t="s">
        <v>57</v>
      </c>
      <c r="B35" s="3"/>
      <c r="C35" s="4"/>
      <c r="J35" s="1"/>
    </row>
    <row r="36" ht="14.25" customHeight="1">
      <c r="A36" s="6" t="s">
        <v>2</v>
      </c>
      <c r="B36" s="10" t="s">
        <v>4</v>
      </c>
      <c r="C36" s="8"/>
      <c r="D36" s="9"/>
      <c r="E36" s="6" t="s">
        <v>5</v>
      </c>
      <c r="F36" s="6" t="s">
        <v>6</v>
      </c>
      <c r="G36" s="6" t="s">
        <v>7</v>
      </c>
      <c r="H36" s="6" t="s">
        <v>8</v>
      </c>
      <c r="I36" s="10" t="s">
        <v>9</v>
      </c>
      <c r="J36" s="9"/>
    </row>
    <row r="37" ht="14.25" customHeight="1">
      <c r="A37" s="122" t="s">
        <v>12</v>
      </c>
      <c r="B37" s="114" t="s">
        <v>551</v>
      </c>
      <c r="C37" s="18"/>
      <c r="D37" s="20"/>
      <c r="E37" s="115">
        <v>3.0</v>
      </c>
      <c r="F37" s="115">
        <v>10.0</v>
      </c>
      <c r="G37" s="115"/>
      <c r="H37" s="115"/>
      <c r="I37" s="24"/>
      <c r="J37" s="9"/>
    </row>
    <row r="38" ht="14.25" customHeight="1">
      <c r="A38" s="122" t="s">
        <v>12</v>
      </c>
      <c r="B38" s="114" t="s">
        <v>552</v>
      </c>
      <c r="C38" s="18"/>
      <c r="D38" s="20"/>
      <c r="E38" s="115">
        <v>3.0</v>
      </c>
      <c r="F38" s="115">
        <v>12.0</v>
      </c>
      <c r="G38" s="115"/>
      <c r="H38" s="115"/>
      <c r="I38" s="24"/>
      <c r="J38" s="9"/>
    </row>
    <row r="39" ht="14.25" customHeight="1">
      <c r="A39" s="122" t="s">
        <v>12</v>
      </c>
      <c r="B39" s="114" t="s">
        <v>322</v>
      </c>
      <c r="C39" s="18"/>
      <c r="D39" s="20"/>
      <c r="E39" s="115">
        <v>3.0</v>
      </c>
      <c r="F39" s="115">
        <v>12.0</v>
      </c>
      <c r="G39" s="115"/>
      <c r="H39" s="115"/>
      <c r="I39" s="24"/>
      <c r="J39" s="9"/>
    </row>
    <row r="40" ht="14.25" customHeight="1">
      <c r="A40" s="16" t="s">
        <v>16</v>
      </c>
      <c r="B40" s="30" t="s">
        <v>323</v>
      </c>
      <c r="C40" s="18"/>
      <c r="D40" s="20"/>
      <c r="E40" s="27">
        <v>4.0</v>
      </c>
      <c r="F40" s="27">
        <v>10.0</v>
      </c>
      <c r="G40" s="27">
        <v>8.0</v>
      </c>
      <c r="H40" s="27" t="s">
        <v>55</v>
      </c>
      <c r="I40" s="24"/>
      <c r="J40" s="9"/>
    </row>
    <row r="41" ht="14.25" customHeight="1">
      <c r="A41" s="16" t="s">
        <v>26</v>
      </c>
      <c r="B41" s="30" t="s">
        <v>555</v>
      </c>
      <c r="C41" s="18"/>
      <c r="D41" s="20"/>
      <c r="E41" s="27">
        <v>3.0</v>
      </c>
      <c r="F41" s="27">
        <v>12.0</v>
      </c>
      <c r="G41" s="27"/>
      <c r="H41" s="27"/>
      <c r="I41" s="24"/>
      <c r="J41" s="9"/>
    </row>
    <row r="42" ht="14.25" customHeight="1">
      <c r="A42" s="68" t="s">
        <v>31</v>
      </c>
      <c r="B42" s="108" t="s">
        <v>556</v>
      </c>
      <c r="C42" s="18"/>
      <c r="D42" s="20"/>
      <c r="E42" s="109">
        <v>4.0</v>
      </c>
      <c r="F42" s="109">
        <v>12.0</v>
      </c>
      <c r="G42" s="109"/>
      <c r="H42" s="109"/>
      <c r="I42" s="139"/>
      <c r="J42" s="9"/>
    </row>
    <row r="43" ht="14.25" customHeight="1">
      <c r="A43" s="68" t="s">
        <v>30</v>
      </c>
      <c r="B43" s="108" t="s">
        <v>557</v>
      </c>
      <c r="C43" s="18"/>
      <c r="D43" s="20"/>
      <c r="E43" s="109">
        <v>4.0</v>
      </c>
      <c r="F43" s="109">
        <v>10.0</v>
      </c>
      <c r="G43" s="109"/>
      <c r="H43" s="109"/>
      <c r="I43" s="139"/>
      <c r="J43" s="9"/>
    </row>
    <row r="44" ht="14.25" customHeight="1">
      <c r="A44" s="16" t="s">
        <v>28</v>
      </c>
      <c r="B44" s="30" t="s">
        <v>558</v>
      </c>
      <c r="C44" s="18"/>
      <c r="D44" s="20"/>
      <c r="E44" s="27">
        <v>3.0</v>
      </c>
      <c r="F44" s="27">
        <v>12.0</v>
      </c>
      <c r="G44" s="27"/>
      <c r="H44" s="27"/>
      <c r="I44" s="24"/>
      <c r="J44" s="9"/>
    </row>
    <row r="45" ht="14.25" customHeight="1">
      <c r="A45" s="16" t="s">
        <v>28</v>
      </c>
      <c r="B45" s="30" t="s">
        <v>559</v>
      </c>
      <c r="C45" s="18"/>
      <c r="D45" s="20"/>
      <c r="E45" s="27">
        <v>4.0</v>
      </c>
      <c r="F45" s="27" t="s">
        <v>178</v>
      </c>
      <c r="G45" s="27"/>
      <c r="H45" s="27"/>
      <c r="I45" s="24"/>
      <c r="J45" s="9"/>
    </row>
    <row r="46" ht="14.25" customHeight="1">
      <c r="A46" s="16" t="s">
        <v>12</v>
      </c>
      <c r="B46" s="60" t="s">
        <v>560</v>
      </c>
      <c r="C46" s="8"/>
      <c r="D46" s="9"/>
      <c r="E46" s="27">
        <v>3.0</v>
      </c>
      <c r="F46" s="27">
        <v>12.0</v>
      </c>
      <c r="G46" s="27"/>
      <c r="H46" s="27"/>
      <c r="I46" s="24"/>
      <c r="J46" s="9"/>
    </row>
    <row r="47" ht="14.25" customHeight="1">
      <c r="B47" s="26"/>
      <c r="C47" s="29"/>
      <c r="D47" s="29"/>
    </row>
    <row r="48" ht="14.25" customHeight="1"/>
    <row r="49" ht="14.25" customHeight="1">
      <c r="A49" s="2" t="s">
        <v>66</v>
      </c>
      <c r="B49" s="3"/>
      <c r="C49" s="4"/>
      <c r="J49" s="1"/>
    </row>
    <row r="50" ht="14.25" customHeight="1">
      <c r="A50" s="6" t="s">
        <v>2</v>
      </c>
      <c r="B50" s="10" t="s">
        <v>4</v>
      </c>
      <c r="C50" s="8"/>
      <c r="D50" s="9"/>
      <c r="E50" s="6" t="s">
        <v>5</v>
      </c>
      <c r="F50" s="6" t="s">
        <v>6</v>
      </c>
      <c r="G50" s="6" t="s">
        <v>7</v>
      </c>
      <c r="H50" s="6" t="s">
        <v>8</v>
      </c>
      <c r="I50" s="10" t="s">
        <v>9</v>
      </c>
      <c r="J50" s="9"/>
    </row>
    <row r="51" ht="14.25" customHeight="1">
      <c r="A51" s="16"/>
      <c r="B51" s="26"/>
      <c r="C51" s="29"/>
      <c r="D51" s="29"/>
      <c r="E51" s="16"/>
      <c r="F51" s="16"/>
      <c r="G51" s="16"/>
      <c r="H51" s="16"/>
      <c r="I51" s="24"/>
      <c r="J51" s="9"/>
    </row>
    <row r="52" ht="14.25" customHeight="1">
      <c r="A52" s="16"/>
      <c r="B52" s="26"/>
      <c r="C52" s="29"/>
      <c r="D52" s="29"/>
      <c r="E52" s="16"/>
      <c r="F52" s="16"/>
      <c r="G52" s="16"/>
      <c r="H52" s="16"/>
      <c r="I52" s="24"/>
      <c r="J52" s="9"/>
    </row>
    <row r="53" ht="14.25" customHeight="1">
      <c r="A53" s="16" t="s">
        <v>12</v>
      </c>
      <c r="B53" s="26" t="s">
        <v>329</v>
      </c>
      <c r="C53" s="29"/>
      <c r="D53" s="29"/>
      <c r="E53" s="16"/>
      <c r="F53" s="16">
        <v>10.0</v>
      </c>
      <c r="G53" s="16"/>
      <c r="H53" s="16"/>
      <c r="I53" s="24"/>
      <c r="J53" s="9"/>
    </row>
    <row r="54" ht="14.25" customHeight="1">
      <c r="A54" s="16" t="s">
        <v>31</v>
      </c>
      <c r="B54" s="30" t="s">
        <v>331</v>
      </c>
      <c r="C54" s="18"/>
      <c r="D54" s="20"/>
      <c r="E54" s="27"/>
      <c r="F54" s="27">
        <v>10.0</v>
      </c>
      <c r="G54" s="27"/>
      <c r="H54" s="27"/>
      <c r="I54" s="24"/>
      <c r="J54" s="9"/>
    </row>
    <row r="55" ht="14.25" customHeight="1">
      <c r="A55" s="16" t="s">
        <v>32</v>
      </c>
      <c r="B55" s="30" t="s">
        <v>333</v>
      </c>
      <c r="C55" s="18"/>
      <c r="D55" s="20"/>
      <c r="E55" s="27"/>
      <c r="F55" s="27" t="s">
        <v>278</v>
      </c>
      <c r="G55" s="27"/>
      <c r="H55" s="27"/>
      <c r="I55" s="24"/>
      <c r="J55" s="9"/>
    </row>
    <row r="56" ht="14.25" customHeight="1">
      <c r="A56" s="16" t="s">
        <v>26</v>
      </c>
      <c r="B56" s="30" t="s">
        <v>335</v>
      </c>
      <c r="C56" s="18"/>
      <c r="D56" s="20"/>
      <c r="E56" s="27"/>
      <c r="F56" s="27">
        <v>8.0</v>
      </c>
      <c r="G56" s="27"/>
      <c r="H56" s="27"/>
      <c r="I56" s="24"/>
      <c r="J56" s="9"/>
    </row>
    <row r="57" ht="14.25" customHeight="1">
      <c r="A57" s="16" t="s">
        <v>32</v>
      </c>
      <c r="B57" s="30" t="s">
        <v>338</v>
      </c>
      <c r="C57" s="18"/>
      <c r="D57" s="20"/>
      <c r="E57" s="27"/>
      <c r="F57" s="27">
        <v>8.0</v>
      </c>
      <c r="G57" s="27"/>
      <c r="H57" s="27"/>
      <c r="I57" s="24"/>
      <c r="J57" s="9"/>
    </row>
    <row r="58" ht="14.25" customHeight="1">
      <c r="A58" s="16" t="s">
        <v>26</v>
      </c>
      <c r="B58" s="30" t="s">
        <v>340</v>
      </c>
      <c r="C58" s="18"/>
      <c r="D58" s="20"/>
      <c r="E58" s="27"/>
      <c r="F58" s="27">
        <v>10.0</v>
      </c>
      <c r="G58" s="27"/>
      <c r="H58" s="27"/>
      <c r="I58" s="24"/>
      <c r="J58" s="9"/>
    </row>
    <row r="59" ht="14.25" customHeight="1">
      <c r="A59" s="16" t="s">
        <v>28</v>
      </c>
      <c r="B59" s="30" t="s">
        <v>341</v>
      </c>
      <c r="C59" s="18"/>
      <c r="D59" s="20"/>
      <c r="E59" s="27"/>
      <c r="F59" s="27"/>
      <c r="G59" s="27"/>
      <c r="H59" s="27"/>
      <c r="I59" s="24"/>
      <c r="J59" s="9"/>
    </row>
    <row r="60" ht="14.25" customHeight="1">
      <c r="A60" s="16" t="s">
        <v>33</v>
      </c>
      <c r="B60" s="60" t="s">
        <v>342</v>
      </c>
      <c r="C60" s="8"/>
      <c r="D60" s="9"/>
      <c r="E60" s="27"/>
      <c r="F60" s="27">
        <v>10.0</v>
      </c>
      <c r="G60" s="27"/>
      <c r="H60" s="27"/>
      <c r="I60" s="24"/>
      <c r="J60" s="9"/>
    </row>
    <row r="61" ht="14.25" customHeight="1">
      <c r="B61" s="26"/>
      <c r="C61" s="29"/>
      <c r="D61" s="29"/>
    </row>
    <row r="62" ht="14.25" customHeight="1"/>
    <row r="63" ht="14.25" customHeight="1">
      <c r="A63" s="2" t="s">
        <v>76</v>
      </c>
      <c r="B63" s="3"/>
      <c r="C63" s="4"/>
      <c r="J63" s="1"/>
    </row>
    <row r="64" ht="14.25" customHeight="1">
      <c r="A64" s="6" t="s">
        <v>2</v>
      </c>
      <c r="B64" s="10" t="s">
        <v>4</v>
      </c>
      <c r="C64" s="8"/>
      <c r="D64" s="9"/>
      <c r="E64" s="6" t="s">
        <v>5</v>
      </c>
      <c r="F64" s="6" t="s">
        <v>6</v>
      </c>
      <c r="G64" s="6" t="s">
        <v>7</v>
      </c>
      <c r="H64" s="6" t="s">
        <v>8</v>
      </c>
      <c r="I64" s="10" t="s">
        <v>9</v>
      </c>
      <c r="J64" s="9"/>
    </row>
    <row r="65" ht="14.25" customHeight="1">
      <c r="A65" s="16"/>
      <c r="B65" s="26"/>
      <c r="C65" s="29"/>
      <c r="D65" s="29"/>
      <c r="E65" s="16"/>
      <c r="F65" s="16"/>
      <c r="G65" s="16"/>
      <c r="H65" s="16"/>
      <c r="I65" s="24"/>
      <c r="J65" s="9"/>
    </row>
    <row r="66" ht="14.25" customHeight="1">
      <c r="A66" s="16"/>
      <c r="B66" s="26"/>
      <c r="C66" s="29"/>
      <c r="D66" s="29"/>
      <c r="E66" s="16"/>
      <c r="F66" s="16"/>
      <c r="G66" s="16"/>
      <c r="H66" s="16"/>
      <c r="I66" s="24"/>
      <c r="J66" s="9"/>
    </row>
    <row r="67" ht="14.25" customHeight="1">
      <c r="A67" s="16"/>
      <c r="B67" s="26"/>
      <c r="C67" s="29"/>
      <c r="D67" s="29"/>
      <c r="E67" s="16"/>
      <c r="F67" s="16"/>
      <c r="G67" s="16"/>
      <c r="H67" s="16"/>
      <c r="I67" s="24"/>
      <c r="J67" s="9"/>
    </row>
    <row r="68" ht="14.25" customHeight="1">
      <c r="A68" s="16"/>
      <c r="B68" s="26"/>
      <c r="C68" s="29"/>
      <c r="D68" s="29"/>
      <c r="E68" s="16"/>
      <c r="F68" s="16"/>
      <c r="G68" s="16"/>
      <c r="H68" s="16"/>
      <c r="I68" s="24"/>
      <c r="J68" s="9"/>
    </row>
    <row r="69" ht="14.25" customHeight="1">
      <c r="A69" s="16"/>
      <c r="B69" s="26"/>
      <c r="C69" s="29"/>
      <c r="D69" s="29"/>
      <c r="E69" s="16"/>
      <c r="F69" s="16"/>
      <c r="G69" s="16"/>
      <c r="H69" s="16"/>
      <c r="I69" s="24"/>
      <c r="J69" s="9"/>
    </row>
    <row r="70" ht="14.25" customHeight="1">
      <c r="A70" s="16"/>
      <c r="B70" s="26"/>
      <c r="C70" s="29"/>
      <c r="D70" s="29"/>
      <c r="E70" s="16"/>
      <c r="F70" s="16"/>
      <c r="G70" s="16"/>
      <c r="H70" s="16"/>
      <c r="I70" s="24"/>
      <c r="J70" s="9"/>
    </row>
    <row r="71" ht="14.25" customHeight="1">
      <c r="A71" s="16"/>
      <c r="B71" s="26"/>
      <c r="C71" s="29"/>
      <c r="D71" s="29"/>
      <c r="E71" s="16"/>
      <c r="F71" s="16"/>
      <c r="G71" s="16"/>
      <c r="H71" s="16"/>
      <c r="I71" s="24"/>
      <c r="J71" s="9"/>
    </row>
    <row r="72" ht="14.25" customHeight="1">
      <c r="A72" s="16"/>
      <c r="B72" s="26"/>
      <c r="C72" s="29"/>
      <c r="D72" s="29"/>
      <c r="E72" s="16"/>
      <c r="F72" s="16"/>
      <c r="G72" s="16"/>
      <c r="H72" s="16"/>
      <c r="I72" s="24"/>
      <c r="J72" s="9"/>
    </row>
    <row r="73" ht="14.25" customHeight="1">
      <c r="A73" s="16"/>
      <c r="B73" s="26"/>
      <c r="C73" s="29"/>
      <c r="D73" s="29"/>
      <c r="E73" s="16"/>
      <c r="F73" s="16"/>
      <c r="G73" s="16"/>
      <c r="H73" s="16"/>
      <c r="I73" s="24"/>
      <c r="J73" s="9"/>
    </row>
    <row r="74" ht="14.25" customHeight="1">
      <c r="A74" s="16"/>
      <c r="B74" s="58"/>
      <c r="C74" s="8"/>
      <c r="D74" s="9"/>
      <c r="E74" s="16"/>
      <c r="F74" s="16"/>
      <c r="G74" s="16"/>
      <c r="H74" s="16"/>
      <c r="I74" s="24"/>
      <c r="J74" s="9"/>
    </row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5">
    <mergeCell ref="I26:J26"/>
    <mergeCell ref="I27:J27"/>
    <mergeCell ref="I11:J11"/>
    <mergeCell ref="I13:J13"/>
    <mergeCell ref="I21:J21"/>
    <mergeCell ref="I22:J22"/>
    <mergeCell ref="I23:J23"/>
    <mergeCell ref="I24:J24"/>
    <mergeCell ref="I25:J25"/>
    <mergeCell ref="B26:D26"/>
    <mergeCell ref="B27:D27"/>
    <mergeCell ref="M27:W27"/>
    <mergeCell ref="I28:J28"/>
    <mergeCell ref="B28:D28"/>
    <mergeCell ref="B29:D29"/>
    <mergeCell ref="I29:J29"/>
    <mergeCell ref="B30:D30"/>
    <mergeCell ref="I30:J30"/>
    <mergeCell ref="B31:D31"/>
    <mergeCell ref="I31:J31"/>
    <mergeCell ref="A6:C6"/>
    <mergeCell ref="B7:D7"/>
    <mergeCell ref="I7:J7"/>
    <mergeCell ref="M7:W7"/>
    <mergeCell ref="Z7:AB7"/>
    <mergeCell ref="B8:D8"/>
    <mergeCell ref="B9:D9"/>
    <mergeCell ref="I12:J12"/>
    <mergeCell ref="M12:W12"/>
    <mergeCell ref="I8:J8"/>
    <mergeCell ref="I9:J9"/>
    <mergeCell ref="B10:D10"/>
    <mergeCell ref="I10:J10"/>
    <mergeCell ref="B11:D11"/>
    <mergeCell ref="B12:D12"/>
    <mergeCell ref="B13:D13"/>
    <mergeCell ref="I17:J17"/>
    <mergeCell ref="M17:W17"/>
    <mergeCell ref="M22:W22"/>
    <mergeCell ref="B14:D14"/>
    <mergeCell ref="I14:J14"/>
    <mergeCell ref="B15:D15"/>
    <mergeCell ref="I15:J15"/>
    <mergeCell ref="B16:D16"/>
    <mergeCell ref="I16:J16"/>
    <mergeCell ref="B17:D17"/>
    <mergeCell ref="B18:D18"/>
    <mergeCell ref="A20:C20"/>
    <mergeCell ref="B21:D21"/>
    <mergeCell ref="B22:D22"/>
    <mergeCell ref="B23:D23"/>
    <mergeCell ref="B24:D24"/>
    <mergeCell ref="B25:D25"/>
    <mergeCell ref="I39:J39"/>
    <mergeCell ref="I40:J40"/>
    <mergeCell ref="A49:C49"/>
    <mergeCell ref="B50:D50"/>
    <mergeCell ref="I50:J50"/>
    <mergeCell ref="B51:D51"/>
    <mergeCell ref="I51:J51"/>
    <mergeCell ref="B52:D52"/>
    <mergeCell ref="B53:D53"/>
    <mergeCell ref="B54:D54"/>
    <mergeCell ref="I54:J54"/>
    <mergeCell ref="B55:D55"/>
    <mergeCell ref="I55:J55"/>
    <mergeCell ref="B56:D56"/>
    <mergeCell ref="I56:J56"/>
    <mergeCell ref="I57:J57"/>
    <mergeCell ref="I68:J68"/>
    <mergeCell ref="I69:J69"/>
    <mergeCell ref="I58:J58"/>
    <mergeCell ref="I59:J59"/>
    <mergeCell ref="I60:J60"/>
    <mergeCell ref="I64:J64"/>
    <mergeCell ref="I65:J65"/>
    <mergeCell ref="I66:J66"/>
    <mergeCell ref="I67:J67"/>
    <mergeCell ref="B33:D33"/>
    <mergeCell ref="A35:C35"/>
    <mergeCell ref="B36:D36"/>
    <mergeCell ref="I36:J36"/>
    <mergeCell ref="B37:D37"/>
    <mergeCell ref="I37:J37"/>
    <mergeCell ref="I38:J38"/>
    <mergeCell ref="I42:J42"/>
    <mergeCell ref="I43:J43"/>
    <mergeCell ref="B38:D38"/>
    <mergeCell ref="B39:D39"/>
    <mergeCell ref="B40:D40"/>
    <mergeCell ref="B41:D41"/>
    <mergeCell ref="I41:J41"/>
    <mergeCell ref="B42:D42"/>
    <mergeCell ref="B43:D43"/>
    <mergeCell ref="B44:D44"/>
    <mergeCell ref="I44:J44"/>
    <mergeCell ref="B45:D45"/>
    <mergeCell ref="I45:J45"/>
    <mergeCell ref="B46:D46"/>
    <mergeCell ref="I46:J46"/>
    <mergeCell ref="B47:D47"/>
    <mergeCell ref="I52:J52"/>
    <mergeCell ref="I53:J53"/>
    <mergeCell ref="I70:J70"/>
    <mergeCell ref="I71:J71"/>
    <mergeCell ref="I72:J72"/>
    <mergeCell ref="I73:J73"/>
    <mergeCell ref="I74:J74"/>
    <mergeCell ref="B57:D57"/>
    <mergeCell ref="B58:D58"/>
    <mergeCell ref="B59:D59"/>
    <mergeCell ref="B60:D60"/>
    <mergeCell ref="B61:D61"/>
    <mergeCell ref="A63:C63"/>
    <mergeCell ref="B64:D64"/>
    <mergeCell ref="B72:D72"/>
    <mergeCell ref="B73:D73"/>
    <mergeCell ref="B74:D74"/>
    <mergeCell ref="B65:D65"/>
    <mergeCell ref="B66:D66"/>
    <mergeCell ref="B67:D67"/>
    <mergeCell ref="B68:D68"/>
    <mergeCell ref="B69:D69"/>
    <mergeCell ref="B70:D70"/>
    <mergeCell ref="B71:D71"/>
  </mergeCells>
  <dataValidations>
    <dataValidation type="list" allowBlank="1" showErrorMessage="1" sqref="A8:A17 A22:A32 A37:A46 A51:A60 A65:A74">
      <formula1>Datos!$D$2:$D$11</formula1>
    </dataValidation>
    <dataValidation type="list" allowBlank="1" showErrorMessage="1" sqref="J5">
      <formula1>Datos!$B$2:$B$12</formula1>
    </dataValidation>
    <dataValidation type="list" allowBlank="1" showErrorMessage="1" sqref="J6 J20 J35 J49 J63">
      <formula1>Datos!$D$2:$D$14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10.71"/>
    <col customWidth="1" min="24" max="24" width="7.86"/>
    <col customWidth="1" min="25" max="25" width="15.43"/>
    <col customWidth="1" min="26" max="28" width="10.71"/>
  </cols>
  <sheetData>
    <row r="1" ht="14.25" customHeight="1"/>
    <row r="2" ht="14.25" customHeight="1"/>
    <row r="3" ht="14.25" customHeight="1"/>
    <row r="4" ht="14.25" customHeight="1"/>
    <row r="5" ht="14.25" customHeight="1">
      <c r="J5" s="1"/>
    </row>
    <row r="6" ht="14.25" customHeight="1">
      <c r="A6" s="2" t="s">
        <v>0</v>
      </c>
      <c r="B6" s="3"/>
      <c r="C6" s="4"/>
      <c r="J6" s="1"/>
    </row>
    <row r="7" ht="14.25" customHeight="1">
      <c r="A7" s="6" t="s">
        <v>2</v>
      </c>
      <c r="B7" s="10" t="s">
        <v>4</v>
      </c>
      <c r="C7" s="8"/>
      <c r="D7" s="9"/>
      <c r="E7" s="6" t="s">
        <v>5</v>
      </c>
      <c r="F7" s="6" t="s">
        <v>6</v>
      </c>
      <c r="G7" s="6" t="s">
        <v>7</v>
      </c>
      <c r="H7" s="6" t="s">
        <v>8</v>
      </c>
      <c r="I7" s="10" t="s">
        <v>9</v>
      </c>
      <c r="J7" s="9"/>
      <c r="M7" s="11" t="s">
        <v>0</v>
      </c>
      <c r="N7" s="12"/>
      <c r="O7" s="12"/>
      <c r="P7" s="12"/>
      <c r="Q7" s="12"/>
      <c r="R7" s="12"/>
      <c r="S7" s="12"/>
      <c r="T7" s="12"/>
      <c r="U7" s="12"/>
      <c r="V7" s="12"/>
      <c r="W7" s="13"/>
      <c r="Y7" s="1"/>
      <c r="Z7" s="14" t="s">
        <v>10</v>
      </c>
      <c r="AA7" s="12"/>
      <c r="AB7" s="13"/>
    </row>
    <row r="8" ht="14.25" customHeight="1">
      <c r="A8" s="111" t="s">
        <v>12</v>
      </c>
      <c r="B8" s="110" t="s">
        <v>546</v>
      </c>
      <c r="C8" s="18"/>
      <c r="D8" s="20"/>
      <c r="E8" s="111">
        <v>3.0</v>
      </c>
      <c r="F8" s="111">
        <v>10.0</v>
      </c>
      <c r="G8" s="111"/>
      <c r="H8" s="111" t="s">
        <v>547</v>
      </c>
      <c r="I8" s="24"/>
      <c r="J8" s="9"/>
      <c r="M8" s="25"/>
      <c r="N8" s="28" t="s">
        <v>16</v>
      </c>
      <c r="O8" s="28" t="s">
        <v>26</v>
      </c>
      <c r="P8" s="28" t="s">
        <v>27</v>
      </c>
      <c r="Q8" s="28" t="s">
        <v>28</v>
      </c>
      <c r="R8" s="28" t="s">
        <v>29</v>
      </c>
      <c r="S8" s="28" t="s">
        <v>30</v>
      </c>
      <c r="T8" s="28" t="s">
        <v>31</v>
      </c>
      <c r="U8" s="28" t="s">
        <v>32</v>
      </c>
      <c r="V8" s="28" t="s">
        <v>33</v>
      </c>
      <c r="W8" s="28" t="s">
        <v>12</v>
      </c>
      <c r="Z8" s="28" t="s">
        <v>16</v>
      </c>
      <c r="AA8" s="1">
        <f>SUM(N9,N14,N19,N24,N29)</f>
        <v>4</v>
      </c>
    </row>
    <row r="9" ht="14.25" customHeight="1">
      <c r="A9" s="111" t="s">
        <v>12</v>
      </c>
      <c r="B9" s="110" t="s">
        <v>553</v>
      </c>
      <c r="C9" s="18"/>
      <c r="D9" s="20"/>
      <c r="E9" s="111">
        <v>3.0</v>
      </c>
      <c r="F9" s="111">
        <v>10.0</v>
      </c>
      <c r="G9" s="111"/>
      <c r="H9" s="111"/>
      <c r="I9" s="24"/>
      <c r="J9" s="9"/>
      <c r="M9" s="34" t="s">
        <v>36</v>
      </c>
      <c r="N9" s="37">
        <f>SUMIF(A8:A17,"Pecho",E8:E17)</f>
        <v>0</v>
      </c>
      <c r="O9" s="37">
        <f>SUMIF(A8:A17,"Espalda",E8:E17)</f>
        <v>10</v>
      </c>
      <c r="P9" s="37">
        <f>SUMIF($A8:$A17,"Hombros",$E8:$E17)</f>
        <v>0</v>
      </c>
      <c r="Q9" s="37">
        <f>SUMIF($A8:$A17,"Bíceps",$E8:$E17)</f>
        <v>0</v>
      </c>
      <c r="R9" s="37">
        <f>SUMIF($A8:$A17,"Tríceps",$E8:$E17)</f>
        <v>0</v>
      </c>
      <c r="S9" s="38">
        <f>SUMIF(A8:A17,"Cuádriceps",E8:E17)</f>
        <v>14</v>
      </c>
      <c r="T9" s="37">
        <f>SUMIF($A8:$A17,"Isquios",$E8:$E17)</f>
        <v>0</v>
      </c>
      <c r="U9" s="37">
        <f>SUMIF($A8:$A17,"Glúteos",$E8:$E17)</f>
        <v>0</v>
      </c>
      <c r="V9" s="37">
        <f>SUMIF($A8:$A17,"Pantorrillas",$E8:$E17)</f>
        <v>0</v>
      </c>
      <c r="W9" s="37">
        <f>SUMIF($A8:$A17,"Otros",$E8:$E17)</f>
        <v>9</v>
      </c>
      <c r="Z9" s="28" t="s">
        <v>26</v>
      </c>
      <c r="AA9" s="1">
        <f>SUM(O9,O14,O19,O24,O29)</f>
        <v>13</v>
      </c>
    </row>
    <row r="10" ht="14.25" customHeight="1">
      <c r="A10" s="111" t="s">
        <v>12</v>
      </c>
      <c r="B10" s="110" t="s">
        <v>561</v>
      </c>
      <c r="C10" s="18"/>
      <c r="D10" s="20"/>
      <c r="E10" s="111">
        <v>3.0</v>
      </c>
      <c r="F10" s="111">
        <v>10.0</v>
      </c>
      <c r="G10" s="111"/>
      <c r="H10" s="111"/>
      <c r="I10" s="24"/>
      <c r="J10" s="9"/>
      <c r="M10" s="34" t="s">
        <v>7</v>
      </c>
      <c r="N10" s="35" t="str">
        <f>AVERAGEIF($A8:$A17,"Pecho",$G8:$G17)</f>
        <v>#DIV/0!</v>
      </c>
      <c r="O10" s="35" t="str">
        <f>AVERAGEIF($A8:$A17,"Espalda",$G8:$G17)</f>
        <v>#DIV/0!</v>
      </c>
      <c r="P10" s="35" t="str">
        <f>AVERAGEIF($A8:$A17,"Hombros",$G8:$G17)</f>
        <v>#DIV/0!</v>
      </c>
      <c r="Q10" s="35" t="str">
        <f>AVERAGEIF($A8:$A17,"Bíceps",$G8:$G17)</f>
        <v>#DIV/0!</v>
      </c>
      <c r="R10" s="35" t="str">
        <f>AVERAGEIF($A8:$A17,"Tríceps",$G8:$G17)</f>
        <v>#DIV/0!</v>
      </c>
      <c r="S10" s="35">
        <f>AVERAGEIF($A8:$A17,"Cuádriceps",$G8:$G17)</f>
        <v>8</v>
      </c>
      <c r="T10" s="35" t="str">
        <f>AVERAGEIF($A8:$A17,"Isquios",$G8:$G17)</f>
        <v>#DIV/0!</v>
      </c>
      <c r="U10" s="35" t="str">
        <f>AVERAGEIF($A8:$A17,"Glúteos",$G8:$G17)</f>
        <v>#DIV/0!</v>
      </c>
      <c r="V10" s="35" t="str">
        <f>AVERAGEIF($A8:$A17,"Pantorrillas",$G8:$G17)</f>
        <v>#DIV/0!</v>
      </c>
      <c r="W10" s="35" t="str">
        <f>AVERAGEIF($A8:$A17,"Otros",$G8:$G17)</f>
        <v>#DIV/0!</v>
      </c>
      <c r="Z10" s="28" t="s">
        <v>27</v>
      </c>
      <c r="AA10" s="1">
        <f>SUM(P9,P14,P19,P24,P29)</f>
        <v>3</v>
      </c>
    </row>
    <row r="11" ht="14.25" customHeight="1">
      <c r="A11" s="16" t="s">
        <v>30</v>
      </c>
      <c r="B11" s="30" t="s">
        <v>211</v>
      </c>
      <c r="C11" s="18"/>
      <c r="D11" s="20"/>
      <c r="E11" s="27">
        <v>4.0</v>
      </c>
      <c r="F11" s="27">
        <v>10.0</v>
      </c>
      <c r="G11" s="27">
        <v>8.0</v>
      </c>
      <c r="H11" s="27" t="s">
        <v>55</v>
      </c>
      <c r="I11" s="24"/>
      <c r="J11" s="9"/>
      <c r="M11" s="25"/>
      <c r="N11" s="25"/>
      <c r="O11" s="25"/>
      <c r="P11" s="25"/>
      <c r="Q11" s="25"/>
      <c r="R11" s="25"/>
      <c r="S11" s="25"/>
      <c r="T11" s="25"/>
      <c r="U11" s="25"/>
      <c r="Z11" s="28" t="s">
        <v>28</v>
      </c>
      <c r="AA11" s="1">
        <f>SUM(Q9,Q14,Q19,Q24,Q29)</f>
        <v>4</v>
      </c>
    </row>
    <row r="12" ht="14.25" customHeight="1">
      <c r="A12" s="16" t="s">
        <v>30</v>
      </c>
      <c r="B12" s="30" t="s">
        <v>562</v>
      </c>
      <c r="C12" s="18"/>
      <c r="D12" s="20"/>
      <c r="E12" s="27">
        <v>3.0</v>
      </c>
      <c r="F12" s="27" t="s">
        <v>563</v>
      </c>
      <c r="G12" s="27"/>
      <c r="H12" s="27"/>
      <c r="I12" s="24"/>
      <c r="J12" s="9"/>
      <c r="M12" s="11" t="s">
        <v>45</v>
      </c>
      <c r="N12" s="12"/>
      <c r="O12" s="12"/>
      <c r="P12" s="12"/>
      <c r="Q12" s="12"/>
      <c r="R12" s="12"/>
      <c r="S12" s="12"/>
      <c r="T12" s="12"/>
      <c r="U12" s="12"/>
      <c r="V12" s="12"/>
      <c r="W12" s="13"/>
      <c r="Z12" s="28" t="s">
        <v>29</v>
      </c>
      <c r="AA12" s="1">
        <f>SUM(R9,R14,R19,R24,R29)</f>
        <v>8</v>
      </c>
    </row>
    <row r="13" ht="14.25" customHeight="1">
      <c r="A13" s="111" t="s">
        <v>26</v>
      </c>
      <c r="B13" s="110" t="s">
        <v>192</v>
      </c>
      <c r="C13" s="18"/>
      <c r="D13" s="20"/>
      <c r="E13" s="111">
        <v>4.0</v>
      </c>
      <c r="F13" s="111">
        <v>12.0</v>
      </c>
      <c r="G13" s="111"/>
      <c r="H13" s="111" t="s">
        <v>564</v>
      </c>
      <c r="I13" s="24"/>
      <c r="J13" s="9"/>
      <c r="M13" s="25"/>
      <c r="N13" s="28" t="s">
        <v>16</v>
      </c>
      <c r="O13" s="28" t="s">
        <v>26</v>
      </c>
      <c r="P13" s="28" t="s">
        <v>27</v>
      </c>
      <c r="Q13" s="28" t="s">
        <v>28</v>
      </c>
      <c r="R13" s="28" t="s">
        <v>29</v>
      </c>
      <c r="S13" s="28" t="s">
        <v>30</v>
      </c>
      <c r="T13" s="28" t="s">
        <v>31</v>
      </c>
      <c r="U13" s="28" t="s">
        <v>32</v>
      </c>
      <c r="V13" s="28" t="s">
        <v>33</v>
      </c>
      <c r="W13" s="28" t="s">
        <v>12</v>
      </c>
      <c r="Z13" s="28" t="s">
        <v>30</v>
      </c>
      <c r="AA13" s="1">
        <f>SUM(S9,S14,S19,S24,S29)</f>
        <v>18</v>
      </c>
    </row>
    <row r="14" ht="14.25" customHeight="1">
      <c r="A14" s="111" t="s">
        <v>26</v>
      </c>
      <c r="B14" s="110" t="s">
        <v>565</v>
      </c>
      <c r="C14" s="18"/>
      <c r="D14" s="20"/>
      <c r="E14" s="111">
        <v>3.0</v>
      </c>
      <c r="F14" s="111" t="s">
        <v>566</v>
      </c>
      <c r="G14" s="111"/>
      <c r="H14" s="111"/>
      <c r="I14" s="24"/>
      <c r="J14" s="9"/>
      <c r="M14" s="34" t="s">
        <v>36</v>
      </c>
      <c r="N14" s="35">
        <f>SUMIF($A22:$A31,"Pecho",$E22:$E31)</f>
        <v>0</v>
      </c>
      <c r="O14" s="35">
        <f>SUMIF($A22:$A31,"Espalda",$E22:$E31)</f>
        <v>0</v>
      </c>
      <c r="P14" s="35">
        <f>SUMIF($A22:$A31,"Hombros",$E22:$E31)</f>
        <v>3</v>
      </c>
      <c r="Q14" s="35">
        <f>SUMIF($A22:$A31,"Bíceps",$E22:$E31)</f>
        <v>0</v>
      </c>
      <c r="R14" s="35">
        <f>SUMIF($A22:$A31,"Tríceps",$E22:$E31)</f>
        <v>4</v>
      </c>
      <c r="S14" s="35">
        <f>SUMIF($A22:$A31,"Cuádriceps",$E22:$E31)</f>
        <v>0</v>
      </c>
      <c r="T14" s="35">
        <f>SUMIF($A22:$A31,"Isquios",$E22:$E31)</f>
        <v>6</v>
      </c>
      <c r="U14" s="35">
        <f>SUMIF($A22:$A31,"Glúteos",$E22:$E31)</f>
        <v>12</v>
      </c>
      <c r="V14" s="35">
        <f>SUMIF($A22:$A31,"Pantorrillas",$E22:$E31)</f>
        <v>0</v>
      </c>
      <c r="W14" s="35">
        <f>SUMIF($A22:$A31,"Otros",$E22:$E31)</f>
        <v>9</v>
      </c>
      <c r="Z14" s="28" t="s">
        <v>31</v>
      </c>
      <c r="AA14" s="1">
        <f>SUM(T9,T14,T19,T24,T29)</f>
        <v>6</v>
      </c>
    </row>
    <row r="15" ht="14.25" customHeight="1">
      <c r="A15" s="16" t="s">
        <v>30</v>
      </c>
      <c r="B15" s="30" t="s">
        <v>567</v>
      </c>
      <c r="C15" s="18"/>
      <c r="D15" s="20"/>
      <c r="E15" s="27">
        <v>4.0</v>
      </c>
      <c r="F15" s="27">
        <v>12.0</v>
      </c>
      <c r="G15" s="27"/>
      <c r="H15" s="27" t="s">
        <v>568</v>
      </c>
      <c r="I15" s="24"/>
      <c r="J15" s="9"/>
      <c r="M15" s="34" t="s">
        <v>7</v>
      </c>
      <c r="N15" s="35" t="str">
        <f>AVERAGEIF($A22:$A31,"Pecho",$G22:$G31)</f>
        <v>#DIV/0!</v>
      </c>
      <c r="O15" s="35" t="str">
        <f>AVERAGEIF($A22:$A31,"Espalda",$G22:$G31)</f>
        <v>#DIV/0!</v>
      </c>
      <c r="P15" s="35" t="str">
        <f>AVERAGEIF($A22:$A31,"Hombros",$G22:$G31)</f>
        <v>#DIV/0!</v>
      </c>
      <c r="Q15" s="35" t="str">
        <f>AVERAGEIF($A22:$A31,"Bíceps",$G22:$G31)</f>
        <v>#DIV/0!</v>
      </c>
      <c r="R15" s="35" t="str">
        <f>AVERAGEIF($A22:$A31,"Tríceps",$G22:$G31)</f>
        <v>#DIV/0!</v>
      </c>
      <c r="S15" s="35" t="str">
        <f>AVERAGEIF($A22:$A31,"Cuádriceps",$G22:$G31)</f>
        <v>#DIV/0!</v>
      </c>
      <c r="T15" s="35" t="str">
        <f>AVERAGEIF($A22:$A31,"Isquios",$G22:$G31)</f>
        <v>#DIV/0!</v>
      </c>
      <c r="U15" s="35">
        <f>AVERAGEIF($A22:$A31,"Glúteos",$G22:$G31)</f>
        <v>8</v>
      </c>
      <c r="V15" s="35" t="str">
        <f>AVERAGEIF($A22:$A31,"Pantorrillas",$G22:$G31)</f>
        <v>#DIV/0!</v>
      </c>
      <c r="W15" s="35" t="str">
        <f>AVERAGEIF($A22:$A31,"Otros",$G22:$G31)</f>
        <v>#DIV/0!</v>
      </c>
      <c r="Z15" s="28" t="s">
        <v>32</v>
      </c>
      <c r="AA15" s="1">
        <f>SUM(U9,U14,U19,U24,U29)</f>
        <v>12</v>
      </c>
    </row>
    <row r="16" ht="14.25" customHeight="1">
      <c r="A16" s="16" t="s">
        <v>26</v>
      </c>
      <c r="B16" s="30" t="s">
        <v>569</v>
      </c>
      <c r="C16" s="18"/>
      <c r="D16" s="20"/>
      <c r="E16" s="27">
        <v>3.0</v>
      </c>
      <c r="F16" s="27">
        <v>12.0</v>
      </c>
      <c r="G16" s="27"/>
      <c r="H16" s="27"/>
      <c r="I16" s="24"/>
      <c r="J16" s="9"/>
      <c r="M16" s="25"/>
      <c r="N16" s="25"/>
      <c r="O16" s="25"/>
      <c r="P16" s="25"/>
      <c r="Q16" s="25"/>
      <c r="R16" s="25"/>
      <c r="S16" s="25"/>
      <c r="T16" s="25"/>
      <c r="U16" s="25"/>
      <c r="Z16" s="28" t="s">
        <v>33</v>
      </c>
      <c r="AA16" s="1">
        <f>SUM(V9,V14,V19,V24,V29)</f>
        <v>0</v>
      </c>
    </row>
    <row r="17" ht="14.25" customHeight="1">
      <c r="A17" s="111" t="s">
        <v>30</v>
      </c>
      <c r="B17" s="110" t="s">
        <v>570</v>
      </c>
      <c r="C17" s="18"/>
      <c r="D17" s="20"/>
      <c r="E17" s="111">
        <v>3.0</v>
      </c>
      <c r="F17" s="111">
        <v>12.0</v>
      </c>
      <c r="G17" s="111"/>
      <c r="H17" s="111"/>
      <c r="I17" s="24"/>
      <c r="J17" s="9"/>
      <c r="M17" s="11" t="s">
        <v>57</v>
      </c>
      <c r="N17" s="12"/>
      <c r="O17" s="12"/>
      <c r="P17" s="12"/>
      <c r="Q17" s="12"/>
      <c r="R17" s="12"/>
      <c r="S17" s="12"/>
      <c r="T17" s="12"/>
      <c r="U17" s="12"/>
      <c r="V17" s="12"/>
      <c r="W17" s="13"/>
      <c r="Z17" s="28" t="s">
        <v>12</v>
      </c>
      <c r="AA17" s="1">
        <f>SUM(W9,W14,W19,W24,W29)</f>
        <v>34</v>
      </c>
    </row>
    <row r="18" ht="14.25" customHeight="1">
      <c r="B18" s="26"/>
      <c r="C18" s="29"/>
      <c r="D18" s="29"/>
      <c r="M18" s="25"/>
      <c r="N18" s="28" t="s">
        <v>16</v>
      </c>
      <c r="O18" s="28" t="s">
        <v>26</v>
      </c>
      <c r="P18" s="28" t="s">
        <v>27</v>
      </c>
      <c r="Q18" s="28" t="s">
        <v>28</v>
      </c>
      <c r="R18" s="28" t="s">
        <v>29</v>
      </c>
      <c r="S18" s="28" t="s">
        <v>30</v>
      </c>
      <c r="T18" s="28" t="s">
        <v>31</v>
      </c>
      <c r="U18" s="28" t="s">
        <v>32</v>
      </c>
      <c r="V18" s="28" t="s">
        <v>33</v>
      </c>
      <c r="W18" s="28" t="s">
        <v>12</v>
      </c>
    </row>
    <row r="19" ht="14.25" customHeight="1">
      <c r="M19" s="34" t="s">
        <v>36</v>
      </c>
      <c r="N19" s="35">
        <f>SUMIF($A37:$A46,"Pecho",$E37:$E46)</f>
        <v>4</v>
      </c>
      <c r="O19" s="35">
        <f>SUMIF($A37:$A46,"Espalda",$E37:$E46)</f>
        <v>3</v>
      </c>
      <c r="P19" s="35">
        <f>SUMIF($A37:$A46,"Hombros",$E37:$E46)</f>
        <v>0</v>
      </c>
      <c r="Q19" s="35">
        <f>SUMIF($A37:$A46,"Bíceps",$E37:$E46)</f>
        <v>4</v>
      </c>
      <c r="R19" s="35">
        <f>SUMIF($A37:$A46,"Tríceps",$E37:$E46)</f>
        <v>4</v>
      </c>
      <c r="S19" s="35">
        <f>SUMIF($A37:$A46,"Cuádriceps",$E37:$E46)</f>
        <v>4</v>
      </c>
      <c r="T19" s="35">
        <f>SUMIF($A37:$A46,"Isquios",$E37:$E46)</f>
        <v>0</v>
      </c>
      <c r="U19" s="35">
        <f>SUMIF($A37:$A46,"Glúteos",$E37:$E46)</f>
        <v>0</v>
      </c>
      <c r="V19" s="35">
        <f>SUMIF($A37:$A46,"Pantorrillas",$E37:$E46)</f>
        <v>0</v>
      </c>
      <c r="W19" s="35">
        <f>SUMIF($A37:$A46,"Otros",$E37:$E46)</f>
        <v>16</v>
      </c>
    </row>
    <row r="20" ht="14.25" customHeight="1">
      <c r="A20" s="2" t="s">
        <v>45</v>
      </c>
      <c r="B20" s="3"/>
      <c r="C20" s="4"/>
      <c r="J20" s="1"/>
      <c r="M20" s="34" t="s">
        <v>7</v>
      </c>
      <c r="N20" s="35">
        <f>AVERAGEIF($A37:$A46,"Pecho",$G37:$G46)</f>
        <v>8</v>
      </c>
      <c r="O20" s="35" t="str">
        <f>AVERAGEIF($A37:$A46,"Espalda",$G37:$G46)</f>
        <v>#DIV/0!</v>
      </c>
      <c r="P20" s="35" t="str">
        <f>AVERAGEIF($A37:$A46,"Hombros",$G37:$G46)</f>
        <v>#DIV/0!</v>
      </c>
      <c r="Q20" s="35" t="str">
        <f>AVERAGEIF($A37:$A46,"Bíceps",$G37:$G46)</f>
        <v>#DIV/0!</v>
      </c>
      <c r="R20" s="35" t="str">
        <f>AVERAGEIF($A37:$A46,"Tríceps",$G37:$G46)</f>
        <v>#DIV/0!</v>
      </c>
      <c r="S20" s="35" t="str">
        <f>AVERAGEIF($A37:$A46,"Cuádriceps",$G37:$G46)</f>
        <v>#DIV/0!</v>
      </c>
      <c r="T20" s="35" t="str">
        <f>AVERAGEIF($A37:$A46,"Isquios",$G37:$G46)</f>
        <v>#DIV/0!</v>
      </c>
      <c r="U20" s="35" t="str">
        <f>AVERAGEIF($A37:$A46,"Glúteos",$G37:$G46)</f>
        <v>#DIV/0!</v>
      </c>
      <c r="V20" s="35" t="str">
        <f>AVERAGEIF($A37:$A46,"Pantorrillas",$G37:$G46)</f>
        <v>#DIV/0!</v>
      </c>
      <c r="W20" s="35" t="str">
        <f>AVERAGEIF($A37:$A46,"Otros",$G37:$G46)</f>
        <v>#DIV/0!</v>
      </c>
    </row>
    <row r="21" ht="14.25" customHeight="1">
      <c r="A21" s="6" t="s">
        <v>2</v>
      </c>
      <c r="B21" s="10" t="s">
        <v>4</v>
      </c>
      <c r="C21" s="8"/>
      <c r="D21" s="9"/>
      <c r="E21" s="6" t="s">
        <v>5</v>
      </c>
      <c r="F21" s="6" t="s">
        <v>6</v>
      </c>
      <c r="G21" s="6" t="s">
        <v>7</v>
      </c>
      <c r="H21" s="6" t="s">
        <v>8</v>
      </c>
      <c r="I21" s="10" t="s">
        <v>9</v>
      </c>
      <c r="J21" s="9"/>
      <c r="M21" s="25"/>
      <c r="N21" s="25"/>
      <c r="O21" s="25"/>
      <c r="P21" s="25"/>
      <c r="Q21" s="25"/>
      <c r="R21" s="25"/>
      <c r="S21" s="25"/>
      <c r="T21" s="25"/>
      <c r="U21" s="25"/>
    </row>
    <row r="22" ht="14.25" customHeight="1">
      <c r="A22" s="111" t="s">
        <v>12</v>
      </c>
      <c r="B22" s="110" t="s">
        <v>571</v>
      </c>
      <c r="C22" s="18"/>
      <c r="D22" s="20"/>
      <c r="E22" s="111">
        <v>3.0</v>
      </c>
      <c r="F22" s="111">
        <v>10.0</v>
      </c>
      <c r="G22" s="111"/>
      <c r="H22" s="111" t="s">
        <v>572</v>
      </c>
      <c r="I22" s="24"/>
      <c r="J22" s="9"/>
      <c r="M22" s="11" t="s">
        <v>66</v>
      </c>
      <c r="N22" s="12"/>
      <c r="O22" s="12"/>
      <c r="P22" s="12"/>
      <c r="Q22" s="12"/>
      <c r="R22" s="12"/>
      <c r="S22" s="12"/>
      <c r="T22" s="12"/>
      <c r="U22" s="12"/>
      <c r="V22" s="12"/>
      <c r="W22" s="13"/>
    </row>
    <row r="23" ht="14.25" customHeight="1">
      <c r="A23" s="111" t="s">
        <v>12</v>
      </c>
      <c r="B23" s="110" t="s">
        <v>573</v>
      </c>
      <c r="C23" s="18"/>
      <c r="D23" s="20"/>
      <c r="E23" s="111">
        <v>3.0</v>
      </c>
      <c r="F23" s="111">
        <v>12.0</v>
      </c>
      <c r="G23" s="111"/>
      <c r="H23" s="111"/>
      <c r="I23" s="24"/>
      <c r="J23" s="9"/>
      <c r="M23" s="25"/>
      <c r="N23" s="28" t="s">
        <v>16</v>
      </c>
      <c r="O23" s="28" t="s">
        <v>26</v>
      </c>
      <c r="P23" s="28" t="s">
        <v>27</v>
      </c>
      <c r="Q23" s="28" t="s">
        <v>28</v>
      </c>
      <c r="R23" s="28" t="s">
        <v>29</v>
      </c>
      <c r="S23" s="28" t="s">
        <v>30</v>
      </c>
      <c r="T23" s="28" t="s">
        <v>31</v>
      </c>
      <c r="U23" s="28" t="s">
        <v>32</v>
      </c>
      <c r="V23" s="28" t="s">
        <v>33</v>
      </c>
      <c r="W23" s="28" t="s">
        <v>12</v>
      </c>
    </row>
    <row r="24" ht="14.25" customHeight="1">
      <c r="A24" s="111" t="s">
        <v>12</v>
      </c>
      <c r="B24" s="110" t="s">
        <v>574</v>
      </c>
      <c r="C24" s="18"/>
      <c r="D24" s="20"/>
      <c r="E24" s="111">
        <v>3.0</v>
      </c>
      <c r="F24" s="111">
        <v>10.0</v>
      </c>
      <c r="G24" s="111"/>
      <c r="H24" s="111"/>
      <c r="I24" s="24"/>
      <c r="J24" s="9"/>
      <c r="M24" s="34" t="s">
        <v>36</v>
      </c>
      <c r="N24" s="35">
        <f>SUMIF($A51:$A60,"Pecho",$E51:$E60)</f>
        <v>0</v>
      </c>
      <c r="O24" s="35">
        <f>SUMIF($A51:$A60,"Espalda",$E51:$E60)</f>
        <v>0</v>
      </c>
      <c r="P24" s="35">
        <f>SUMIF($A51:$A60,"Hombros",$E51:$E60)</f>
        <v>0</v>
      </c>
      <c r="Q24" s="35">
        <f>SUMIF($A51:$A60,"Bíceps",$E51:$E60)</f>
        <v>0</v>
      </c>
      <c r="R24" s="35">
        <f>SUMIF($A51:$A60,"Tríceps",$E51:$E60)</f>
        <v>0</v>
      </c>
      <c r="S24" s="35">
        <f>SUMIF($A51:$A60,"Cuádriceps",$E51:$E60)</f>
        <v>0</v>
      </c>
      <c r="T24" s="35">
        <f>SUMIF($A51:$A60,"Isquios",$E51:$E60)</f>
        <v>0</v>
      </c>
      <c r="U24" s="35">
        <f>SUMIF($A51:$A60,"Glúteos",$E51:$E60)</f>
        <v>0</v>
      </c>
      <c r="V24" s="35">
        <f>SUMIF($A51:$A60,"Pantorrillas",$E51:$E60)</f>
        <v>0</v>
      </c>
      <c r="W24" s="35">
        <f>SUMIF($A51:$A60,"Otros",$E51:$E60)</f>
        <v>0</v>
      </c>
    </row>
    <row r="25" ht="14.25" customHeight="1">
      <c r="A25" s="16" t="s">
        <v>32</v>
      </c>
      <c r="B25" s="30" t="s">
        <v>313</v>
      </c>
      <c r="C25" s="18"/>
      <c r="D25" s="20"/>
      <c r="E25" s="27">
        <v>4.0</v>
      </c>
      <c r="F25" s="27">
        <v>10.0</v>
      </c>
      <c r="G25" s="27">
        <v>8.0</v>
      </c>
      <c r="H25" s="27" t="s">
        <v>55</v>
      </c>
      <c r="I25" s="24"/>
      <c r="J25" s="9"/>
      <c r="M25" s="34" t="s">
        <v>7</v>
      </c>
      <c r="N25" s="35" t="str">
        <f>AVERAGEIF($A51:$A60,"Pecho",$G51:$G60)</f>
        <v>#DIV/0!</v>
      </c>
      <c r="O25" s="35" t="str">
        <f>AVERAGEIF($A51:$A60,"Espalda",$G51:$G60)</f>
        <v>#DIV/0!</v>
      </c>
      <c r="P25" s="35" t="str">
        <f>AVERAGEIF($A51:$A60,"Hombros",$G51:$G60)</f>
        <v>#DIV/0!</v>
      </c>
      <c r="Q25" s="35" t="str">
        <f>AVERAGEIF($A51:$A60,"Bíceps",$G51:$G60)</f>
        <v>#DIV/0!</v>
      </c>
      <c r="R25" s="35" t="str">
        <f>AVERAGEIF($A51:$A60,"Tríceps",$G51:$G60)</f>
        <v>#DIV/0!</v>
      </c>
      <c r="S25" s="35" t="str">
        <f>AVERAGEIF($A51:$A60,"Cuádriceps",$G51:$G60)</f>
        <v>#DIV/0!</v>
      </c>
      <c r="T25" s="35" t="str">
        <f>AVERAGEIF($A51:$A60,"Isquios",$G51:$G60)</f>
        <v>#DIV/0!</v>
      </c>
      <c r="U25" s="35" t="str">
        <f>AVERAGEIF($A51:$A60,"Glúteos",$G51:$G60)</f>
        <v>#DIV/0!</v>
      </c>
      <c r="V25" s="35" t="str">
        <f>AVERAGEIF($A51:$A60,"Pantorrillas",$G51:$G60)</f>
        <v>#DIV/0!</v>
      </c>
      <c r="W25" s="35" t="str">
        <f>AVERAGEIF($A51:$A60,"Otros",$G51:$G60)</f>
        <v>#DIV/0!</v>
      </c>
    </row>
    <row r="26" ht="14.25" customHeight="1">
      <c r="A26" s="16" t="s">
        <v>31</v>
      </c>
      <c r="B26" s="30" t="s">
        <v>410</v>
      </c>
      <c r="C26" s="18"/>
      <c r="D26" s="20"/>
      <c r="E26" s="27">
        <v>3.0</v>
      </c>
      <c r="F26" s="27">
        <v>12.0</v>
      </c>
      <c r="G26" s="27"/>
      <c r="H26" s="27"/>
      <c r="I26" s="24"/>
      <c r="J26" s="9"/>
      <c r="M26" s="25"/>
      <c r="N26" s="25"/>
      <c r="O26" s="25"/>
      <c r="P26" s="25"/>
      <c r="Q26" s="25"/>
      <c r="R26" s="25"/>
      <c r="S26" s="25"/>
      <c r="T26" s="25"/>
      <c r="U26" s="25"/>
    </row>
    <row r="27" ht="14.25" customHeight="1">
      <c r="A27" s="111" t="s">
        <v>29</v>
      </c>
      <c r="B27" s="110" t="s">
        <v>220</v>
      </c>
      <c r="C27" s="18"/>
      <c r="D27" s="20"/>
      <c r="E27" s="111">
        <v>4.0</v>
      </c>
      <c r="F27" s="111">
        <v>10.0</v>
      </c>
      <c r="G27" s="111"/>
      <c r="H27" s="111" t="s">
        <v>575</v>
      </c>
      <c r="I27" s="24"/>
      <c r="J27" s="9"/>
      <c r="M27" s="11" t="s">
        <v>76</v>
      </c>
      <c r="N27" s="12"/>
      <c r="O27" s="12"/>
      <c r="P27" s="12"/>
      <c r="Q27" s="12"/>
      <c r="R27" s="12"/>
      <c r="S27" s="12"/>
      <c r="T27" s="12"/>
      <c r="U27" s="12"/>
      <c r="V27" s="12"/>
      <c r="W27" s="13"/>
    </row>
    <row r="28" ht="14.25" customHeight="1">
      <c r="A28" s="111" t="s">
        <v>27</v>
      </c>
      <c r="B28" s="110" t="s">
        <v>576</v>
      </c>
      <c r="C28" s="18"/>
      <c r="D28" s="20"/>
      <c r="E28" s="111">
        <v>3.0</v>
      </c>
      <c r="F28" s="111">
        <v>12.0</v>
      </c>
      <c r="G28" s="111"/>
      <c r="H28" s="111"/>
      <c r="I28" s="24"/>
      <c r="J28" s="9"/>
      <c r="M28" s="25"/>
      <c r="N28" s="28" t="s">
        <v>16</v>
      </c>
      <c r="O28" s="28" t="s">
        <v>26</v>
      </c>
      <c r="P28" s="28" t="s">
        <v>27</v>
      </c>
      <c r="Q28" s="28" t="s">
        <v>28</v>
      </c>
      <c r="R28" s="28" t="s">
        <v>29</v>
      </c>
      <c r="S28" s="28" t="s">
        <v>30</v>
      </c>
      <c r="T28" s="28" t="s">
        <v>31</v>
      </c>
      <c r="U28" s="28" t="s">
        <v>32</v>
      </c>
      <c r="V28" s="28" t="s">
        <v>33</v>
      </c>
      <c r="W28" s="28" t="s">
        <v>12</v>
      </c>
    </row>
    <row r="29" ht="14.25" customHeight="1">
      <c r="A29" s="16" t="s">
        <v>32</v>
      </c>
      <c r="B29" s="30" t="s">
        <v>577</v>
      </c>
      <c r="C29" s="18"/>
      <c r="D29" s="20"/>
      <c r="E29" s="27">
        <v>4.0</v>
      </c>
      <c r="F29" s="27" t="s">
        <v>71</v>
      </c>
      <c r="G29" s="27"/>
      <c r="H29" s="27" t="s">
        <v>578</v>
      </c>
      <c r="I29" s="24"/>
      <c r="J29" s="9"/>
      <c r="M29" s="34" t="s">
        <v>36</v>
      </c>
      <c r="N29" s="35">
        <f>SUMIF($A65:$A74,"Pecho",$E65:$E74)</f>
        <v>0</v>
      </c>
      <c r="O29" s="35">
        <f>SUMIF($A65:$A74,"Espalda",$E65:$E74)</f>
        <v>0</v>
      </c>
      <c r="P29" s="35">
        <f>SUMIF($A65:$A74,"Hombros",$E65:$E74)</f>
        <v>0</v>
      </c>
      <c r="Q29" s="35">
        <f>SUMIF($A65:$A74,"Bíceps",$E65:$E74)</f>
        <v>0</v>
      </c>
      <c r="R29" s="35">
        <f>SUMIF($A65:$A74,"Tríceps",$E65:$E74)</f>
        <v>0</v>
      </c>
      <c r="S29" s="35">
        <f>SUMIF($A65:$A74,"Cuádriceps",$E65:$E74)</f>
        <v>0</v>
      </c>
      <c r="T29" s="35">
        <f>SUMIF($A65:$A74,"Isquios",$E65:$E74)</f>
        <v>0</v>
      </c>
      <c r="U29" s="35">
        <f>SUMIF($A65:$A74,"Glúteos",$E65:$E74)</f>
        <v>0</v>
      </c>
      <c r="V29" s="35">
        <f>SUMIF($A65:$A74,"Pantorrillas",$E65:$E74)</f>
        <v>0</v>
      </c>
      <c r="W29" s="35">
        <f>SUMIF($A65:$A74,"Otros",$E65:$E74)</f>
        <v>0</v>
      </c>
    </row>
    <row r="30" ht="14.25" customHeight="1">
      <c r="A30" s="16" t="s">
        <v>31</v>
      </c>
      <c r="B30" s="30" t="s">
        <v>580</v>
      </c>
      <c r="C30" s="18"/>
      <c r="D30" s="20"/>
      <c r="E30" s="27">
        <v>3.0</v>
      </c>
      <c r="F30" s="27">
        <v>15.0</v>
      </c>
      <c r="G30" s="27"/>
      <c r="H30" s="27"/>
      <c r="I30" s="24"/>
      <c r="J30" s="9"/>
      <c r="M30" s="34" t="s">
        <v>7</v>
      </c>
      <c r="N30" s="35" t="str">
        <f>AVERAGEIF($A65:$A74,"Pecho",$G65:$G74)</f>
        <v>#DIV/0!</v>
      </c>
      <c r="O30" s="35" t="str">
        <f>AVERAGEIF($A65:$A74,"Espalda",$G65:$G74)</f>
        <v>#DIV/0!</v>
      </c>
      <c r="P30" s="35" t="str">
        <f>AVERAGEIF($A65:$A74,"Hombros",$G65:$G74)</f>
        <v>#DIV/0!</v>
      </c>
      <c r="Q30" s="35" t="str">
        <f>AVERAGEIF($A65:$A74,"Bíceps",$G65:$G74)</f>
        <v>#DIV/0!</v>
      </c>
      <c r="R30" s="35" t="str">
        <f>AVERAGEIF($A65:$A74,"Tríceps",$G65:$G74)</f>
        <v>#DIV/0!</v>
      </c>
      <c r="S30" s="35" t="str">
        <f>AVERAGEIF($A65:$A74,"Cuádriceps",$G65:$G74)</f>
        <v>#DIV/0!</v>
      </c>
      <c r="T30" s="35" t="str">
        <f>AVERAGEIF($A65:$A74,"Isquios",$G65:$G74)</f>
        <v>#DIV/0!</v>
      </c>
      <c r="U30" s="35" t="str">
        <f>AVERAGEIF($A65:$A74,"Glúteos",$G65:$G74)</f>
        <v>#DIV/0!</v>
      </c>
      <c r="V30" s="35" t="str">
        <f>AVERAGEIF($A65:$A74,"Pantorrillas",$G65:$G74)</f>
        <v>#DIV/0!</v>
      </c>
      <c r="W30" s="35" t="str">
        <f>AVERAGEIF($A65:$A74,"Otros",$G65:$G74)</f>
        <v>#DIV/0!</v>
      </c>
    </row>
    <row r="31" ht="14.25" customHeight="1">
      <c r="A31" s="111" t="s">
        <v>32</v>
      </c>
      <c r="B31" s="140" t="s">
        <v>581</v>
      </c>
      <c r="C31" s="8"/>
      <c r="D31" s="9"/>
      <c r="E31" s="111">
        <v>4.0</v>
      </c>
      <c r="F31" s="111" t="s">
        <v>582</v>
      </c>
      <c r="G31" s="111"/>
      <c r="H31" s="111"/>
      <c r="I31" s="24"/>
      <c r="J31" s="9"/>
    </row>
    <row r="32" ht="14.25" customHeight="1">
      <c r="A32" s="141" t="s">
        <v>29</v>
      </c>
      <c r="B32" s="142"/>
      <c r="C32" s="143" t="s">
        <v>584</v>
      </c>
      <c r="D32" s="141"/>
      <c r="E32" s="141">
        <v>3.0</v>
      </c>
      <c r="F32" s="141">
        <v>12.0</v>
      </c>
      <c r="G32" s="141"/>
      <c r="H32" s="141"/>
      <c r="I32" s="25"/>
      <c r="J32" s="1"/>
    </row>
    <row r="33" ht="14.25" customHeight="1">
      <c r="B33" s="26"/>
      <c r="C33" s="29"/>
      <c r="D33" s="29"/>
    </row>
    <row r="34" ht="14.25" customHeight="1"/>
    <row r="35" ht="14.25" customHeight="1">
      <c r="A35" s="2" t="s">
        <v>57</v>
      </c>
      <c r="B35" s="3"/>
      <c r="C35" s="4"/>
      <c r="J35" s="1"/>
    </row>
    <row r="36" ht="14.25" customHeight="1">
      <c r="A36" s="6" t="s">
        <v>2</v>
      </c>
      <c r="B36" s="10" t="s">
        <v>4</v>
      </c>
      <c r="C36" s="8"/>
      <c r="D36" s="9"/>
      <c r="E36" s="6" t="s">
        <v>5</v>
      </c>
      <c r="F36" s="6" t="s">
        <v>6</v>
      </c>
      <c r="G36" s="6" t="s">
        <v>7</v>
      </c>
      <c r="H36" s="6" t="s">
        <v>8</v>
      </c>
      <c r="I36" s="10" t="s">
        <v>9</v>
      </c>
      <c r="J36" s="9"/>
    </row>
    <row r="37" ht="14.25" customHeight="1">
      <c r="A37" s="111" t="s">
        <v>12</v>
      </c>
      <c r="B37" s="110" t="s">
        <v>551</v>
      </c>
      <c r="C37" s="18"/>
      <c r="D37" s="20"/>
      <c r="E37" s="111">
        <v>3.0</v>
      </c>
      <c r="F37" s="111">
        <v>10.0</v>
      </c>
      <c r="G37" s="111"/>
      <c r="H37" s="111" t="s">
        <v>585</v>
      </c>
      <c r="I37" s="24"/>
      <c r="J37" s="9"/>
    </row>
    <row r="38" ht="14.25" customHeight="1">
      <c r="A38" s="111" t="s">
        <v>12</v>
      </c>
      <c r="B38" s="110" t="s">
        <v>587</v>
      </c>
      <c r="C38" s="18"/>
      <c r="D38" s="20"/>
      <c r="E38" s="111">
        <v>3.0</v>
      </c>
      <c r="F38" s="111">
        <v>12.0</v>
      </c>
      <c r="G38" s="111"/>
      <c r="H38" s="111"/>
      <c r="I38" s="24"/>
      <c r="J38" s="9"/>
    </row>
    <row r="39" ht="14.25" customHeight="1">
      <c r="A39" s="111" t="s">
        <v>12</v>
      </c>
      <c r="B39" s="110" t="s">
        <v>588</v>
      </c>
      <c r="C39" s="18"/>
      <c r="D39" s="20"/>
      <c r="E39" s="111">
        <v>3.0</v>
      </c>
      <c r="F39" s="111">
        <v>12.0</v>
      </c>
      <c r="G39" s="111"/>
      <c r="H39" s="111"/>
      <c r="I39" s="24"/>
      <c r="J39" s="9"/>
    </row>
    <row r="40" ht="14.25" customHeight="1">
      <c r="A40" s="16" t="s">
        <v>16</v>
      </c>
      <c r="B40" s="30" t="s">
        <v>589</v>
      </c>
      <c r="C40" s="18"/>
      <c r="D40" s="20"/>
      <c r="E40" s="27">
        <v>4.0</v>
      </c>
      <c r="F40" s="27">
        <v>10.0</v>
      </c>
      <c r="G40" s="27">
        <v>8.0</v>
      </c>
      <c r="H40" s="27" t="s">
        <v>141</v>
      </c>
      <c r="I40" s="24"/>
      <c r="J40" s="9"/>
    </row>
    <row r="41" ht="14.25" customHeight="1">
      <c r="A41" s="16" t="s">
        <v>26</v>
      </c>
      <c r="B41" s="30" t="s">
        <v>93</v>
      </c>
      <c r="C41" s="18"/>
      <c r="D41" s="20"/>
      <c r="E41" s="27">
        <v>3.0</v>
      </c>
      <c r="F41" s="27">
        <v>12.0</v>
      </c>
      <c r="G41" s="27"/>
      <c r="H41" s="27"/>
      <c r="I41" s="24"/>
      <c r="J41" s="9"/>
    </row>
    <row r="42" ht="14.25" customHeight="1">
      <c r="A42" s="111" t="s">
        <v>30</v>
      </c>
      <c r="B42" s="110" t="s">
        <v>267</v>
      </c>
      <c r="C42" s="18"/>
      <c r="D42" s="20"/>
      <c r="E42" s="111">
        <v>4.0</v>
      </c>
      <c r="F42" s="111" t="s">
        <v>71</v>
      </c>
      <c r="G42" s="111"/>
      <c r="H42" s="111" t="s">
        <v>591</v>
      </c>
      <c r="I42" s="139"/>
      <c r="J42" s="9"/>
    </row>
    <row r="43" ht="14.25" customHeight="1">
      <c r="A43" s="111" t="s">
        <v>12</v>
      </c>
      <c r="B43" s="110" t="s">
        <v>592</v>
      </c>
      <c r="C43" s="18"/>
      <c r="D43" s="20"/>
      <c r="E43" s="111">
        <v>4.0</v>
      </c>
      <c r="F43" s="111">
        <v>10.0</v>
      </c>
      <c r="G43" s="111"/>
      <c r="H43" s="111"/>
      <c r="I43" s="139"/>
      <c r="J43" s="9"/>
    </row>
    <row r="44" ht="14.25" customHeight="1">
      <c r="A44" s="16" t="s">
        <v>29</v>
      </c>
      <c r="B44" s="30" t="s">
        <v>593</v>
      </c>
      <c r="C44" s="18"/>
      <c r="D44" s="20"/>
      <c r="E44" s="27">
        <v>4.0</v>
      </c>
      <c r="F44" s="27">
        <v>12.0</v>
      </c>
      <c r="G44" s="27"/>
      <c r="H44" s="27"/>
      <c r="I44" s="24"/>
      <c r="J44" s="9"/>
    </row>
    <row r="45" ht="14.25" customHeight="1">
      <c r="A45" s="16" t="s">
        <v>28</v>
      </c>
      <c r="B45" s="30" t="s">
        <v>597</v>
      </c>
      <c r="C45" s="18"/>
      <c r="D45" s="20"/>
      <c r="E45" s="27">
        <v>4.0</v>
      </c>
      <c r="F45" s="27" t="s">
        <v>178</v>
      </c>
      <c r="G45" s="27"/>
      <c r="H45" s="27" t="s">
        <v>598</v>
      </c>
      <c r="I45" s="24"/>
      <c r="J45" s="9"/>
    </row>
    <row r="46" ht="14.25" customHeight="1">
      <c r="A46" s="16" t="s">
        <v>12</v>
      </c>
      <c r="B46" s="60" t="s">
        <v>599</v>
      </c>
      <c r="C46" s="8"/>
      <c r="D46" s="9"/>
      <c r="E46" s="27">
        <v>3.0</v>
      </c>
      <c r="F46" s="27">
        <v>15.0</v>
      </c>
      <c r="G46" s="27"/>
      <c r="H46" s="27"/>
      <c r="I46" s="24"/>
      <c r="J46" s="9"/>
    </row>
    <row r="47" ht="14.25" customHeight="1">
      <c r="B47" s="26"/>
      <c r="C47" s="29"/>
      <c r="D47" s="29"/>
    </row>
    <row r="48" ht="14.25" customHeight="1"/>
    <row r="49" ht="14.25" customHeight="1">
      <c r="A49" s="2" t="s">
        <v>66</v>
      </c>
      <c r="B49" s="3"/>
      <c r="C49" s="4"/>
      <c r="J49" s="1"/>
    </row>
    <row r="50" ht="14.25" customHeight="1">
      <c r="A50" s="6" t="s">
        <v>2</v>
      </c>
      <c r="B50" s="10" t="s">
        <v>4</v>
      </c>
      <c r="C50" s="8"/>
      <c r="D50" s="9"/>
      <c r="E50" s="6" t="s">
        <v>5</v>
      </c>
      <c r="F50" s="6" t="s">
        <v>6</v>
      </c>
      <c r="G50" s="6" t="s">
        <v>7</v>
      </c>
      <c r="H50" s="6" t="s">
        <v>8</v>
      </c>
      <c r="I50" s="10" t="s">
        <v>9</v>
      </c>
      <c r="J50" s="9"/>
    </row>
    <row r="51" ht="14.25" customHeight="1">
      <c r="A51" s="16"/>
      <c r="B51" s="26"/>
      <c r="C51" s="29"/>
      <c r="D51" s="29"/>
      <c r="E51" s="16"/>
      <c r="F51" s="16"/>
      <c r="G51" s="16"/>
      <c r="H51" s="16"/>
      <c r="I51" s="24"/>
      <c r="J51" s="9"/>
    </row>
    <row r="52" ht="14.25" customHeight="1">
      <c r="A52" s="16"/>
      <c r="B52" s="26"/>
      <c r="C52" s="29"/>
      <c r="D52" s="29"/>
      <c r="E52" s="16"/>
      <c r="F52" s="16"/>
      <c r="G52" s="16"/>
      <c r="H52" s="16"/>
      <c r="I52" s="24"/>
      <c r="J52" s="9"/>
    </row>
    <row r="53" ht="14.25" customHeight="1">
      <c r="A53" s="16" t="s">
        <v>12</v>
      </c>
      <c r="B53" s="26" t="s">
        <v>329</v>
      </c>
      <c r="C53" s="29"/>
      <c r="D53" s="29"/>
      <c r="E53" s="16"/>
      <c r="F53" s="16">
        <v>10.0</v>
      </c>
      <c r="G53" s="16"/>
      <c r="H53" s="16"/>
      <c r="I53" s="24"/>
      <c r="J53" s="9"/>
    </row>
    <row r="54" ht="14.25" customHeight="1">
      <c r="A54" s="16" t="s">
        <v>31</v>
      </c>
      <c r="B54" s="30" t="s">
        <v>331</v>
      </c>
      <c r="C54" s="18"/>
      <c r="D54" s="20"/>
      <c r="E54" s="27"/>
      <c r="F54" s="27">
        <v>10.0</v>
      </c>
      <c r="G54" s="27"/>
      <c r="H54" s="27"/>
      <c r="I54" s="24"/>
      <c r="J54" s="9"/>
    </row>
    <row r="55" ht="14.25" customHeight="1">
      <c r="A55" s="16" t="s">
        <v>32</v>
      </c>
      <c r="B55" s="30" t="s">
        <v>333</v>
      </c>
      <c r="C55" s="18"/>
      <c r="D55" s="20"/>
      <c r="E55" s="27"/>
      <c r="F55" s="27" t="s">
        <v>278</v>
      </c>
      <c r="G55" s="27"/>
      <c r="H55" s="27"/>
      <c r="I55" s="24"/>
      <c r="J55" s="9"/>
    </row>
    <row r="56" ht="14.25" customHeight="1">
      <c r="A56" s="16" t="s">
        <v>26</v>
      </c>
      <c r="B56" s="30" t="s">
        <v>335</v>
      </c>
      <c r="C56" s="18"/>
      <c r="D56" s="20"/>
      <c r="E56" s="27"/>
      <c r="F56" s="27">
        <v>8.0</v>
      </c>
      <c r="G56" s="27"/>
      <c r="H56" s="27"/>
      <c r="I56" s="24"/>
      <c r="J56" s="9"/>
    </row>
    <row r="57" ht="14.25" customHeight="1">
      <c r="A57" s="16" t="s">
        <v>32</v>
      </c>
      <c r="B57" s="30" t="s">
        <v>338</v>
      </c>
      <c r="C57" s="18"/>
      <c r="D57" s="20"/>
      <c r="E57" s="27"/>
      <c r="F57" s="27">
        <v>8.0</v>
      </c>
      <c r="G57" s="27"/>
      <c r="H57" s="27"/>
      <c r="I57" s="24"/>
      <c r="J57" s="9"/>
    </row>
    <row r="58" ht="14.25" customHeight="1">
      <c r="A58" s="16" t="s">
        <v>26</v>
      </c>
      <c r="B58" s="30" t="s">
        <v>340</v>
      </c>
      <c r="C58" s="18"/>
      <c r="D58" s="20"/>
      <c r="E58" s="27"/>
      <c r="F58" s="27">
        <v>10.0</v>
      </c>
      <c r="G58" s="27"/>
      <c r="H58" s="27"/>
      <c r="I58" s="24"/>
      <c r="J58" s="9"/>
    </row>
    <row r="59" ht="14.25" customHeight="1">
      <c r="A59" s="16" t="s">
        <v>28</v>
      </c>
      <c r="B59" s="30" t="s">
        <v>341</v>
      </c>
      <c r="C59" s="18"/>
      <c r="D59" s="20"/>
      <c r="E59" s="27"/>
      <c r="F59" s="27"/>
      <c r="G59" s="27"/>
      <c r="H59" s="27"/>
      <c r="I59" s="24"/>
      <c r="J59" s="9"/>
    </row>
    <row r="60" ht="14.25" customHeight="1">
      <c r="A60" s="16" t="s">
        <v>33</v>
      </c>
      <c r="B60" s="60" t="s">
        <v>342</v>
      </c>
      <c r="C60" s="8"/>
      <c r="D60" s="9"/>
      <c r="E60" s="27"/>
      <c r="F60" s="27">
        <v>10.0</v>
      </c>
      <c r="G60" s="27"/>
      <c r="H60" s="27"/>
      <c r="I60" s="24"/>
      <c r="J60" s="9"/>
    </row>
    <row r="61" ht="14.25" customHeight="1">
      <c r="B61" s="26"/>
      <c r="C61" s="29"/>
      <c r="D61" s="29"/>
    </row>
    <row r="62" ht="14.25" customHeight="1"/>
    <row r="63" ht="14.25" customHeight="1">
      <c r="A63" s="2" t="s">
        <v>76</v>
      </c>
      <c r="B63" s="3"/>
      <c r="C63" s="4"/>
      <c r="J63" s="1"/>
    </row>
    <row r="64" ht="14.25" customHeight="1">
      <c r="A64" s="6" t="s">
        <v>2</v>
      </c>
      <c r="B64" s="10" t="s">
        <v>4</v>
      </c>
      <c r="C64" s="8"/>
      <c r="D64" s="9"/>
      <c r="E64" s="6" t="s">
        <v>5</v>
      </c>
      <c r="F64" s="6" t="s">
        <v>6</v>
      </c>
      <c r="G64" s="6" t="s">
        <v>7</v>
      </c>
      <c r="H64" s="6" t="s">
        <v>8</v>
      </c>
      <c r="I64" s="10" t="s">
        <v>9</v>
      </c>
      <c r="J64" s="9"/>
    </row>
    <row r="65" ht="14.25" customHeight="1">
      <c r="A65" s="16"/>
      <c r="B65" s="26"/>
      <c r="C65" s="29"/>
      <c r="D65" s="29"/>
      <c r="E65" s="16"/>
      <c r="F65" s="16"/>
      <c r="G65" s="16"/>
      <c r="H65" s="16"/>
      <c r="I65" s="24"/>
      <c r="J65" s="9"/>
    </row>
    <row r="66" ht="14.25" customHeight="1">
      <c r="A66" s="16"/>
      <c r="B66" s="26"/>
      <c r="C66" s="29"/>
      <c r="D66" s="29"/>
      <c r="E66" s="16"/>
      <c r="F66" s="16"/>
      <c r="G66" s="16"/>
      <c r="H66" s="16"/>
      <c r="I66" s="24"/>
      <c r="J66" s="9"/>
    </row>
    <row r="67" ht="14.25" customHeight="1">
      <c r="A67" s="16"/>
      <c r="B67" s="26"/>
      <c r="C67" s="29"/>
      <c r="D67" s="29"/>
      <c r="E67" s="16"/>
      <c r="F67" s="16"/>
      <c r="G67" s="16"/>
      <c r="H67" s="16"/>
      <c r="I67" s="24"/>
      <c r="J67" s="9"/>
    </row>
    <row r="68" ht="14.25" customHeight="1">
      <c r="A68" s="16"/>
      <c r="B68" s="26"/>
      <c r="C68" s="29"/>
      <c r="D68" s="29"/>
      <c r="E68" s="16"/>
      <c r="F68" s="16"/>
      <c r="G68" s="16"/>
      <c r="H68" s="16"/>
      <c r="I68" s="24"/>
      <c r="J68" s="9"/>
    </row>
    <row r="69" ht="14.25" customHeight="1">
      <c r="A69" s="16"/>
      <c r="B69" s="26"/>
      <c r="C69" s="29"/>
      <c r="D69" s="29"/>
      <c r="E69" s="16"/>
      <c r="F69" s="16"/>
      <c r="G69" s="16"/>
      <c r="H69" s="16"/>
      <c r="I69" s="24"/>
      <c r="J69" s="9"/>
    </row>
    <row r="70" ht="14.25" customHeight="1">
      <c r="A70" s="16"/>
      <c r="B70" s="26"/>
      <c r="C70" s="29"/>
      <c r="D70" s="29"/>
      <c r="E70" s="16"/>
      <c r="F70" s="16"/>
      <c r="G70" s="16"/>
      <c r="H70" s="16"/>
      <c r="I70" s="24"/>
      <c r="J70" s="9"/>
    </row>
    <row r="71" ht="14.25" customHeight="1">
      <c r="A71" s="16"/>
      <c r="B71" s="26"/>
      <c r="C71" s="29"/>
      <c r="D71" s="29"/>
      <c r="E71" s="16"/>
      <c r="F71" s="16"/>
      <c r="G71" s="16"/>
      <c r="H71" s="16"/>
      <c r="I71" s="24"/>
      <c r="J71" s="9"/>
    </row>
    <row r="72" ht="14.25" customHeight="1">
      <c r="A72" s="16"/>
      <c r="B72" s="26"/>
      <c r="C72" s="29"/>
      <c r="D72" s="29"/>
      <c r="E72" s="16"/>
      <c r="F72" s="16"/>
      <c r="G72" s="16"/>
      <c r="H72" s="16"/>
      <c r="I72" s="24"/>
      <c r="J72" s="9"/>
    </row>
    <row r="73" ht="14.25" customHeight="1">
      <c r="A73" s="16"/>
      <c r="B73" s="26"/>
      <c r="C73" s="29"/>
      <c r="D73" s="29"/>
      <c r="E73" s="16"/>
      <c r="F73" s="16"/>
      <c r="G73" s="16"/>
      <c r="H73" s="16"/>
      <c r="I73" s="24"/>
      <c r="J73" s="9"/>
    </row>
    <row r="74" ht="14.25" customHeight="1">
      <c r="A74" s="16"/>
      <c r="B74" s="58"/>
      <c r="C74" s="8"/>
      <c r="D74" s="9"/>
      <c r="E74" s="16"/>
      <c r="F74" s="16"/>
      <c r="G74" s="16"/>
      <c r="H74" s="16"/>
      <c r="I74" s="24"/>
      <c r="J74" s="9"/>
    </row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5">
    <mergeCell ref="I26:J26"/>
    <mergeCell ref="I27:J27"/>
    <mergeCell ref="I11:J11"/>
    <mergeCell ref="I13:J13"/>
    <mergeCell ref="I21:J21"/>
    <mergeCell ref="I22:J22"/>
    <mergeCell ref="I23:J23"/>
    <mergeCell ref="I24:J24"/>
    <mergeCell ref="I25:J25"/>
    <mergeCell ref="B26:D26"/>
    <mergeCell ref="B27:D27"/>
    <mergeCell ref="M27:W27"/>
    <mergeCell ref="I28:J28"/>
    <mergeCell ref="B28:D28"/>
    <mergeCell ref="B29:D29"/>
    <mergeCell ref="I29:J29"/>
    <mergeCell ref="B30:D30"/>
    <mergeCell ref="I30:J30"/>
    <mergeCell ref="B31:D31"/>
    <mergeCell ref="I31:J31"/>
    <mergeCell ref="A6:C6"/>
    <mergeCell ref="B7:D7"/>
    <mergeCell ref="I7:J7"/>
    <mergeCell ref="M7:W7"/>
    <mergeCell ref="Z7:AB7"/>
    <mergeCell ref="B8:D8"/>
    <mergeCell ref="B9:D9"/>
    <mergeCell ref="I12:J12"/>
    <mergeCell ref="M12:W12"/>
    <mergeCell ref="I8:J8"/>
    <mergeCell ref="I9:J9"/>
    <mergeCell ref="B10:D10"/>
    <mergeCell ref="I10:J10"/>
    <mergeCell ref="B11:D11"/>
    <mergeCell ref="B12:D12"/>
    <mergeCell ref="B13:D13"/>
    <mergeCell ref="I17:J17"/>
    <mergeCell ref="M17:W17"/>
    <mergeCell ref="M22:W22"/>
    <mergeCell ref="B14:D14"/>
    <mergeCell ref="I14:J14"/>
    <mergeCell ref="B15:D15"/>
    <mergeCell ref="I15:J15"/>
    <mergeCell ref="B16:D16"/>
    <mergeCell ref="I16:J16"/>
    <mergeCell ref="B17:D17"/>
    <mergeCell ref="B18:D18"/>
    <mergeCell ref="A20:C20"/>
    <mergeCell ref="B21:D21"/>
    <mergeCell ref="B22:D22"/>
    <mergeCell ref="B23:D23"/>
    <mergeCell ref="B24:D24"/>
    <mergeCell ref="B25:D25"/>
    <mergeCell ref="I39:J39"/>
    <mergeCell ref="I40:J40"/>
    <mergeCell ref="A49:C49"/>
    <mergeCell ref="B50:D50"/>
    <mergeCell ref="I50:J50"/>
    <mergeCell ref="B51:D51"/>
    <mergeCell ref="I51:J51"/>
    <mergeCell ref="B52:D52"/>
    <mergeCell ref="B53:D53"/>
    <mergeCell ref="B54:D54"/>
    <mergeCell ref="I54:J54"/>
    <mergeCell ref="B55:D55"/>
    <mergeCell ref="I55:J55"/>
    <mergeCell ref="B56:D56"/>
    <mergeCell ref="I56:J56"/>
    <mergeCell ref="I57:J57"/>
    <mergeCell ref="I68:J68"/>
    <mergeCell ref="I69:J69"/>
    <mergeCell ref="I58:J58"/>
    <mergeCell ref="I59:J59"/>
    <mergeCell ref="I60:J60"/>
    <mergeCell ref="I64:J64"/>
    <mergeCell ref="I65:J65"/>
    <mergeCell ref="I66:J66"/>
    <mergeCell ref="I67:J67"/>
    <mergeCell ref="B33:D33"/>
    <mergeCell ref="A35:C35"/>
    <mergeCell ref="B36:D36"/>
    <mergeCell ref="I36:J36"/>
    <mergeCell ref="B37:D37"/>
    <mergeCell ref="I37:J37"/>
    <mergeCell ref="I38:J38"/>
    <mergeCell ref="I42:J42"/>
    <mergeCell ref="I43:J43"/>
    <mergeCell ref="B38:D38"/>
    <mergeCell ref="B39:D39"/>
    <mergeCell ref="B40:D40"/>
    <mergeCell ref="B41:D41"/>
    <mergeCell ref="I41:J41"/>
    <mergeCell ref="B42:D42"/>
    <mergeCell ref="B43:D43"/>
    <mergeCell ref="B44:D44"/>
    <mergeCell ref="I44:J44"/>
    <mergeCell ref="B45:D45"/>
    <mergeCell ref="I45:J45"/>
    <mergeCell ref="B46:D46"/>
    <mergeCell ref="I46:J46"/>
    <mergeCell ref="B47:D47"/>
    <mergeCell ref="I52:J52"/>
    <mergeCell ref="I53:J53"/>
    <mergeCell ref="I70:J70"/>
    <mergeCell ref="I71:J71"/>
    <mergeCell ref="I72:J72"/>
    <mergeCell ref="I73:J73"/>
    <mergeCell ref="I74:J74"/>
    <mergeCell ref="B57:D57"/>
    <mergeCell ref="B58:D58"/>
    <mergeCell ref="B59:D59"/>
    <mergeCell ref="B60:D60"/>
    <mergeCell ref="B61:D61"/>
    <mergeCell ref="A63:C63"/>
    <mergeCell ref="B64:D64"/>
    <mergeCell ref="B72:D72"/>
    <mergeCell ref="B73:D73"/>
    <mergeCell ref="B74:D74"/>
    <mergeCell ref="B65:D65"/>
    <mergeCell ref="B66:D66"/>
    <mergeCell ref="B67:D67"/>
    <mergeCell ref="B68:D68"/>
    <mergeCell ref="B69:D69"/>
    <mergeCell ref="B70:D70"/>
    <mergeCell ref="B71:D71"/>
  </mergeCells>
  <dataValidations>
    <dataValidation type="list" allowBlank="1" showErrorMessage="1" sqref="A8:A17 A22:A32 A37:A46 A51:A60 A65:A74">
      <formula1>Datos!$D$2:$D$11</formula1>
    </dataValidation>
    <dataValidation type="list" allowBlank="1" showErrorMessage="1" sqref="J5">
      <formula1>Datos!$B$2:$B$12</formula1>
    </dataValidation>
    <dataValidation type="list" allowBlank="1" showErrorMessage="1" sqref="J6 J20 J35 J49 J63">
      <formula1>Datos!$D$2:$D$14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10.71"/>
    <col customWidth="1" min="24" max="24" width="7.86"/>
    <col customWidth="1" min="25" max="25" width="15.43"/>
    <col customWidth="1" min="26" max="28" width="10.71"/>
  </cols>
  <sheetData>
    <row r="1" ht="14.25" customHeight="1"/>
    <row r="2" ht="14.25" customHeight="1"/>
    <row r="3" ht="14.25" customHeight="1"/>
    <row r="4" ht="14.25" customHeight="1"/>
    <row r="5" ht="14.25" customHeight="1">
      <c r="J5" s="1"/>
    </row>
    <row r="6" ht="14.25" customHeight="1">
      <c r="A6" s="2" t="s">
        <v>0</v>
      </c>
      <c r="B6" s="3"/>
      <c r="C6" s="4"/>
      <c r="J6" s="1"/>
    </row>
    <row r="7" ht="14.25" customHeight="1">
      <c r="A7" s="6" t="s">
        <v>2</v>
      </c>
      <c r="B7" s="10" t="s">
        <v>4</v>
      </c>
      <c r="C7" s="8"/>
      <c r="D7" s="9"/>
      <c r="E7" s="6" t="s">
        <v>5</v>
      </c>
      <c r="F7" s="6" t="s">
        <v>6</v>
      </c>
      <c r="G7" s="6" t="s">
        <v>7</v>
      </c>
      <c r="H7" s="6" t="s">
        <v>8</v>
      </c>
      <c r="I7" s="10" t="s">
        <v>9</v>
      </c>
      <c r="J7" s="9"/>
      <c r="M7" s="11" t="s">
        <v>0</v>
      </c>
      <c r="N7" s="12"/>
      <c r="O7" s="12"/>
      <c r="P7" s="12"/>
      <c r="Q7" s="12"/>
      <c r="R7" s="12"/>
      <c r="S7" s="12"/>
      <c r="T7" s="12"/>
      <c r="U7" s="12"/>
      <c r="V7" s="12"/>
      <c r="W7" s="13"/>
      <c r="Y7" s="1"/>
      <c r="Z7" s="14" t="s">
        <v>10</v>
      </c>
      <c r="AA7" s="12"/>
      <c r="AB7" s="13"/>
    </row>
    <row r="8" ht="14.25" customHeight="1">
      <c r="A8" s="111" t="s">
        <v>12</v>
      </c>
      <c r="B8" s="110" t="s">
        <v>546</v>
      </c>
      <c r="C8" s="18"/>
      <c r="D8" s="20"/>
      <c r="E8" s="111">
        <v>3.0</v>
      </c>
      <c r="F8" s="111">
        <v>10.0</v>
      </c>
      <c r="G8" s="111"/>
      <c r="H8" s="111" t="s">
        <v>547</v>
      </c>
      <c r="I8" s="24"/>
      <c r="J8" s="9"/>
      <c r="M8" s="25"/>
      <c r="N8" s="28" t="s">
        <v>16</v>
      </c>
      <c r="O8" s="28" t="s">
        <v>26</v>
      </c>
      <c r="P8" s="28" t="s">
        <v>27</v>
      </c>
      <c r="Q8" s="28" t="s">
        <v>28</v>
      </c>
      <c r="R8" s="28" t="s">
        <v>29</v>
      </c>
      <c r="S8" s="28" t="s">
        <v>30</v>
      </c>
      <c r="T8" s="28" t="s">
        <v>31</v>
      </c>
      <c r="U8" s="28" t="s">
        <v>32</v>
      </c>
      <c r="V8" s="28" t="s">
        <v>33</v>
      </c>
      <c r="W8" s="28" t="s">
        <v>12</v>
      </c>
      <c r="Z8" s="28" t="s">
        <v>16</v>
      </c>
      <c r="AA8" s="1">
        <f>SUM(N9,N14,N20,N25,N30)</f>
        <v>4</v>
      </c>
    </row>
    <row r="9" ht="14.25" customHeight="1">
      <c r="A9" s="111" t="s">
        <v>12</v>
      </c>
      <c r="B9" s="110" t="s">
        <v>579</v>
      </c>
      <c r="C9" s="18"/>
      <c r="D9" s="20"/>
      <c r="E9" s="111">
        <v>3.0</v>
      </c>
      <c r="F9" s="111">
        <v>10.0</v>
      </c>
      <c r="G9" s="111"/>
      <c r="H9" s="111"/>
      <c r="I9" s="24"/>
      <c r="J9" s="9"/>
      <c r="M9" s="34" t="s">
        <v>36</v>
      </c>
      <c r="N9" s="37">
        <f>SUMIF(A8:A18,"Pecho",E8:E18)</f>
        <v>0</v>
      </c>
      <c r="O9" s="37">
        <f>SUMIF(A8:A18,"Espalda",E8:E18)</f>
        <v>10</v>
      </c>
      <c r="P9" s="37">
        <f>SUMIF($A8:$A18,"Hombros",$E8:$E18)</f>
        <v>0</v>
      </c>
      <c r="Q9" s="37">
        <f>SUMIF($A8:$A18,"Bíceps",$E8:$E18)</f>
        <v>0</v>
      </c>
      <c r="R9" s="37">
        <f>SUMIF($A8:$A18,"Tríceps",$E8:$E18)</f>
        <v>0</v>
      </c>
      <c r="S9" s="38">
        <f>SUMIF(A8:A18,"Cuádriceps",E8:E18)</f>
        <v>14</v>
      </c>
      <c r="T9" s="37">
        <f>SUMIF($A8:$A18,"Isquios",$E8:$E18)</f>
        <v>0</v>
      </c>
      <c r="U9" s="37">
        <f>SUMIF($A8:$A18,"Glúteos",$E8:$E18)</f>
        <v>3</v>
      </c>
      <c r="V9" s="37">
        <f>SUMIF($A8:$A18,"Pantorrillas",$E8:$E18)</f>
        <v>0</v>
      </c>
      <c r="W9" s="37">
        <f>SUMIF($A8:$A18,"Otros",$E8:$E18)</f>
        <v>9</v>
      </c>
      <c r="Z9" s="28" t="s">
        <v>26</v>
      </c>
      <c r="AA9" s="1">
        <f>SUM(O9,O14,O20,O25,O30)</f>
        <v>13</v>
      </c>
    </row>
    <row r="10" ht="14.25" customHeight="1">
      <c r="A10" s="111" t="s">
        <v>12</v>
      </c>
      <c r="B10" s="110" t="s">
        <v>583</v>
      </c>
      <c r="C10" s="18"/>
      <c r="D10" s="20"/>
      <c r="E10" s="111">
        <v>3.0</v>
      </c>
      <c r="F10" s="111">
        <v>10.0</v>
      </c>
      <c r="G10" s="111"/>
      <c r="H10" s="111"/>
      <c r="I10" s="24"/>
      <c r="J10" s="9"/>
      <c r="M10" s="34" t="s">
        <v>7</v>
      </c>
      <c r="N10" s="35" t="str">
        <f>AVERAGEIF($A8:$A18,"Pecho",$G8:$G18)</f>
        <v>#DIV/0!</v>
      </c>
      <c r="O10" s="35" t="str">
        <f>AVERAGEIF($A8:$A18,"Espalda",$G8:$G18)</f>
        <v>#DIV/0!</v>
      </c>
      <c r="P10" s="35" t="str">
        <f>AVERAGEIF($A8:$A18,"Hombros",$G8:$G18)</f>
        <v>#DIV/0!</v>
      </c>
      <c r="Q10" s="35" t="str">
        <f>AVERAGEIF($A8:$A18,"Bíceps",$G8:$G18)</f>
        <v>#DIV/0!</v>
      </c>
      <c r="R10" s="35" t="str">
        <f>AVERAGEIF($A8:$A18,"Tríceps",$G8:$G18)</f>
        <v>#DIV/0!</v>
      </c>
      <c r="S10" s="35">
        <f>AVERAGEIF($A8:$A18,"Cuádriceps",$G8:$G18)</f>
        <v>8</v>
      </c>
      <c r="T10" s="35" t="str">
        <f>AVERAGEIF($A8:$A18,"Isquios",$G8:$G18)</f>
        <v>#DIV/0!</v>
      </c>
      <c r="U10" s="35" t="str">
        <f>AVERAGEIF($A8:$A18,"Glúteos",$G8:$G18)</f>
        <v>#DIV/0!</v>
      </c>
      <c r="V10" s="35" t="str">
        <f>AVERAGEIF($A8:$A18,"Pantorrillas",$G8:$G18)</f>
        <v>#DIV/0!</v>
      </c>
      <c r="W10" s="35" t="str">
        <f>AVERAGEIF($A8:$A18,"Otros",$G8:$G18)</f>
        <v>#DIV/0!</v>
      </c>
      <c r="Z10" s="28" t="s">
        <v>27</v>
      </c>
      <c r="AA10" s="1">
        <f>SUM(P9,P14,P20,P25,P30)</f>
        <v>3</v>
      </c>
    </row>
    <row r="11" ht="14.25" customHeight="1">
      <c r="A11" s="16" t="s">
        <v>30</v>
      </c>
      <c r="B11" s="30" t="s">
        <v>211</v>
      </c>
      <c r="C11" s="18"/>
      <c r="D11" s="20"/>
      <c r="E11" s="27">
        <v>4.0</v>
      </c>
      <c r="F11" s="27">
        <v>10.0</v>
      </c>
      <c r="G11" s="27">
        <v>8.0</v>
      </c>
      <c r="H11" s="27" t="s">
        <v>55</v>
      </c>
      <c r="I11" s="24"/>
      <c r="J11" s="9"/>
      <c r="M11" s="25"/>
      <c r="N11" s="25"/>
      <c r="O11" s="25"/>
      <c r="P11" s="25"/>
      <c r="Q11" s="25"/>
      <c r="R11" s="25"/>
      <c r="S11" s="25"/>
      <c r="T11" s="25"/>
      <c r="U11" s="25"/>
      <c r="Z11" s="28" t="s">
        <v>28</v>
      </c>
      <c r="AA11" s="1">
        <f>SUM(Q9,Q14,Q20,Q25,Q30)</f>
        <v>4</v>
      </c>
    </row>
    <row r="12" ht="14.25" customHeight="1">
      <c r="A12" s="16" t="s">
        <v>30</v>
      </c>
      <c r="B12" s="30" t="s">
        <v>290</v>
      </c>
      <c r="C12" s="18"/>
      <c r="D12" s="20"/>
      <c r="E12" s="27">
        <v>3.0</v>
      </c>
      <c r="F12" s="27" t="s">
        <v>590</v>
      </c>
      <c r="G12" s="27"/>
      <c r="H12" s="27"/>
      <c r="I12" s="24"/>
      <c r="J12" s="9"/>
      <c r="M12" s="11" t="s">
        <v>45</v>
      </c>
      <c r="N12" s="12"/>
      <c r="O12" s="12"/>
      <c r="P12" s="12"/>
      <c r="Q12" s="12"/>
      <c r="R12" s="12"/>
      <c r="S12" s="12"/>
      <c r="T12" s="12"/>
      <c r="U12" s="12"/>
      <c r="V12" s="12"/>
      <c r="W12" s="13"/>
      <c r="Z12" s="28" t="s">
        <v>29</v>
      </c>
      <c r="AA12" s="1">
        <f>SUM(R9,R14,R20,R25,R30)</f>
        <v>8</v>
      </c>
    </row>
    <row r="13" ht="14.25" customHeight="1">
      <c r="A13" s="111" t="s">
        <v>26</v>
      </c>
      <c r="B13" s="110" t="s">
        <v>192</v>
      </c>
      <c r="C13" s="18"/>
      <c r="D13" s="20"/>
      <c r="E13" s="111">
        <v>4.0</v>
      </c>
      <c r="F13" s="111">
        <v>12.0</v>
      </c>
      <c r="G13" s="111"/>
      <c r="H13" s="111" t="s">
        <v>564</v>
      </c>
      <c r="I13" s="24"/>
      <c r="J13" s="9"/>
      <c r="M13" s="25"/>
      <c r="N13" s="28" t="s">
        <v>16</v>
      </c>
      <c r="O13" s="28" t="s">
        <v>26</v>
      </c>
      <c r="P13" s="28" t="s">
        <v>27</v>
      </c>
      <c r="Q13" s="28" t="s">
        <v>28</v>
      </c>
      <c r="R13" s="28" t="s">
        <v>29</v>
      </c>
      <c r="S13" s="28" t="s">
        <v>30</v>
      </c>
      <c r="T13" s="28" t="s">
        <v>31</v>
      </c>
      <c r="U13" s="28" t="s">
        <v>32</v>
      </c>
      <c r="V13" s="28" t="s">
        <v>33</v>
      </c>
      <c r="W13" s="28" t="s">
        <v>12</v>
      </c>
      <c r="Z13" s="28" t="s">
        <v>30</v>
      </c>
      <c r="AA13" s="1">
        <f>SUM(S9,S14,S20,S25,S30)</f>
        <v>14</v>
      </c>
    </row>
    <row r="14" ht="14.25" customHeight="1">
      <c r="A14" s="111" t="s">
        <v>26</v>
      </c>
      <c r="B14" s="110" t="s">
        <v>596</v>
      </c>
      <c r="C14" s="18"/>
      <c r="D14" s="20"/>
      <c r="E14" s="111">
        <v>3.0</v>
      </c>
      <c r="F14" s="111" t="s">
        <v>566</v>
      </c>
      <c r="G14" s="111"/>
      <c r="H14" s="111"/>
      <c r="I14" s="24"/>
      <c r="J14" s="9"/>
      <c r="M14" s="34" t="s">
        <v>36</v>
      </c>
      <c r="N14" s="35">
        <f>SUMIF($A23:$A32,"Pecho",$E23:$E32)</f>
        <v>0</v>
      </c>
      <c r="O14" s="35">
        <f>SUMIF($A23:$A32,"Espalda",$E23:$E32)</f>
        <v>0</v>
      </c>
      <c r="P14" s="35">
        <f>SUMIF($A23:$A32,"Hombros",$E23:$E32)</f>
        <v>3</v>
      </c>
      <c r="Q14" s="35">
        <f>SUMIF($A23:$A32,"Bíceps",$E23:$E32)</f>
        <v>0</v>
      </c>
      <c r="R14" s="35">
        <f>SUMIF($A23:$A32,"Tríceps",$E23:$E32)</f>
        <v>4</v>
      </c>
      <c r="S14" s="35">
        <f>SUMIF($A23:$A32,"Cuádriceps",$E23:$E32)</f>
        <v>0</v>
      </c>
      <c r="T14" s="35">
        <f>SUMIF($A23:$A32,"Isquios",$E23:$E32)</f>
        <v>6</v>
      </c>
      <c r="U14" s="35">
        <f>SUMIF($A23:$A32,"Glúteos",$E23:$E32)</f>
        <v>12</v>
      </c>
      <c r="V14" s="35">
        <f>SUMIF($A23:$A32,"Pantorrillas",$E23:$E32)</f>
        <v>0</v>
      </c>
      <c r="W14" s="35">
        <f>SUMIF($A23:$A32,"Otros",$E23:$E32)</f>
        <v>9</v>
      </c>
      <c r="Z14" s="28" t="s">
        <v>31</v>
      </c>
      <c r="AA14" s="1">
        <f>SUM(T9,T14,T20,T25,T30)</f>
        <v>10</v>
      </c>
    </row>
    <row r="15" ht="14.25" customHeight="1">
      <c r="A15" s="16" t="s">
        <v>30</v>
      </c>
      <c r="B15" s="30" t="s">
        <v>601</v>
      </c>
      <c r="C15" s="18"/>
      <c r="D15" s="20"/>
      <c r="E15" s="27">
        <v>4.0</v>
      </c>
      <c r="F15" s="27">
        <v>12.0</v>
      </c>
      <c r="G15" s="27"/>
      <c r="H15" s="27" t="s">
        <v>568</v>
      </c>
      <c r="I15" s="24"/>
      <c r="J15" s="9"/>
      <c r="M15" s="34" t="s">
        <v>7</v>
      </c>
      <c r="N15" s="35" t="str">
        <f>AVERAGEIF($A23:$A32,"Pecho",$G23:$G32)</f>
        <v>#DIV/0!</v>
      </c>
      <c r="O15" s="35" t="str">
        <f>AVERAGEIF($A23:$A32,"Espalda",$G23:$G32)</f>
        <v>#DIV/0!</v>
      </c>
      <c r="P15" s="35" t="str">
        <f>AVERAGEIF($A23:$A32,"Hombros",$G23:$G32)</f>
        <v>#DIV/0!</v>
      </c>
      <c r="Q15" s="35" t="str">
        <f>AVERAGEIF($A23:$A32,"Bíceps",$G23:$G32)</f>
        <v>#DIV/0!</v>
      </c>
      <c r="R15" s="35" t="str">
        <f>AVERAGEIF($A23:$A32,"Tríceps",$G23:$G32)</f>
        <v>#DIV/0!</v>
      </c>
      <c r="S15" s="35" t="str">
        <f>AVERAGEIF($A23:$A32,"Cuádriceps",$G23:$G32)</f>
        <v>#DIV/0!</v>
      </c>
      <c r="T15" s="35" t="str">
        <f>AVERAGEIF($A23:$A32,"Isquios",$G23:$G32)</f>
        <v>#DIV/0!</v>
      </c>
      <c r="U15" s="35">
        <f>AVERAGEIF($A23:$A32,"Glúteos",$G23:$G32)</f>
        <v>8</v>
      </c>
      <c r="V15" s="35" t="str">
        <f>AVERAGEIF($A23:$A32,"Pantorrillas",$G23:$G32)</f>
        <v>#DIV/0!</v>
      </c>
      <c r="W15" s="35" t="str">
        <f>AVERAGEIF($A23:$A32,"Otros",$G23:$G32)</f>
        <v>#DIV/0!</v>
      </c>
      <c r="Z15" s="28" t="s">
        <v>32</v>
      </c>
      <c r="AA15" s="1">
        <f>SUM(U9,U14,U20,U25,U30)</f>
        <v>15</v>
      </c>
    </row>
    <row r="16" ht="14.25" customHeight="1">
      <c r="A16" s="16" t="s">
        <v>26</v>
      </c>
      <c r="B16" s="30" t="s">
        <v>569</v>
      </c>
      <c r="C16" s="18"/>
      <c r="D16" s="20"/>
      <c r="E16" s="27">
        <v>3.0</v>
      </c>
      <c r="F16" s="27">
        <v>12.0</v>
      </c>
      <c r="G16" s="27"/>
      <c r="H16" s="27"/>
      <c r="I16" s="24"/>
      <c r="J16" s="9"/>
      <c r="M16" s="25"/>
      <c r="N16" s="25"/>
      <c r="O16" s="25"/>
      <c r="P16" s="25"/>
      <c r="Q16" s="25"/>
      <c r="R16" s="25"/>
      <c r="S16" s="25"/>
      <c r="T16" s="25"/>
      <c r="U16" s="25"/>
      <c r="Z16" s="28" t="s">
        <v>33</v>
      </c>
      <c r="AA16" s="1">
        <f>SUM(V9,V14,V20,V25,V30)</f>
        <v>0</v>
      </c>
    </row>
    <row r="17" ht="14.25" customHeight="1">
      <c r="A17" s="16" t="s">
        <v>32</v>
      </c>
      <c r="B17" s="116" t="s">
        <v>606</v>
      </c>
      <c r="C17" s="117"/>
      <c r="D17" s="117"/>
      <c r="E17" s="27">
        <v>3.0</v>
      </c>
      <c r="F17" s="112">
        <v>45638.0</v>
      </c>
      <c r="G17" s="27"/>
      <c r="H17" s="27"/>
      <c r="I17" s="24"/>
      <c r="J17" s="103"/>
      <c r="M17" s="25"/>
      <c r="N17" s="25"/>
      <c r="O17" s="25"/>
      <c r="P17" s="25"/>
      <c r="Q17" s="25"/>
      <c r="R17" s="25"/>
      <c r="S17" s="25"/>
      <c r="T17" s="25"/>
      <c r="U17" s="25"/>
      <c r="Z17" s="28"/>
      <c r="AA17" s="1"/>
    </row>
    <row r="18" ht="14.25" customHeight="1">
      <c r="A18" s="111" t="s">
        <v>30</v>
      </c>
      <c r="B18" s="110" t="s">
        <v>607</v>
      </c>
      <c r="C18" s="18"/>
      <c r="D18" s="20"/>
      <c r="E18" s="111">
        <v>3.0</v>
      </c>
      <c r="F18" s="111">
        <v>12.0</v>
      </c>
      <c r="G18" s="111"/>
      <c r="H18" s="111"/>
      <c r="I18" s="24"/>
      <c r="J18" s="9"/>
      <c r="M18" s="11" t="s">
        <v>57</v>
      </c>
      <c r="N18" s="12"/>
      <c r="O18" s="12"/>
      <c r="P18" s="12"/>
      <c r="Q18" s="12"/>
      <c r="R18" s="12"/>
      <c r="S18" s="12"/>
      <c r="T18" s="12"/>
      <c r="U18" s="12"/>
      <c r="V18" s="12"/>
      <c r="W18" s="13"/>
      <c r="Z18" s="28" t="s">
        <v>12</v>
      </c>
      <c r="AA18" s="1">
        <f>SUM(W9,W14,W20,W25,W30)</f>
        <v>34</v>
      </c>
    </row>
    <row r="19" ht="14.25" customHeight="1">
      <c r="B19" s="26"/>
      <c r="C19" s="29"/>
      <c r="D19" s="29"/>
      <c r="M19" s="25"/>
      <c r="N19" s="28" t="s">
        <v>16</v>
      </c>
      <c r="O19" s="28" t="s">
        <v>26</v>
      </c>
      <c r="P19" s="28" t="s">
        <v>27</v>
      </c>
      <c r="Q19" s="28" t="s">
        <v>28</v>
      </c>
      <c r="R19" s="28" t="s">
        <v>29</v>
      </c>
      <c r="S19" s="28" t="s">
        <v>30</v>
      </c>
      <c r="T19" s="28" t="s">
        <v>31</v>
      </c>
      <c r="U19" s="28" t="s">
        <v>32</v>
      </c>
      <c r="V19" s="28" t="s">
        <v>33</v>
      </c>
      <c r="W19" s="28" t="s">
        <v>12</v>
      </c>
    </row>
    <row r="20" ht="14.25" customHeight="1">
      <c r="M20" s="34" t="s">
        <v>36</v>
      </c>
      <c r="N20" s="35">
        <f>SUMIF($A38:$A47,"Pecho",$E38:$E47)</f>
        <v>4</v>
      </c>
      <c r="O20" s="35">
        <f>SUMIF($A38:$A47,"Espalda",$E38:$E47)</f>
        <v>3</v>
      </c>
      <c r="P20" s="35">
        <f>SUMIF($A38:$A47,"Hombros",$E38:$E47)</f>
        <v>0</v>
      </c>
      <c r="Q20" s="35">
        <f>SUMIF($A38:$A47,"Bíceps",$E38:$E47)</f>
        <v>4</v>
      </c>
      <c r="R20" s="35">
        <f>SUMIF($A38:$A47,"Tríceps",$E38:$E47)</f>
        <v>4</v>
      </c>
      <c r="S20" s="35">
        <f>SUMIF($A38:$A47,"Cuádriceps",$E38:$E47)</f>
        <v>0</v>
      </c>
      <c r="T20" s="35">
        <f>SUMIF($A38:$A47,"Isquios",$E38:$E47)</f>
        <v>4</v>
      </c>
      <c r="U20" s="35">
        <f>SUMIF($A38:$A47,"Glúteos",$E38:$E47)</f>
        <v>0</v>
      </c>
      <c r="V20" s="35">
        <f>SUMIF($A38:$A47,"Pantorrillas",$E38:$E47)</f>
        <v>0</v>
      </c>
      <c r="W20" s="35">
        <f>SUMIF($A38:$A47,"Otros",$E38:$E47)</f>
        <v>16</v>
      </c>
    </row>
    <row r="21" ht="14.25" customHeight="1">
      <c r="A21" s="2" t="s">
        <v>45</v>
      </c>
      <c r="B21" s="3"/>
      <c r="C21" s="4"/>
      <c r="J21" s="1"/>
      <c r="M21" s="34" t="s">
        <v>7</v>
      </c>
      <c r="N21" s="35">
        <f>AVERAGEIF($A38:$A47,"Pecho",$G38:$G47)</f>
        <v>8</v>
      </c>
      <c r="O21" s="35" t="str">
        <f>AVERAGEIF($A38:$A47,"Espalda",$G38:$G47)</f>
        <v>#DIV/0!</v>
      </c>
      <c r="P21" s="35" t="str">
        <f>AVERAGEIF($A38:$A47,"Hombros",$G38:$G47)</f>
        <v>#DIV/0!</v>
      </c>
      <c r="Q21" s="35" t="str">
        <f>AVERAGEIF($A38:$A47,"Bíceps",$G38:$G47)</f>
        <v>#DIV/0!</v>
      </c>
      <c r="R21" s="35" t="str">
        <f>AVERAGEIF($A38:$A47,"Tríceps",$G38:$G47)</f>
        <v>#DIV/0!</v>
      </c>
      <c r="S21" s="35" t="str">
        <f>AVERAGEIF($A38:$A47,"Cuádriceps",$G38:$G47)</f>
        <v>#DIV/0!</v>
      </c>
      <c r="T21" s="35" t="str">
        <f>AVERAGEIF($A38:$A47,"Isquios",$G38:$G47)</f>
        <v>#DIV/0!</v>
      </c>
      <c r="U21" s="35" t="str">
        <f>AVERAGEIF($A38:$A47,"Glúteos",$G38:$G47)</f>
        <v>#DIV/0!</v>
      </c>
      <c r="V21" s="35" t="str">
        <f>AVERAGEIF($A38:$A47,"Pantorrillas",$G38:$G47)</f>
        <v>#DIV/0!</v>
      </c>
      <c r="W21" s="35" t="str">
        <f>AVERAGEIF($A38:$A47,"Otros",$G38:$G47)</f>
        <v>#DIV/0!</v>
      </c>
    </row>
    <row r="22" ht="14.25" customHeight="1">
      <c r="A22" s="6" t="s">
        <v>2</v>
      </c>
      <c r="B22" s="10" t="s">
        <v>4</v>
      </c>
      <c r="C22" s="8"/>
      <c r="D22" s="9"/>
      <c r="E22" s="6" t="s">
        <v>5</v>
      </c>
      <c r="F22" s="6" t="s">
        <v>6</v>
      </c>
      <c r="G22" s="6" t="s">
        <v>7</v>
      </c>
      <c r="H22" s="6" t="s">
        <v>8</v>
      </c>
      <c r="I22" s="10" t="s">
        <v>9</v>
      </c>
      <c r="J22" s="9"/>
      <c r="M22" s="25"/>
      <c r="N22" s="25"/>
      <c r="O22" s="25"/>
      <c r="P22" s="25"/>
      <c r="Q22" s="25"/>
      <c r="R22" s="25"/>
      <c r="S22" s="25"/>
      <c r="T22" s="25"/>
      <c r="U22" s="25"/>
    </row>
    <row r="23" ht="14.25" customHeight="1">
      <c r="A23" s="111" t="s">
        <v>12</v>
      </c>
      <c r="B23" s="110" t="s">
        <v>571</v>
      </c>
      <c r="C23" s="18"/>
      <c r="D23" s="20"/>
      <c r="E23" s="111">
        <v>3.0</v>
      </c>
      <c r="F23" s="111">
        <v>10.0</v>
      </c>
      <c r="G23" s="111"/>
      <c r="H23" s="111" t="s">
        <v>572</v>
      </c>
      <c r="I23" s="24"/>
      <c r="J23" s="9"/>
      <c r="M23" s="11" t="s">
        <v>66</v>
      </c>
      <c r="N23" s="12"/>
      <c r="O23" s="12"/>
      <c r="P23" s="12"/>
      <c r="Q23" s="12"/>
      <c r="R23" s="12"/>
      <c r="S23" s="12"/>
      <c r="T23" s="12"/>
      <c r="U23" s="12"/>
      <c r="V23" s="12"/>
      <c r="W23" s="13"/>
    </row>
    <row r="24" ht="14.25" customHeight="1">
      <c r="A24" s="111" t="s">
        <v>12</v>
      </c>
      <c r="B24" s="110" t="s">
        <v>612</v>
      </c>
      <c r="C24" s="18"/>
      <c r="D24" s="20"/>
      <c r="E24" s="111">
        <v>3.0</v>
      </c>
      <c r="F24" s="111">
        <v>12.0</v>
      </c>
      <c r="G24" s="111"/>
      <c r="H24" s="111"/>
      <c r="I24" s="24"/>
      <c r="J24" s="9"/>
      <c r="M24" s="25"/>
      <c r="N24" s="28" t="s">
        <v>16</v>
      </c>
      <c r="O24" s="28" t="s">
        <v>26</v>
      </c>
      <c r="P24" s="28" t="s">
        <v>27</v>
      </c>
      <c r="Q24" s="28" t="s">
        <v>28</v>
      </c>
      <c r="R24" s="28" t="s">
        <v>29</v>
      </c>
      <c r="S24" s="28" t="s">
        <v>30</v>
      </c>
      <c r="T24" s="28" t="s">
        <v>31</v>
      </c>
      <c r="U24" s="28" t="s">
        <v>32</v>
      </c>
      <c r="V24" s="28" t="s">
        <v>33</v>
      </c>
      <c r="W24" s="28" t="s">
        <v>12</v>
      </c>
    </row>
    <row r="25" ht="14.25" customHeight="1">
      <c r="A25" s="111" t="s">
        <v>12</v>
      </c>
      <c r="B25" s="110" t="s">
        <v>574</v>
      </c>
      <c r="C25" s="18"/>
      <c r="D25" s="20"/>
      <c r="E25" s="111">
        <v>3.0</v>
      </c>
      <c r="F25" s="111">
        <v>10.0</v>
      </c>
      <c r="G25" s="111"/>
      <c r="H25" s="111"/>
      <c r="I25" s="24"/>
      <c r="J25" s="9"/>
      <c r="M25" s="34" t="s">
        <v>36</v>
      </c>
      <c r="N25" s="35">
        <f>SUMIF($A52:$A61,"Pecho",$E52:$E61)</f>
        <v>0</v>
      </c>
      <c r="O25" s="35">
        <f>SUMIF($A52:$A61,"Espalda",$E52:$E61)</f>
        <v>0</v>
      </c>
      <c r="P25" s="35">
        <f>SUMIF($A52:$A61,"Hombros",$E52:$E61)</f>
        <v>0</v>
      </c>
      <c r="Q25" s="35">
        <f>SUMIF($A52:$A61,"Bíceps",$E52:$E61)</f>
        <v>0</v>
      </c>
      <c r="R25" s="35">
        <f>SUMIF($A52:$A61,"Tríceps",$E52:$E61)</f>
        <v>0</v>
      </c>
      <c r="S25" s="35">
        <f>SUMIF($A52:$A61,"Cuádriceps",$E52:$E61)</f>
        <v>0</v>
      </c>
      <c r="T25" s="35">
        <f>SUMIF($A52:$A61,"Isquios",$E52:$E61)</f>
        <v>0</v>
      </c>
      <c r="U25" s="35">
        <f>SUMIF($A52:$A61,"Glúteos",$E52:$E61)</f>
        <v>0</v>
      </c>
      <c r="V25" s="35">
        <f>SUMIF($A52:$A61,"Pantorrillas",$E52:$E61)</f>
        <v>0</v>
      </c>
      <c r="W25" s="35">
        <f>SUMIF($A52:$A61,"Otros",$E52:$E61)</f>
        <v>0</v>
      </c>
    </row>
    <row r="26" ht="14.25" customHeight="1">
      <c r="A26" s="16" t="s">
        <v>32</v>
      </c>
      <c r="B26" s="30" t="s">
        <v>313</v>
      </c>
      <c r="C26" s="18"/>
      <c r="D26" s="20"/>
      <c r="E26" s="27">
        <v>4.0</v>
      </c>
      <c r="F26" s="27">
        <v>10.0</v>
      </c>
      <c r="G26" s="27">
        <v>8.0</v>
      </c>
      <c r="H26" s="27" t="s">
        <v>55</v>
      </c>
      <c r="I26" s="24"/>
      <c r="J26" s="9"/>
      <c r="M26" s="34" t="s">
        <v>7</v>
      </c>
      <c r="N26" s="35" t="str">
        <f>AVERAGEIF($A52:$A61,"Pecho",$G52:$G61)</f>
        <v>#DIV/0!</v>
      </c>
      <c r="O26" s="35" t="str">
        <f>AVERAGEIF($A52:$A61,"Espalda",$G52:$G61)</f>
        <v>#DIV/0!</v>
      </c>
      <c r="P26" s="35" t="str">
        <f>AVERAGEIF($A52:$A61,"Hombros",$G52:$G61)</f>
        <v>#DIV/0!</v>
      </c>
      <c r="Q26" s="35" t="str">
        <f>AVERAGEIF($A52:$A61,"Bíceps",$G52:$G61)</f>
        <v>#DIV/0!</v>
      </c>
      <c r="R26" s="35" t="str">
        <f>AVERAGEIF($A52:$A61,"Tríceps",$G52:$G61)</f>
        <v>#DIV/0!</v>
      </c>
      <c r="S26" s="35" t="str">
        <f>AVERAGEIF($A52:$A61,"Cuádriceps",$G52:$G61)</f>
        <v>#DIV/0!</v>
      </c>
      <c r="T26" s="35" t="str">
        <f>AVERAGEIF($A52:$A61,"Isquios",$G52:$G61)</f>
        <v>#DIV/0!</v>
      </c>
      <c r="U26" s="35" t="str">
        <f>AVERAGEIF($A52:$A61,"Glúteos",$G52:$G61)</f>
        <v>#DIV/0!</v>
      </c>
      <c r="V26" s="35" t="str">
        <f>AVERAGEIF($A52:$A61,"Pantorrillas",$G52:$G61)</f>
        <v>#DIV/0!</v>
      </c>
      <c r="W26" s="35" t="str">
        <f>AVERAGEIF($A52:$A61,"Otros",$G52:$G61)</f>
        <v>#DIV/0!</v>
      </c>
    </row>
    <row r="27" ht="14.25" customHeight="1">
      <c r="A27" s="16" t="s">
        <v>31</v>
      </c>
      <c r="B27" s="30" t="s">
        <v>410</v>
      </c>
      <c r="C27" s="18"/>
      <c r="D27" s="20"/>
      <c r="E27" s="27">
        <v>3.0</v>
      </c>
      <c r="F27" s="27">
        <v>12.0</v>
      </c>
      <c r="G27" s="27"/>
      <c r="H27" s="27"/>
      <c r="I27" s="24"/>
      <c r="J27" s="9"/>
      <c r="M27" s="25"/>
      <c r="N27" s="25"/>
      <c r="O27" s="25"/>
      <c r="P27" s="25"/>
      <c r="Q27" s="25"/>
      <c r="R27" s="25"/>
      <c r="S27" s="25"/>
      <c r="T27" s="25"/>
      <c r="U27" s="25"/>
    </row>
    <row r="28" ht="14.25" customHeight="1">
      <c r="A28" s="111" t="s">
        <v>29</v>
      </c>
      <c r="B28" s="110" t="s">
        <v>220</v>
      </c>
      <c r="C28" s="18"/>
      <c r="D28" s="20"/>
      <c r="E28" s="111">
        <v>4.0</v>
      </c>
      <c r="F28" s="111">
        <v>10.0</v>
      </c>
      <c r="G28" s="111"/>
      <c r="H28" s="111" t="s">
        <v>575</v>
      </c>
      <c r="I28" s="24"/>
      <c r="J28" s="9"/>
      <c r="M28" s="11" t="s">
        <v>76</v>
      </c>
      <c r="N28" s="12"/>
      <c r="O28" s="12"/>
      <c r="P28" s="12"/>
      <c r="Q28" s="12"/>
      <c r="R28" s="12"/>
      <c r="S28" s="12"/>
      <c r="T28" s="12"/>
      <c r="U28" s="12"/>
      <c r="V28" s="12"/>
      <c r="W28" s="13"/>
    </row>
    <row r="29" ht="14.25" customHeight="1">
      <c r="A29" s="111" t="s">
        <v>27</v>
      </c>
      <c r="B29" s="110" t="s">
        <v>576</v>
      </c>
      <c r="C29" s="18"/>
      <c r="D29" s="20"/>
      <c r="E29" s="111">
        <v>3.0</v>
      </c>
      <c r="F29" s="111">
        <v>12.0</v>
      </c>
      <c r="G29" s="111"/>
      <c r="H29" s="111"/>
      <c r="I29" s="24"/>
      <c r="J29" s="9"/>
      <c r="M29" s="25"/>
      <c r="N29" s="28" t="s">
        <v>16</v>
      </c>
      <c r="O29" s="28" t="s">
        <v>26</v>
      </c>
      <c r="P29" s="28" t="s">
        <v>27</v>
      </c>
      <c r="Q29" s="28" t="s">
        <v>28</v>
      </c>
      <c r="R29" s="28" t="s">
        <v>29</v>
      </c>
      <c r="S29" s="28" t="s">
        <v>30</v>
      </c>
      <c r="T29" s="28" t="s">
        <v>31</v>
      </c>
      <c r="U29" s="28" t="s">
        <v>32</v>
      </c>
      <c r="V29" s="28" t="s">
        <v>33</v>
      </c>
      <c r="W29" s="28" t="s">
        <v>12</v>
      </c>
    </row>
    <row r="30" ht="14.25" customHeight="1">
      <c r="A30" s="16" t="s">
        <v>32</v>
      </c>
      <c r="B30" s="30" t="s">
        <v>577</v>
      </c>
      <c r="C30" s="18"/>
      <c r="D30" s="20"/>
      <c r="E30" s="27">
        <v>4.0</v>
      </c>
      <c r="F30" s="27" t="s">
        <v>71</v>
      </c>
      <c r="G30" s="27"/>
      <c r="H30" s="27" t="s">
        <v>578</v>
      </c>
      <c r="I30" s="24"/>
      <c r="J30" s="9"/>
      <c r="M30" s="34" t="s">
        <v>36</v>
      </c>
      <c r="N30" s="35">
        <f>SUMIF($A66:$A75,"Pecho",$E66:$E75)</f>
        <v>0</v>
      </c>
      <c r="O30" s="35">
        <f>SUMIF($A66:$A75,"Espalda",$E66:$E75)</f>
        <v>0</v>
      </c>
      <c r="P30" s="35">
        <f>SUMIF($A66:$A75,"Hombros",$E66:$E75)</f>
        <v>0</v>
      </c>
      <c r="Q30" s="35">
        <f>SUMIF($A66:$A75,"Bíceps",$E66:$E75)</f>
        <v>0</v>
      </c>
      <c r="R30" s="35">
        <f>SUMIF($A66:$A75,"Tríceps",$E66:$E75)</f>
        <v>0</v>
      </c>
      <c r="S30" s="35">
        <f>SUMIF($A66:$A75,"Cuádriceps",$E66:$E75)</f>
        <v>0</v>
      </c>
      <c r="T30" s="35">
        <f>SUMIF($A66:$A75,"Isquios",$E66:$E75)</f>
        <v>0</v>
      </c>
      <c r="U30" s="35">
        <f>SUMIF($A66:$A75,"Glúteos",$E66:$E75)</f>
        <v>0</v>
      </c>
      <c r="V30" s="35">
        <f>SUMIF($A66:$A75,"Pantorrillas",$E66:$E75)</f>
        <v>0</v>
      </c>
      <c r="W30" s="35">
        <f>SUMIF($A66:$A75,"Otros",$E66:$E75)</f>
        <v>0</v>
      </c>
    </row>
    <row r="31" ht="14.25" customHeight="1">
      <c r="A31" s="16" t="s">
        <v>31</v>
      </c>
      <c r="B31" s="30" t="s">
        <v>617</v>
      </c>
      <c r="C31" s="18"/>
      <c r="D31" s="20"/>
      <c r="E31" s="27">
        <v>3.0</v>
      </c>
      <c r="F31" s="27">
        <v>12.0</v>
      </c>
      <c r="G31" s="27"/>
      <c r="H31" s="27"/>
      <c r="I31" s="24"/>
      <c r="J31" s="9"/>
      <c r="M31" s="34" t="s">
        <v>7</v>
      </c>
      <c r="N31" s="35" t="str">
        <f>AVERAGEIF($A66:$A75,"Pecho",$G66:$G75)</f>
        <v>#DIV/0!</v>
      </c>
      <c r="O31" s="35" t="str">
        <f>AVERAGEIF($A66:$A75,"Espalda",$G66:$G75)</f>
        <v>#DIV/0!</v>
      </c>
      <c r="P31" s="35" t="str">
        <f>AVERAGEIF($A66:$A75,"Hombros",$G66:$G75)</f>
        <v>#DIV/0!</v>
      </c>
      <c r="Q31" s="35" t="str">
        <f>AVERAGEIF($A66:$A75,"Bíceps",$G66:$G75)</f>
        <v>#DIV/0!</v>
      </c>
      <c r="R31" s="35" t="str">
        <f>AVERAGEIF($A66:$A75,"Tríceps",$G66:$G75)</f>
        <v>#DIV/0!</v>
      </c>
      <c r="S31" s="35" t="str">
        <f>AVERAGEIF($A66:$A75,"Cuádriceps",$G66:$G75)</f>
        <v>#DIV/0!</v>
      </c>
      <c r="T31" s="35" t="str">
        <f>AVERAGEIF($A66:$A75,"Isquios",$G66:$G75)</f>
        <v>#DIV/0!</v>
      </c>
      <c r="U31" s="35" t="str">
        <f>AVERAGEIF($A66:$A75,"Glúteos",$G66:$G75)</f>
        <v>#DIV/0!</v>
      </c>
      <c r="V31" s="35" t="str">
        <f>AVERAGEIF($A66:$A75,"Pantorrillas",$G66:$G75)</f>
        <v>#DIV/0!</v>
      </c>
      <c r="W31" s="35" t="str">
        <f>AVERAGEIF($A66:$A75,"Otros",$G66:$G75)</f>
        <v>#DIV/0!</v>
      </c>
    </row>
    <row r="32" ht="14.25" customHeight="1">
      <c r="A32" s="111" t="s">
        <v>32</v>
      </c>
      <c r="B32" s="140" t="s">
        <v>581</v>
      </c>
      <c r="C32" s="8"/>
      <c r="D32" s="9"/>
      <c r="E32" s="111">
        <v>4.0</v>
      </c>
      <c r="F32" s="111" t="s">
        <v>582</v>
      </c>
      <c r="G32" s="111"/>
      <c r="H32" s="111"/>
      <c r="I32" s="24"/>
      <c r="J32" s="9"/>
    </row>
    <row r="33" ht="14.25" customHeight="1">
      <c r="A33" s="141" t="s">
        <v>29</v>
      </c>
      <c r="B33" s="142"/>
      <c r="C33" s="143" t="s">
        <v>584</v>
      </c>
      <c r="D33" s="141"/>
      <c r="E33" s="141">
        <v>3.0</v>
      </c>
      <c r="F33" s="141">
        <v>12.0</v>
      </c>
      <c r="G33" s="141"/>
      <c r="H33" s="141"/>
      <c r="I33" s="25"/>
      <c r="J33" s="1"/>
    </row>
    <row r="34" ht="14.25" customHeight="1">
      <c r="B34" s="26"/>
      <c r="C34" s="29"/>
      <c r="D34" s="29"/>
    </row>
    <row r="35" ht="14.25" customHeight="1"/>
    <row r="36" ht="14.25" customHeight="1">
      <c r="A36" s="2" t="s">
        <v>57</v>
      </c>
      <c r="B36" s="3"/>
      <c r="C36" s="4"/>
      <c r="J36" s="1"/>
    </row>
    <row r="37" ht="14.25" customHeight="1">
      <c r="A37" s="6" t="s">
        <v>2</v>
      </c>
      <c r="B37" s="10" t="s">
        <v>4</v>
      </c>
      <c r="C37" s="8"/>
      <c r="D37" s="9"/>
      <c r="E37" s="6" t="s">
        <v>5</v>
      </c>
      <c r="F37" s="6" t="s">
        <v>6</v>
      </c>
      <c r="G37" s="6" t="s">
        <v>7</v>
      </c>
      <c r="H37" s="6" t="s">
        <v>8</v>
      </c>
      <c r="I37" s="10" t="s">
        <v>9</v>
      </c>
      <c r="J37" s="9"/>
    </row>
    <row r="38" ht="14.25" customHeight="1">
      <c r="A38" s="111" t="s">
        <v>12</v>
      </c>
      <c r="B38" s="110" t="s">
        <v>551</v>
      </c>
      <c r="C38" s="18"/>
      <c r="D38" s="20"/>
      <c r="E38" s="111">
        <v>3.0</v>
      </c>
      <c r="F38" s="111">
        <v>10.0</v>
      </c>
      <c r="G38" s="111"/>
      <c r="H38" s="111" t="s">
        <v>585</v>
      </c>
      <c r="I38" s="24"/>
      <c r="J38" s="9"/>
    </row>
    <row r="39" ht="14.25" customHeight="1">
      <c r="A39" s="111" t="s">
        <v>12</v>
      </c>
      <c r="B39" s="110" t="s">
        <v>587</v>
      </c>
      <c r="C39" s="18"/>
      <c r="D39" s="20"/>
      <c r="E39" s="111">
        <v>3.0</v>
      </c>
      <c r="F39" s="111">
        <v>12.0</v>
      </c>
      <c r="G39" s="111"/>
      <c r="H39" s="111"/>
      <c r="I39" s="24"/>
      <c r="J39" s="9"/>
    </row>
    <row r="40" ht="14.25" customHeight="1">
      <c r="A40" s="111" t="s">
        <v>12</v>
      </c>
      <c r="B40" s="110" t="s">
        <v>588</v>
      </c>
      <c r="C40" s="18"/>
      <c r="D40" s="20"/>
      <c r="E40" s="111">
        <v>3.0</v>
      </c>
      <c r="F40" s="111">
        <v>12.0</v>
      </c>
      <c r="G40" s="111"/>
      <c r="H40" s="111"/>
      <c r="I40" s="24"/>
      <c r="J40" s="9"/>
    </row>
    <row r="41" ht="14.25" customHeight="1">
      <c r="A41" s="16" t="s">
        <v>16</v>
      </c>
      <c r="B41" s="30" t="s">
        <v>624</v>
      </c>
      <c r="C41" s="18"/>
      <c r="D41" s="20"/>
      <c r="E41" s="27">
        <v>4.0</v>
      </c>
      <c r="F41" s="27">
        <v>10.0</v>
      </c>
      <c r="G41" s="27">
        <v>8.0</v>
      </c>
      <c r="H41" s="27" t="s">
        <v>141</v>
      </c>
      <c r="I41" s="24"/>
      <c r="J41" s="9"/>
    </row>
    <row r="42" ht="14.25" customHeight="1">
      <c r="A42" s="16" t="s">
        <v>26</v>
      </c>
      <c r="B42" s="30" t="s">
        <v>625</v>
      </c>
      <c r="C42" s="18"/>
      <c r="D42" s="20"/>
      <c r="E42" s="27">
        <v>3.0</v>
      </c>
      <c r="F42" s="27">
        <v>12.0</v>
      </c>
      <c r="G42" s="27"/>
      <c r="H42" s="27"/>
      <c r="I42" s="24"/>
      <c r="J42" s="9"/>
    </row>
    <row r="43" ht="14.25" customHeight="1">
      <c r="A43" s="111" t="s">
        <v>31</v>
      </c>
      <c r="B43" s="110" t="s">
        <v>242</v>
      </c>
      <c r="C43" s="18"/>
      <c r="D43" s="20"/>
      <c r="E43" s="111">
        <v>4.0</v>
      </c>
      <c r="F43" s="111">
        <v>12.0</v>
      </c>
      <c r="G43" s="111"/>
      <c r="H43" s="111" t="s">
        <v>591</v>
      </c>
      <c r="I43" s="139"/>
      <c r="J43" s="9"/>
    </row>
    <row r="44" ht="14.25" customHeight="1">
      <c r="A44" s="111" t="s">
        <v>12</v>
      </c>
      <c r="B44" s="110" t="s">
        <v>592</v>
      </c>
      <c r="C44" s="18"/>
      <c r="D44" s="20"/>
      <c r="E44" s="111">
        <v>4.0</v>
      </c>
      <c r="F44" s="111">
        <v>10.0</v>
      </c>
      <c r="G44" s="111"/>
      <c r="H44" s="111"/>
      <c r="I44" s="139"/>
      <c r="J44" s="9"/>
    </row>
    <row r="45" ht="14.25" customHeight="1">
      <c r="A45" s="16" t="s">
        <v>29</v>
      </c>
      <c r="B45" s="30" t="s">
        <v>626</v>
      </c>
      <c r="C45" s="18"/>
      <c r="D45" s="20"/>
      <c r="E45" s="27">
        <v>4.0</v>
      </c>
      <c r="F45" s="27">
        <v>12.0</v>
      </c>
      <c r="G45" s="27"/>
      <c r="H45" s="27"/>
      <c r="I45" s="24"/>
      <c r="J45" s="9"/>
    </row>
    <row r="46" ht="14.25" customHeight="1">
      <c r="A46" s="16" t="s">
        <v>28</v>
      </c>
      <c r="B46" s="30" t="s">
        <v>597</v>
      </c>
      <c r="C46" s="18"/>
      <c r="D46" s="20"/>
      <c r="E46" s="27">
        <v>4.0</v>
      </c>
      <c r="F46" s="27" t="s">
        <v>178</v>
      </c>
      <c r="G46" s="27"/>
      <c r="H46" s="27" t="s">
        <v>598</v>
      </c>
      <c r="I46" s="24"/>
      <c r="J46" s="9"/>
    </row>
    <row r="47" ht="14.25" customHeight="1">
      <c r="A47" s="16" t="s">
        <v>12</v>
      </c>
      <c r="B47" s="60" t="s">
        <v>628</v>
      </c>
      <c r="C47" s="8"/>
      <c r="D47" s="9"/>
      <c r="E47" s="27">
        <v>3.0</v>
      </c>
      <c r="F47" s="27" t="s">
        <v>548</v>
      </c>
      <c r="G47" s="27"/>
      <c r="H47" s="27"/>
      <c r="I47" s="24"/>
      <c r="J47" s="9"/>
    </row>
    <row r="48" ht="14.25" customHeight="1">
      <c r="B48" s="26"/>
      <c r="C48" s="29"/>
      <c r="D48" s="29"/>
    </row>
    <row r="49" ht="14.25" customHeight="1"/>
    <row r="50" ht="14.25" customHeight="1">
      <c r="A50" s="2" t="s">
        <v>66</v>
      </c>
      <c r="B50" s="3"/>
      <c r="C50" s="4"/>
      <c r="J50" s="1"/>
    </row>
    <row r="51" ht="14.25" customHeight="1">
      <c r="A51" s="6" t="s">
        <v>2</v>
      </c>
      <c r="B51" s="10" t="s">
        <v>4</v>
      </c>
      <c r="C51" s="8"/>
      <c r="D51" s="9"/>
      <c r="E51" s="6" t="s">
        <v>5</v>
      </c>
      <c r="F51" s="6" t="s">
        <v>6</v>
      </c>
      <c r="G51" s="6" t="s">
        <v>7</v>
      </c>
      <c r="H51" s="6" t="s">
        <v>8</v>
      </c>
      <c r="I51" s="10" t="s">
        <v>9</v>
      </c>
      <c r="J51" s="9"/>
    </row>
    <row r="52" ht="14.25" customHeight="1">
      <c r="A52" s="16"/>
      <c r="B52" s="26"/>
      <c r="C52" s="29"/>
      <c r="D52" s="29"/>
      <c r="E52" s="16"/>
      <c r="F52" s="16"/>
      <c r="G52" s="16"/>
      <c r="H52" s="16"/>
      <c r="I52" s="24"/>
      <c r="J52" s="9"/>
    </row>
    <row r="53" ht="14.25" customHeight="1">
      <c r="A53" s="16"/>
      <c r="B53" s="26"/>
      <c r="C53" s="29"/>
      <c r="D53" s="29"/>
      <c r="E53" s="16"/>
      <c r="F53" s="16"/>
      <c r="G53" s="16"/>
      <c r="H53" s="16"/>
      <c r="I53" s="24"/>
      <c r="J53" s="9"/>
    </row>
    <row r="54" ht="14.25" customHeight="1">
      <c r="A54" s="16" t="s">
        <v>12</v>
      </c>
      <c r="B54" s="26" t="s">
        <v>329</v>
      </c>
      <c r="C54" s="29"/>
      <c r="D54" s="29"/>
      <c r="E54" s="16"/>
      <c r="F54" s="16">
        <v>10.0</v>
      </c>
      <c r="G54" s="16"/>
      <c r="H54" s="16"/>
      <c r="I54" s="24"/>
      <c r="J54" s="9"/>
    </row>
    <row r="55" ht="14.25" customHeight="1">
      <c r="A55" s="16" t="s">
        <v>31</v>
      </c>
      <c r="B55" s="30" t="s">
        <v>331</v>
      </c>
      <c r="C55" s="18"/>
      <c r="D55" s="20"/>
      <c r="E55" s="27"/>
      <c r="F55" s="27">
        <v>10.0</v>
      </c>
      <c r="G55" s="27"/>
      <c r="H55" s="27"/>
      <c r="I55" s="24"/>
      <c r="J55" s="9"/>
    </row>
    <row r="56" ht="14.25" customHeight="1">
      <c r="A56" s="16" t="s">
        <v>32</v>
      </c>
      <c r="B56" s="30" t="s">
        <v>333</v>
      </c>
      <c r="C56" s="18"/>
      <c r="D56" s="20"/>
      <c r="E56" s="27"/>
      <c r="F56" s="27" t="s">
        <v>278</v>
      </c>
      <c r="G56" s="27"/>
      <c r="H56" s="27"/>
      <c r="I56" s="24"/>
      <c r="J56" s="9"/>
    </row>
    <row r="57" ht="14.25" customHeight="1">
      <c r="A57" s="16" t="s">
        <v>26</v>
      </c>
      <c r="B57" s="30" t="s">
        <v>335</v>
      </c>
      <c r="C57" s="18"/>
      <c r="D57" s="20"/>
      <c r="E57" s="27"/>
      <c r="F57" s="27">
        <v>8.0</v>
      </c>
      <c r="G57" s="27"/>
      <c r="H57" s="27"/>
      <c r="I57" s="24"/>
      <c r="J57" s="9"/>
    </row>
    <row r="58" ht="14.25" customHeight="1">
      <c r="A58" s="16" t="s">
        <v>32</v>
      </c>
      <c r="B58" s="30" t="s">
        <v>338</v>
      </c>
      <c r="C58" s="18"/>
      <c r="D58" s="20"/>
      <c r="E58" s="27"/>
      <c r="F58" s="27">
        <v>8.0</v>
      </c>
      <c r="G58" s="27"/>
      <c r="H58" s="27"/>
      <c r="I58" s="24"/>
      <c r="J58" s="9"/>
    </row>
    <row r="59" ht="14.25" customHeight="1">
      <c r="A59" s="16" t="s">
        <v>26</v>
      </c>
      <c r="B59" s="30" t="s">
        <v>340</v>
      </c>
      <c r="C59" s="18"/>
      <c r="D59" s="20"/>
      <c r="E59" s="27"/>
      <c r="F59" s="27">
        <v>10.0</v>
      </c>
      <c r="G59" s="27"/>
      <c r="H59" s="27"/>
      <c r="I59" s="24"/>
      <c r="J59" s="9"/>
    </row>
    <row r="60" ht="14.25" customHeight="1">
      <c r="A60" s="16" t="s">
        <v>28</v>
      </c>
      <c r="B60" s="30" t="s">
        <v>341</v>
      </c>
      <c r="C60" s="18"/>
      <c r="D60" s="20"/>
      <c r="E60" s="27"/>
      <c r="F60" s="27"/>
      <c r="G60" s="27"/>
      <c r="H60" s="27"/>
      <c r="I60" s="24"/>
      <c r="J60" s="9"/>
    </row>
    <row r="61" ht="14.25" customHeight="1">
      <c r="A61" s="16" t="s">
        <v>33</v>
      </c>
      <c r="B61" s="60" t="s">
        <v>342</v>
      </c>
      <c r="C61" s="8"/>
      <c r="D61" s="9"/>
      <c r="E61" s="27"/>
      <c r="F61" s="27">
        <v>10.0</v>
      </c>
      <c r="G61" s="27"/>
      <c r="H61" s="27"/>
      <c r="I61" s="24"/>
      <c r="J61" s="9"/>
    </row>
    <row r="62" ht="14.25" customHeight="1">
      <c r="B62" s="26"/>
      <c r="C62" s="29"/>
      <c r="D62" s="29"/>
    </row>
    <row r="63" ht="14.25" customHeight="1"/>
    <row r="64" ht="14.25" customHeight="1">
      <c r="A64" s="2" t="s">
        <v>76</v>
      </c>
      <c r="B64" s="3"/>
      <c r="C64" s="4"/>
      <c r="J64" s="1"/>
    </row>
    <row r="65" ht="14.25" customHeight="1">
      <c r="A65" s="6" t="s">
        <v>2</v>
      </c>
      <c r="B65" s="10" t="s">
        <v>4</v>
      </c>
      <c r="C65" s="8"/>
      <c r="D65" s="9"/>
      <c r="E65" s="6" t="s">
        <v>5</v>
      </c>
      <c r="F65" s="6" t="s">
        <v>6</v>
      </c>
      <c r="G65" s="6" t="s">
        <v>7</v>
      </c>
      <c r="H65" s="6" t="s">
        <v>8</v>
      </c>
      <c r="I65" s="10" t="s">
        <v>9</v>
      </c>
      <c r="J65" s="9"/>
    </row>
    <row r="66" ht="14.25" customHeight="1">
      <c r="A66" s="16"/>
      <c r="B66" s="26"/>
      <c r="C66" s="29"/>
      <c r="D66" s="29"/>
      <c r="E66" s="16"/>
      <c r="F66" s="16"/>
      <c r="G66" s="16"/>
      <c r="H66" s="16"/>
      <c r="I66" s="24"/>
      <c r="J66" s="9"/>
    </row>
    <row r="67" ht="14.25" customHeight="1">
      <c r="A67" s="16"/>
      <c r="B67" s="26"/>
      <c r="C67" s="29"/>
      <c r="D67" s="29"/>
      <c r="E67" s="16"/>
      <c r="F67" s="16"/>
      <c r="G67" s="16"/>
      <c r="H67" s="16"/>
      <c r="I67" s="24"/>
      <c r="J67" s="9"/>
    </row>
    <row r="68" ht="14.25" customHeight="1">
      <c r="A68" s="16"/>
      <c r="B68" s="26"/>
      <c r="C68" s="29"/>
      <c r="D68" s="29"/>
      <c r="E68" s="16"/>
      <c r="F68" s="16"/>
      <c r="G68" s="16"/>
      <c r="H68" s="16"/>
      <c r="I68" s="24"/>
      <c r="J68" s="9"/>
    </row>
    <row r="69" ht="14.25" customHeight="1">
      <c r="A69" s="16"/>
      <c r="B69" s="26"/>
      <c r="C69" s="29"/>
      <c r="D69" s="29"/>
      <c r="E69" s="16"/>
      <c r="F69" s="16"/>
      <c r="G69" s="16"/>
      <c r="H69" s="16"/>
      <c r="I69" s="24"/>
      <c r="J69" s="9"/>
    </row>
    <row r="70" ht="14.25" customHeight="1">
      <c r="A70" s="16"/>
      <c r="B70" s="26"/>
      <c r="C70" s="29"/>
      <c r="D70" s="29"/>
      <c r="E70" s="16"/>
      <c r="F70" s="16"/>
      <c r="G70" s="16"/>
      <c r="H70" s="16"/>
      <c r="I70" s="24"/>
      <c r="J70" s="9"/>
    </row>
    <row r="71" ht="14.25" customHeight="1">
      <c r="A71" s="16"/>
      <c r="B71" s="26"/>
      <c r="C71" s="29"/>
      <c r="D71" s="29"/>
      <c r="E71" s="16"/>
      <c r="F71" s="16"/>
      <c r="G71" s="16"/>
      <c r="H71" s="16"/>
      <c r="I71" s="24"/>
      <c r="J71" s="9"/>
    </row>
    <row r="72" ht="14.25" customHeight="1">
      <c r="A72" s="16"/>
      <c r="B72" s="26"/>
      <c r="C72" s="29"/>
      <c r="D72" s="29"/>
      <c r="E72" s="16"/>
      <c r="F72" s="16"/>
      <c r="G72" s="16"/>
      <c r="H72" s="16"/>
      <c r="I72" s="24"/>
      <c r="J72" s="9"/>
    </row>
    <row r="73" ht="14.25" customHeight="1">
      <c r="A73" s="16"/>
      <c r="B73" s="26"/>
      <c r="C73" s="29"/>
      <c r="D73" s="29"/>
      <c r="E73" s="16"/>
      <c r="F73" s="16"/>
      <c r="G73" s="16"/>
      <c r="H73" s="16"/>
      <c r="I73" s="24"/>
      <c r="J73" s="9"/>
    </row>
    <row r="74" ht="14.25" customHeight="1">
      <c r="A74" s="16"/>
      <c r="B74" s="26"/>
      <c r="C74" s="29"/>
      <c r="D74" s="29"/>
      <c r="E74" s="16"/>
      <c r="F74" s="16"/>
      <c r="G74" s="16"/>
      <c r="H74" s="16"/>
      <c r="I74" s="24"/>
      <c r="J74" s="9"/>
    </row>
    <row r="75" ht="14.25" customHeight="1">
      <c r="A75" s="16"/>
      <c r="B75" s="58"/>
      <c r="C75" s="8"/>
      <c r="D75" s="9"/>
      <c r="E75" s="16"/>
      <c r="F75" s="16"/>
      <c r="G75" s="16"/>
      <c r="H75" s="16"/>
      <c r="I75" s="24"/>
      <c r="J75" s="9"/>
    </row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5">
    <mergeCell ref="I27:J27"/>
    <mergeCell ref="I28:J28"/>
    <mergeCell ref="I11:J11"/>
    <mergeCell ref="I13:J13"/>
    <mergeCell ref="I22:J22"/>
    <mergeCell ref="I23:J23"/>
    <mergeCell ref="I24:J24"/>
    <mergeCell ref="I25:J25"/>
    <mergeCell ref="I26:J26"/>
    <mergeCell ref="B27:D27"/>
    <mergeCell ref="B28:D28"/>
    <mergeCell ref="M28:W28"/>
    <mergeCell ref="I29:J29"/>
    <mergeCell ref="B29:D29"/>
    <mergeCell ref="B30:D30"/>
    <mergeCell ref="I30:J30"/>
    <mergeCell ref="B31:D31"/>
    <mergeCell ref="I31:J31"/>
    <mergeCell ref="B32:D32"/>
    <mergeCell ref="I32:J32"/>
    <mergeCell ref="A6:C6"/>
    <mergeCell ref="B7:D7"/>
    <mergeCell ref="I7:J7"/>
    <mergeCell ref="M7:W7"/>
    <mergeCell ref="Z7:AB7"/>
    <mergeCell ref="B8:D8"/>
    <mergeCell ref="B9:D9"/>
    <mergeCell ref="I12:J12"/>
    <mergeCell ref="M12:W12"/>
    <mergeCell ref="I8:J8"/>
    <mergeCell ref="I9:J9"/>
    <mergeCell ref="B10:D10"/>
    <mergeCell ref="I10:J10"/>
    <mergeCell ref="B11:D11"/>
    <mergeCell ref="B12:D12"/>
    <mergeCell ref="B13:D13"/>
    <mergeCell ref="I18:J18"/>
    <mergeCell ref="M18:W18"/>
    <mergeCell ref="M23:W23"/>
    <mergeCell ref="B14:D14"/>
    <mergeCell ref="I14:J14"/>
    <mergeCell ref="B15:D15"/>
    <mergeCell ref="I15:J15"/>
    <mergeCell ref="B16:D16"/>
    <mergeCell ref="I16:J16"/>
    <mergeCell ref="B18:D18"/>
    <mergeCell ref="B19:D19"/>
    <mergeCell ref="A21:C21"/>
    <mergeCell ref="B22:D22"/>
    <mergeCell ref="B23:D23"/>
    <mergeCell ref="B24:D24"/>
    <mergeCell ref="B25:D25"/>
    <mergeCell ref="B26:D26"/>
    <mergeCell ref="I40:J40"/>
    <mergeCell ref="I41:J41"/>
    <mergeCell ref="A50:C50"/>
    <mergeCell ref="B51:D51"/>
    <mergeCell ref="I51:J51"/>
    <mergeCell ref="B52:D52"/>
    <mergeCell ref="I52:J52"/>
    <mergeCell ref="B53:D53"/>
    <mergeCell ref="B54:D54"/>
    <mergeCell ref="B55:D55"/>
    <mergeCell ref="I55:J55"/>
    <mergeCell ref="B56:D56"/>
    <mergeCell ref="I56:J56"/>
    <mergeCell ref="B57:D57"/>
    <mergeCell ref="I57:J57"/>
    <mergeCell ref="I58:J58"/>
    <mergeCell ref="I69:J69"/>
    <mergeCell ref="I70:J70"/>
    <mergeCell ref="I59:J59"/>
    <mergeCell ref="I60:J60"/>
    <mergeCell ref="I61:J61"/>
    <mergeCell ref="I65:J65"/>
    <mergeCell ref="I66:J66"/>
    <mergeCell ref="I67:J67"/>
    <mergeCell ref="I68:J68"/>
    <mergeCell ref="B34:D34"/>
    <mergeCell ref="A36:C36"/>
    <mergeCell ref="B37:D37"/>
    <mergeCell ref="I37:J37"/>
    <mergeCell ref="B38:D38"/>
    <mergeCell ref="I38:J38"/>
    <mergeCell ref="I39:J39"/>
    <mergeCell ref="I43:J43"/>
    <mergeCell ref="I44:J44"/>
    <mergeCell ref="B39:D39"/>
    <mergeCell ref="B40:D40"/>
    <mergeCell ref="B41:D41"/>
    <mergeCell ref="B42:D42"/>
    <mergeCell ref="I42:J42"/>
    <mergeCell ref="B43:D43"/>
    <mergeCell ref="B44:D44"/>
    <mergeCell ref="B45:D45"/>
    <mergeCell ref="I45:J45"/>
    <mergeCell ref="B46:D46"/>
    <mergeCell ref="I46:J46"/>
    <mergeCell ref="B47:D47"/>
    <mergeCell ref="I47:J47"/>
    <mergeCell ref="B48:D48"/>
    <mergeCell ref="I53:J53"/>
    <mergeCell ref="I54:J54"/>
    <mergeCell ref="I71:J71"/>
    <mergeCell ref="I72:J72"/>
    <mergeCell ref="I73:J73"/>
    <mergeCell ref="I74:J74"/>
    <mergeCell ref="I75:J75"/>
    <mergeCell ref="B58:D58"/>
    <mergeCell ref="B59:D59"/>
    <mergeCell ref="B60:D60"/>
    <mergeCell ref="B61:D61"/>
    <mergeCell ref="B62:D62"/>
    <mergeCell ref="A64:C64"/>
    <mergeCell ref="B65:D65"/>
    <mergeCell ref="B73:D73"/>
    <mergeCell ref="B74:D74"/>
    <mergeCell ref="B75:D75"/>
    <mergeCell ref="B66:D66"/>
    <mergeCell ref="B67:D67"/>
    <mergeCell ref="B68:D68"/>
    <mergeCell ref="B69:D69"/>
    <mergeCell ref="B70:D70"/>
    <mergeCell ref="B71:D71"/>
    <mergeCell ref="B72:D72"/>
  </mergeCells>
  <dataValidations>
    <dataValidation type="list" allowBlank="1" showErrorMessage="1" sqref="A8:A18 A23:A33 A38:A47 A52:A61 A66:A75">
      <formula1>Datos!$D$2:$D$11</formula1>
    </dataValidation>
    <dataValidation type="list" allowBlank="1" showErrorMessage="1" sqref="J5">
      <formula1>Datos!$B$2:$B$12</formula1>
    </dataValidation>
    <dataValidation type="list" allowBlank="1" showErrorMessage="1" sqref="J6 J21 J36 J50 J64">
      <formula1>Datos!$D$2:$D$14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10.71"/>
    <col customWidth="1" min="24" max="24" width="7.86"/>
    <col customWidth="1" min="25" max="25" width="15.43"/>
    <col customWidth="1" min="26" max="28" width="10.71"/>
  </cols>
  <sheetData>
    <row r="1" ht="14.25" customHeight="1"/>
    <row r="2" ht="14.25" customHeight="1"/>
    <row r="3" ht="14.25" customHeight="1"/>
    <row r="4" ht="14.25" customHeight="1"/>
    <row r="5" ht="14.25" customHeight="1">
      <c r="J5" s="1"/>
    </row>
    <row r="6" ht="14.25" customHeight="1">
      <c r="A6" s="2" t="s">
        <v>0</v>
      </c>
      <c r="B6" s="3"/>
      <c r="C6" s="4"/>
      <c r="J6" s="1"/>
    </row>
    <row r="7" ht="14.25" customHeight="1">
      <c r="A7" s="6" t="s">
        <v>2</v>
      </c>
      <c r="B7" s="10" t="s">
        <v>4</v>
      </c>
      <c r="C7" s="8"/>
      <c r="D7" s="9"/>
      <c r="E7" s="6" t="s">
        <v>5</v>
      </c>
      <c r="F7" s="6" t="s">
        <v>6</v>
      </c>
      <c r="G7" s="6" t="s">
        <v>7</v>
      </c>
      <c r="H7" s="6" t="s">
        <v>8</v>
      </c>
      <c r="I7" s="10" t="s">
        <v>9</v>
      </c>
      <c r="J7" s="9"/>
      <c r="M7" s="11" t="s">
        <v>0</v>
      </c>
      <c r="N7" s="12"/>
      <c r="O7" s="12"/>
      <c r="P7" s="12"/>
      <c r="Q7" s="12"/>
      <c r="R7" s="12"/>
      <c r="S7" s="12"/>
      <c r="T7" s="12"/>
      <c r="U7" s="12"/>
      <c r="V7" s="12"/>
      <c r="W7" s="13"/>
      <c r="Y7" s="1"/>
      <c r="Z7" s="14" t="s">
        <v>10</v>
      </c>
      <c r="AA7" s="12"/>
      <c r="AB7" s="13"/>
    </row>
    <row r="8" ht="14.25" customHeight="1">
      <c r="A8" s="144" t="s">
        <v>12</v>
      </c>
      <c r="B8" s="145" t="s">
        <v>546</v>
      </c>
      <c r="C8" s="18"/>
      <c r="D8" s="20"/>
      <c r="E8" s="144">
        <v>3.0</v>
      </c>
      <c r="F8" s="144">
        <v>10.0</v>
      </c>
      <c r="G8" s="144"/>
      <c r="H8" s="144" t="s">
        <v>547</v>
      </c>
      <c r="I8" s="146"/>
      <c r="J8" s="9"/>
      <c r="M8" s="25"/>
      <c r="N8" s="28" t="s">
        <v>16</v>
      </c>
      <c r="O8" s="28" t="s">
        <v>26</v>
      </c>
      <c r="P8" s="28" t="s">
        <v>27</v>
      </c>
      <c r="Q8" s="28" t="s">
        <v>28</v>
      </c>
      <c r="R8" s="28" t="s">
        <v>29</v>
      </c>
      <c r="S8" s="28" t="s">
        <v>30</v>
      </c>
      <c r="T8" s="28" t="s">
        <v>31</v>
      </c>
      <c r="U8" s="28" t="s">
        <v>32</v>
      </c>
      <c r="V8" s="28" t="s">
        <v>33</v>
      </c>
      <c r="W8" s="28" t="s">
        <v>12</v>
      </c>
      <c r="Z8" s="28" t="s">
        <v>16</v>
      </c>
      <c r="AA8" s="1">
        <f>SUM(N9,N14,N20,N25,N30)</f>
        <v>7</v>
      </c>
    </row>
    <row r="9" ht="14.25" customHeight="1">
      <c r="A9" s="144" t="s">
        <v>12</v>
      </c>
      <c r="B9" s="145" t="s">
        <v>586</v>
      </c>
      <c r="C9" s="18"/>
      <c r="D9" s="20"/>
      <c r="E9" s="144">
        <v>3.0</v>
      </c>
      <c r="F9" s="144">
        <v>10.0</v>
      </c>
      <c r="G9" s="144"/>
      <c r="H9" s="144"/>
      <c r="I9" s="146"/>
      <c r="J9" s="9"/>
      <c r="M9" s="34" t="s">
        <v>36</v>
      </c>
      <c r="N9" s="37">
        <f>SUMIF(A8:A18,"Pecho",E8:E18)</f>
        <v>0</v>
      </c>
      <c r="O9" s="37">
        <f>SUMIF(A8:A18,"Espalda",E8:E18)</f>
        <v>7</v>
      </c>
      <c r="P9" s="37">
        <f>SUMIF($A8:$A18,"Hombros",$E8:$E18)</f>
        <v>0</v>
      </c>
      <c r="Q9" s="37">
        <f>SUMIF($A8:$A18,"Bíceps",$E8:$E18)</f>
        <v>0</v>
      </c>
      <c r="R9" s="37">
        <f>SUMIF($A8:$A18,"Tríceps",$E8:$E18)</f>
        <v>0</v>
      </c>
      <c r="S9" s="38">
        <f>SUMIF(A8:A18,"Cuádriceps",E8:E18)</f>
        <v>11</v>
      </c>
      <c r="T9" s="37">
        <f>SUMIF($A8:$A18,"Isquios",$E8:$E18)</f>
        <v>0</v>
      </c>
      <c r="U9" s="37">
        <f>SUMIF($A8:$A18,"Glúteos",$E8:$E18)</f>
        <v>3</v>
      </c>
      <c r="V9" s="37">
        <f>SUMIF($A8:$A18,"Pantorrillas",$E8:$E18)</f>
        <v>3</v>
      </c>
      <c r="W9" s="37">
        <f>SUMIF($A8:$A18,"Otros",$E8:$E18)</f>
        <v>12</v>
      </c>
      <c r="Z9" s="28" t="s">
        <v>26</v>
      </c>
      <c r="AA9" s="1">
        <f>SUM(O9,O14,O20,O25,O30)</f>
        <v>11</v>
      </c>
    </row>
    <row r="10" ht="14.25" customHeight="1">
      <c r="A10" s="144" t="s">
        <v>12</v>
      </c>
      <c r="B10" s="145" t="s">
        <v>594</v>
      </c>
      <c r="C10" s="18"/>
      <c r="D10" s="20"/>
      <c r="E10" s="144">
        <v>3.0</v>
      </c>
      <c r="F10" s="144">
        <v>10.0</v>
      </c>
      <c r="G10" s="144"/>
      <c r="H10" s="144"/>
      <c r="I10" s="146"/>
      <c r="J10" s="9"/>
      <c r="M10" s="34" t="s">
        <v>7</v>
      </c>
      <c r="N10" s="35" t="str">
        <f>AVERAGEIF($A8:$A18,"Pecho",$G8:$G18)</f>
        <v>#DIV/0!</v>
      </c>
      <c r="O10" s="35" t="str">
        <f>AVERAGEIF($A8:$A18,"Espalda",$G8:$G18)</f>
        <v>#DIV/0!</v>
      </c>
      <c r="P10" s="35" t="str">
        <f>AVERAGEIF($A8:$A18,"Hombros",$G8:$G18)</f>
        <v>#DIV/0!</v>
      </c>
      <c r="Q10" s="35" t="str">
        <f>AVERAGEIF($A8:$A18,"Bíceps",$G8:$G18)</f>
        <v>#DIV/0!</v>
      </c>
      <c r="R10" s="35" t="str">
        <f>AVERAGEIF($A8:$A18,"Tríceps",$G8:$G18)</f>
        <v>#DIV/0!</v>
      </c>
      <c r="S10" s="35">
        <f>AVERAGEIF($A8:$A18,"Cuádriceps",$G8:$G18)</f>
        <v>8</v>
      </c>
      <c r="T10" s="35" t="str">
        <f>AVERAGEIF($A8:$A18,"Isquios",$G8:$G18)</f>
        <v>#DIV/0!</v>
      </c>
      <c r="U10" s="35" t="str">
        <f>AVERAGEIF($A8:$A18,"Glúteos",$G8:$G18)</f>
        <v>#DIV/0!</v>
      </c>
      <c r="V10" s="35" t="str">
        <f>AVERAGEIF($A8:$A18,"Pantorrillas",$G8:$G18)</f>
        <v>#DIV/0!</v>
      </c>
      <c r="W10" s="35" t="str">
        <f>AVERAGEIF($A8:$A18,"Otros",$G8:$G18)</f>
        <v>#DIV/0!</v>
      </c>
      <c r="Z10" s="28" t="s">
        <v>27</v>
      </c>
      <c r="AA10" s="1">
        <f>SUM(P9,P14,P20,P25,P30)</f>
        <v>6</v>
      </c>
    </row>
    <row r="11" ht="14.25" customHeight="1">
      <c r="A11" s="27" t="s">
        <v>30</v>
      </c>
      <c r="B11" s="30" t="s">
        <v>211</v>
      </c>
      <c r="C11" s="18"/>
      <c r="D11" s="20"/>
      <c r="E11" s="27">
        <v>4.0</v>
      </c>
      <c r="F11" s="27">
        <v>10.0</v>
      </c>
      <c r="G11" s="27">
        <v>8.0</v>
      </c>
      <c r="H11" s="27" t="s">
        <v>55</v>
      </c>
      <c r="I11" s="33"/>
      <c r="J11" s="9"/>
      <c r="M11" s="25"/>
      <c r="N11" s="25"/>
      <c r="O11" s="25"/>
      <c r="P11" s="25"/>
      <c r="Q11" s="25"/>
      <c r="R11" s="25"/>
      <c r="S11" s="25"/>
      <c r="T11" s="25"/>
      <c r="U11" s="25"/>
      <c r="Z11" s="28" t="s">
        <v>28</v>
      </c>
      <c r="AA11" s="1">
        <f>SUM(Q9,Q14,Q20,Q25,Q30)</f>
        <v>4</v>
      </c>
    </row>
    <row r="12" ht="14.25" customHeight="1">
      <c r="A12" s="27" t="s">
        <v>30</v>
      </c>
      <c r="B12" s="30" t="s">
        <v>602</v>
      </c>
      <c r="C12" s="18"/>
      <c r="D12" s="20"/>
      <c r="E12" s="27">
        <v>3.0</v>
      </c>
      <c r="F12" s="27" t="s">
        <v>590</v>
      </c>
      <c r="G12" s="27"/>
      <c r="H12" s="27"/>
      <c r="I12" s="33"/>
      <c r="J12" s="9"/>
      <c r="M12" s="11" t="s">
        <v>45</v>
      </c>
      <c r="N12" s="12"/>
      <c r="O12" s="12"/>
      <c r="P12" s="12"/>
      <c r="Q12" s="12"/>
      <c r="R12" s="12"/>
      <c r="S12" s="12"/>
      <c r="T12" s="12"/>
      <c r="U12" s="12"/>
      <c r="V12" s="12"/>
      <c r="W12" s="13"/>
      <c r="Z12" s="28" t="s">
        <v>29</v>
      </c>
      <c r="AA12" s="1">
        <f>SUM(R9,R14,R20,R25,R30)</f>
        <v>4</v>
      </c>
    </row>
    <row r="13" ht="14.25" customHeight="1">
      <c r="A13" s="111" t="s">
        <v>26</v>
      </c>
      <c r="B13" s="110" t="s">
        <v>603</v>
      </c>
      <c r="C13" s="18"/>
      <c r="D13" s="20"/>
      <c r="E13" s="111">
        <v>4.0</v>
      </c>
      <c r="F13" s="111">
        <v>12.0</v>
      </c>
      <c r="G13" s="111"/>
      <c r="H13" s="111" t="s">
        <v>564</v>
      </c>
      <c r="I13" s="24"/>
      <c r="J13" s="9"/>
      <c r="M13" s="25"/>
      <c r="N13" s="28" t="s">
        <v>16</v>
      </c>
      <c r="O13" s="28" t="s">
        <v>26</v>
      </c>
      <c r="P13" s="28" t="s">
        <v>27</v>
      </c>
      <c r="Q13" s="28" t="s">
        <v>28</v>
      </c>
      <c r="R13" s="28" t="s">
        <v>29</v>
      </c>
      <c r="S13" s="28" t="s">
        <v>30</v>
      </c>
      <c r="T13" s="28" t="s">
        <v>31</v>
      </c>
      <c r="U13" s="28" t="s">
        <v>32</v>
      </c>
      <c r="V13" s="28" t="s">
        <v>33</v>
      </c>
      <c r="W13" s="28" t="s">
        <v>12</v>
      </c>
      <c r="Z13" s="28" t="s">
        <v>30</v>
      </c>
      <c r="AA13" s="1">
        <f>SUM(S9,S14,S20,S25,S30)</f>
        <v>11</v>
      </c>
    </row>
    <row r="14" ht="14.25" customHeight="1">
      <c r="A14" s="111" t="s">
        <v>26</v>
      </c>
      <c r="B14" s="110" t="s">
        <v>93</v>
      </c>
      <c r="C14" s="18"/>
      <c r="D14" s="20"/>
      <c r="E14" s="111">
        <v>3.0</v>
      </c>
      <c r="F14" s="111" t="s">
        <v>605</v>
      </c>
      <c r="G14" s="111"/>
      <c r="H14" s="111"/>
      <c r="I14" s="24"/>
      <c r="J14" s="9"/>
      <c r="M14" s="34" t="s">
        <v>36</v>
      </c>
      <c r="N14" s="35">
        <f>SUMIF($A23:$A32,"Pecho",$E23:$E32)</f>
        <v>7</v>
      </c>
      <c r="O14" s="35">
        <f>SUMIF($A23:$A32,"Espalda",$E23:$E32)</f>
        <v>0</v>
      </c>
      <c r="P14" s="35">
        <f>SUMIF($A23:$A32,"Hombros",$E23:$E32)</f>
        <v>0</v>
      </c>
      <c r="Q14" s="35">
        <f>SUMIF($A23:$A32,"Bíceps",$E23:$E32)</f>
        <v>0</v>
      </c>
      <c r="R14" s="35">
        <f>SUMIF($A23:$A32,"Tríceps",$E23:$E32)</f>
        <v>0</v>
      </c>
      <c r="S14" s="35">
        <f>SUMIF($A23:$A32,"Cuádriceps",$E23:$E32)</f>
        <v>0</v>
      </c>
      <c r="T14" s="35">
        <f>SUMIF($A23:$A32,"Isquios",$E23:$E32)</f>
        <v>6</v>
      </c>
      <c r="U14" s="35">
        <f>SUMIF($A23:$A32,"Glúteos",$E23:$E32)</f>
        <v>12</v>
      </c>
      <c r="V14" s="35">
        <f>SUMIF($A23:$A32,"Pantorrillas",$E23:$E32)</f>
        <v>0</v>
      </c>
      <c r="W14" s="35">
        <f>SUMIF($A23:$A32,"Otros",$E23:$E32)</f>
        <v>9</v>
      </c>
      <c r="Z14" s="28" t="s">
        <v>31</v>
      </c>
      <c r="AA14" s="1">
        <f>SUM(T9,T14,T20,T25,T30)</f>
        <v>10</v>
      </c>
    </row>
    <row r="15" ht="14.25" customHeight="1">
      <c r="A15" s="27" t="s">
        <v>30</v>
      </c>
      <c r="B15" s="30" t="s">
        <v>290</v>
      </c>
      <c r="C15" s="18"/>
      <c r="D15" s="20"/>
      <c r="E15" s="27">
        <v>4.0</v>
      </c>
      <c r="F15" s="27">
        <v>12.0</v>
      </c>
      <c r="G15" s="27"/>
      <c r="H15" s="27" t="s">
        <v>568</v>
      </c>
      <c r="I15" s="33"/>
      <c r="J15" s="9"/>
      <c r="M15" s="34" t="s">
        <v>7</v>
      </c>
      <c r="N15" s="35" t="str">
        <f>AVERAGEIF($A23:$A32,"Pecho",$G23:$G32)</f>
        <v>#DIV/0!</v>
      </c>
      <c r="O15" s="35" t="str">
        <f>AVERAGEIF($A23:$A32,"Espalda",$G23:$G32)</f>
        <v>#DIV/0!</v>
      </c>
      <c r="P15" s="35" t="str">
        <f>AVERAGEIF($A23:$A32,"Hombros",$G23:$G32)</f>
        <v>#DIV/0!</v>
      </c>
      <c r="Q15" s="35" t="str">
        <f>AVERAGEIF($A23:$A32,"Bíceps",$G23:$G32)</f>
        <v>#DIV/0!</v>
      </c>
      <c r="R15" s="35" t="str">
        <f>AVERAGEIF($A23:$A32,"Tríceps",$G23:$G32)</f>
        <v>#DIV/0!</v>
      </c>
      <c r="S15" s="35" t="str">
        <f>AVERAGEIF($A23:$A32,"Cuádriceps",$G23:$G32)</f>
        <v>#DIV/0!</v>
      </c>
      <c r="T15" s="35" t="str">
        <f>AVERAGEIF($A23:$A32,"Isquios",$G23:$G32)</f>
        <v>#DIV/0!</v>
      </c>
      <c r="U15" s="35">
        <f>AVERAGEIF($A23:$A32,"Glúteos",$G23:$G32)</f>
        <v>8</v>
      </c>
      <c r="V15" s="35" t="str">
        <f>AVERAGEIF($A23:$A32,"Pantorrillas",$G23:$G32)</f>
        <v>#DIV/0!</v>
      </c>
      <c r="W15" s="35" t="str">
        <f>AVERAGEIF($A23:$A32,"Otros",$G23:$G32)</f>
        <v>#DIV/0!</v>
      </c>
      <c r="Z15" s="28" t="s">
        <v>32</v>
      </c>
      <c r="AA15" s="1">
        <f>SUM(U9,U14,U20,U25,U30)</f>
        <v>15</v>
      </c>
    </row>
    <row r="16" ht="14.25" customHeight="1">
      <c r="A16" s="27" t="s">
        <v>12</v>
      </c>
      <c r="B16" s="30" t="s">
        <v>437</v>
      </c>
      <c r="C16" s="18"/>
      <c r="D16" s="20"/>
      <c r="E16" s="27">
        <v>3.0</v>
      </c>
      <c r="F16" s="27">
        <v>12.0</v>
      </c>
      <c r="G16" s="27"/>
      <c r="H16" s="27"/>
      <c r="I16" s="33"/>
      <c r="J16" s="9"/>
      <c r="M16" s="25"/>
      <c r="N16" s="25"/>
      <c r="O16" s="25"/>
      <c r="P16" s="25"/>
      <c r="Q16" s="25"/>
      <c r="R16" s="25"/>
      <c r="S16" s="25"/>
      <c r="T16" s="25"/>
      <c r="U16" s="25"/>
      <c r="Z16" s="28" t="s">
        <v>33</v>
      </c>
      <c r="AA16" s="1">
        <f>SUM(V9,V14,V20,V25,V30)</f>
        <v>3</v>
      </c>
    </row>
    <row r="17" ht="14.25" customHeight="1">
      <c r="A17" s="27" t="s">
        <v>32</v>
      </c>
      <c r="B17" s="60" t="s">
        <v>609</v>
      </c>
      <c r="C17" s="8"/>
      <c r="D17" s="9"/>
      <c r="E17" s="27">
        <v>3.0</v>
      </c>
      <c r="F17" s="112">
        <v>15.0</v>
      </c>
      <c r="G17" s="27"/>
      <c r="H17" s="27"/>
      <c r="I17" s="153"/>
      <c r="J17" s="154"/>
      <c r="M17" s="25"/>
      <c r="N17" s="25"/>
      <c r="O17" s="25"/>
      <c r="P17" s="25"/>
      <c r="Q17" s="25"/>
      <c r="R17" s="25"/>
      <c r="S17" s="25"/>
      <c r="T17" s="25"/>
      <c r="U17" s="25"/>
      <c r="Z17" s="28"/>
      <c r="AA17" s="1"/>
    </row>
    <row r="18" ht="14.25" customHeight="1">
      <c r="A18" s="111" t="s">
        <v>33</v>
      </c>
      <c r="B18" s="110" t="s">
        <v>610</v>
      </c>
      <c r="C18" s="18"/>
      <c r="D18" s="20"/>
      <c r="E18" s="111">
        <v>3.0</v>
      </c>
      <c r="F18" s="111">
        <v>12.0</v>
      </c>
      <c r="G18" s="111"/>
      <c r="H18" s="111"/>
      <c r="I18" s="24"/>
      <c r="J18" s="9"/>
      <c r="M18" s="11" t="s">
        <v>57</v>
      </c>
      <c r="N18" s="12"/>
      <c r="O18" s="12"/>
      <c r="P18" s="12"/>
      <c r="Q18" s="12"/>
      <c r="R18" s="12"/>
      <c r="S18" s="12"/>
      <c r="T18" s="12"/>
      <c r="U18" s="12"/>
      <c r="V18" s="12"/>
      <c r="W18" s="13"/>
      <c r="Z18" s="28" t="s">
        <v>12</v>
      </c>
      <c r="AA18" s="1">
        <f>SUM(W9,W14,W20,W25,W30)</f>
        <v>32</v>
      </c>
    </row>
    <row r="19" ht="14.25" customHeight="1">
      <c r="B19" s="26"/>
      <c r="C19" s="29"/>
      <c r="D19" s="29"/>
      <c r="M19" s="25"/>
      <c r="N19" s="28" t="s">
        <v>16</v>
      </c>
      <c r="O19" s="28" t="s">
        <v>26</v>
      </c>
      <c r="P19" s="28" t="s">
        <v>27</v>
      </c>
      <c r="Q19" s="28" t="s">
        <v>28</v>
      </c>
      <c r="R19" s="28" t="s">
        <v>29</v>
      </c>
      <c r="S19" s="28" t="s">
        <v>30</v>
      </c>
      <c r="T19" s="28" t="s">
        <v>31</v>
      </c>
      <c r="U19" s="28" t="s">
        <v>32</v>
      </c>
      <c r="V19" s="28" t="s">
        <v>33</v>
      </c>
      <c r="W19" s="28" t="s">
        <v>12</v>
      </c>
    </row>
    <row r="20" ht="14.25" customHeight="1">
      <c r="M20" s="34" t="s">
        <v>36</v>
      </c>
      <c r="N20" s="35">
        <f>SUMIF($A38:$A47,"Pecho",$E38:$E47)</f>
        <v>0</v>
      </c>
      <c r="O20" s="35">
        <f>SUMIF($A38:$A47,"Espalda",$E38:$E47)</f>
        <v>4</v>
      </c>
      <c r="P20" s="35">
        <f>SUMIF($A38:$A47,"Hombros",$E38:$E47)</f>
        <v>6</v>
      </c>
      <c r="Q20" s="35">
        <f>SUMIF($A38:$A47,"Bíceps",$E38:$E47)</f>
        <v>4</v>
      </c>
      <c r="R20" s="35">
        <f>SUMIF($A38:$A47,"Tríceps",$E38:$E47)</f>
        <v>4</v>
      </c>
      <c r="S20" s="35">
        <f>SUMIF($A38:$A47,"Cuádriceps",$E38:$E47)</f>
        <v>0</v>
      </c>
      <c r="T20" s="35">
        <f>SUMIF($A38:$A47,"Isquios",$E38:$E47)</f>
        <v>4</v>
      </c>
      <c r="U20" s="35">
        <f>SUMIF($A38:$A47,"Glúteos",$E38:$E47)</f>
        <v>0</v>
      </c>
      <c r="V20" s="35">
        <f>SUMIF($A38:$A47,"Pantorrillas",$E38:$E47)</f>
        <v>0</v>
      </c>
      <c r="W20" s="35">
        <f>SUMIF($A38:$A47,"Otros",$E38:$E47)</f>
        <v>11</v>
      </c>
    </row>
    <row r="21" ht="14.25" customHeight="1">
      <c r="A21" s="2" t="s">
        <v>45</v>
      </c>
      <c r="B21" s="3"/>
      <c r="C21" s="4"/>
      <c r="J21" s="1"/>
      <c r="M21" s="34" t="s">
        <v>7</v>
      </c>
      <c r="N21" s="35" t="str">
        <f>AVERAGEIF($A38:$A47,"Pecho",$G38:$G47)</f>
        <v>#DIV/0!</v>
      </c>
      <c r="O21" s="35">
        <f>AVERAGEIF($A38:$A47,"Espalda",$G38:$G47)</f>
        <v>8</v>
      </c>
      <c r="P21" s="35" t="str">
        <f>AVERAGEIF($A38:$A47,"Hombros",$G38:$G47)</f>
        <v>#DIV/0!</v>
      </c>
      <c r="Q21" s="35" t="str">
        <f>AVERAGEIF($A38:$A47,"Bíceps",$G38:$G47)</f>
        <v>#DIV/0!</v>
      </c>
      <c r="R21" s="35" t="str">
        <f>AVERAGEIF($A38:$A47,"Tríceps",$G38:$G47)</f>
        <v>#DIV/0!</v>
      </c>
      <c r="S21" s="35" t="str">
        <f>AVERAGEIF($A38:$A47,"Cuádriceps",$G38:$G47)</f>
        <v>#DIV/0!</v>
      </c>
      <c r="T21" s="35" t="str">
        <f>AVERAGEIF($A38:$A47,"Isquios",$G38:$G47)</f>
        <v>#DIV/0!</v>
      </c>
      <c r="U21" s="35" t="str">
        <f>AVERAGEIF($A38:$A47,"Glúteos",$G38:$G47)</f>
        <v>#DIV/0!</v>
      </c>
      <c r="V21" s="35" t="str">
        <f>AVERAGEIF($A38:$A47,"Pantorrillas",$G38:$G47)</f>
        <v>#DIV/0!</v>
      </c>
      <c r="W21" s="35" t="str">
        <f>AVERAGEIF($A38:$A47,"Otros",$G38:$G47)</f>
        <v>#DIV/0!</v>
      </c>
    </row>
    <row r="22" ht="14.25" customHeight="1">
      <c r="A22" s="6" t="s">
        <v>2</v>
      </c>
      <c r="B22" s="10" t="s">
        <v>4</v>
      </c>
      <c r="C22" s="8"/>
      <c r="D22" s="9"/>
      <c r="E22" s="6" t="s">
        <v>5</v>
      </c>
      <c r="F22" s="6" t="s">
        <v>6</v>
      </c>
      <c r="G22" s="6" t="s">
        <v>7</v>
      </c>
      <c r="H22" s="6" t="s">
        <v>8</v>
      </c>
      <c r="I22" s="10" t="s">
        <v>9</v>
      </c>
      <c r="J22" s="9"/>
      <c r="M22" s="25"/>
      <c r="N22" s="25"/>
      <c r="O22" s="25"/>
      <c r="P22" s="25"/>
      <c r="Q22" s="25"/>
      <c r="R22" s="25"/>
      <c r="S22" s="25"/>
      <c r="T22" s="25"/>
      <c r="U22" s="25"/>
    </row>
    <row r="23" ht="14.25" customHeight="1">
      <c r="A23" s="144" t="s">
        <v>12</v>
      </c>
      <c r="B23" s="145" t="s">
        <v>571</v>
      </c>
      <c r="C23" s="18"/>
      <c r="D23" s="20"/>
      <c r="E23" s="144">
        <v>3.0</v>
      </c>
      <c r="F23" s="144">
        <v>10.0</v>
      </c>
      <c r="G23" s="144"/>
      <c r="H23" s="144" t="s">
        <v>572</v>
      </c>
      <c r="I23" s="146"/>
      <c r="J23" s="9"/>
      <c r="M23" s="11" t="s">
        <v>66</v>
      </c>
      <c r="N23" s="12"/>
      <c r="O23" s="12"/>
      <c r="P23" s="12"/>
      <c r="Q23" s="12"/>
      <c r="R23" s="12"/>
      <c r="S23" s="12"/>
      <c r="T23" s="12"/>
      <c r="U23" s="12"/>
      <c r="V23" s="12"/>
      <c r="W23" s="13"/>
    </row>
    <row r="24" ht="14.25" customHeight="1">
      <c r="A24" s="144" t="s">
        <v>12</v>
      </c>
      <c r="B24" s="145" t="s">
        <v>612</v>
      </c>
      <c r="C24" s="18"/>
      <c r="D24" s="20"/>
      <c r="E24" s="144">
        <v>3.0</v>
      </c>
      <c r="F24" s="144">
        <v>12.0</v>
      </c>
      <c r="G24" s="144"/>
      <c r="H24" s="144"/>
      <c r="I24" s="146"/>
      <c r="J24" s="9"/>
      <c r="M24" s="25"/>
      <c r="N24" s="28" t="s">
        <v>16</v>
      </c>
      <c r="O24" s="28" t="s">
        <v>26</v>
      </c>
      <c r="P24" s="28" t="s">
        <v>27</v>
      </c>
      <c r="Q24" s="28" t="s">
        <v>28</v>
      </c>
      <c r="R24" s="28" t="s">
        <v>29</v>
      </c>
      <c r="S24" s="28" t="s">
        <v>30</v>
      </c>
      <c r="T24" s="28" t="s">
        <v>31</v>
      </c>
      <c r="U24" s="28" t="s">
        <v>32</v>
      </c>
      <c r="V24" s="28" t="s">
        <v>33</v>
      </c>
      <c r="W24" s="28" t="s">
        <v>12</v>
      </c>
    </row>
    <row r="25" ht="14.25" customHeight="1">
      <c r="A25" s="144" t="s">
        <v>12</v>
      </c>
      <c r="B25" s="145" t="s">
        <v>574</v>
      </c>
      <c r="C25" s="18"/>
      <c r="D25" s="20"/>
      <c r="E25" s="144">
        <v>3.0</v>
      </c>
      <c r="F25" s="144">
        <v>10.0</v>
      </c>
      <c r="G25" s="144"/>
      <c r="H25" s="144"/>
      <c r="I25" s="146"/>
      <c r="J25" s="9"/>
      <c r="M25" s="34" t="s">
        <v>36</v>
      </c>
      <c r="N25" s="35">
        <f>SUMIF($A52:$A61,"Pecho",$E52:$E61)</f>
        <v>0</v>
      </c>
      <c r="O25" s="35">
        <f>SUMIF($A52:$A61,"Espalda",$E52:$E61)</f>
        <v>0</v>
      </c>
      <c r="P25" s="35">
        <f>SUMIF($A52:$A61,"Hombros",$E52:$E61)</f>
        <v>0</v>
      </c>
      <c r="Q25" s="35">
        <f>SUMIF($A52:$A61,"Bíceps",$E52:$E61)</f>
        <v>0</v>
      </c>
      <c r="R25" s="35">
        <f>SUMIF($A52:$A61,"Tríceps",$E52:$E61)</f>
        <v>0</v>
      </c>
      <c r="S25" s="35">
        <f>SUMIF($A52:$A61,"Cuádriceps",$E52:$E61)</f>
        <v>0</v>
      </c>
      <c r="T25" s="35">
        <f>SUMIF($A52:$A61,"Isquios",$E52:$E61)</f>
        <v>0</v>
      </c>
      <c r="U25" s="35">
        <f>SUMIF($A52:$A61,"Glúteos",$E52:$E61)</f>
        <v>0</v>
      </c>
      <c r="V25" s="35">
        <f>SUMIF($A52:$A61,"Pantorrillas",$E52:$E61)</f>
        <v>0</v>
      </c>
      <c r="W25" s="35">
        <f>SUMIF($A52:$A61,"Otros",$E52:$E61)</f>
        <v>0</v>
      </c>
    </row>
    <row r="26" ht="14.25" customHeight="1">
      <c r="A26" s="27" t="s">
        <v>32</v>
      </c>
      <c r="B26" s="30" t="s">
        <v>616</v>
      </c>
      <c r="C26" s="18"/>
      <c r="D26" s="20"/>
      <c r="E26" s="27">
        <v>4.0</v>
      </c>
      <c r="F26" s="27">
        <v>10.0</v>
      </c>
      <c r="G26" s="27">
        <v>8.0</v>
      </c>
      <c r="H26" s="27" t="s">
        <v>55</v>
      </c>
      <c r="I26" s="33"/>
      <c r="J26" s="9"/>
      <c r="M26" s="34" t="s">
        <v>7</v>
      </c>
      <c r="N26" s="35" t="str">
        <f>AVERAGEIF($A52:$A61,"Pecho",$G52:$G61)</f>
        <v>#DIV/0!</v>
      </c>
      <c r="O26" s="35" t="str">
        <f>AVERAGEIF($A52:$A61,"Espalda",$G52:$G61)</f>
        <v>#DIV/0!</v>
      </c>
      <c r="P26" s="35" t="str">
        <f>AVERAGEIF($A52:$A61,"Hombros",$G52:$G61)</f>
        <v>#DIV/0!</v>
      </c>
      <c r="Q26" s="35" t="str">
        <f>AVERAGEIF($A52:$A61,"Bíceps",$G52:$G61)</f>
        <v>#DIV/0!</v>
      </c>
      <c r="R26" s="35" t="str">
        <f>AVERAGEIF($A52:$A61,"Tríceps",$G52:$G61)</f>
        <v>#DIV/0!</v>
      </c>
      <c r="S26" s="35" t="str">
        <f>AVERAGEIF($A52:$A61,"Cuádriceps",$G52:$G61)</f>
        <v>#DIV/0!</v>
      </c>
      <c r="T26" s="35" t="str">
        <f>AVERAGEIF($A52:$A61,"Isquios",$G52:$G61)</f>
        <v>#DIV/0!</v>
      </c>
      <c r="U26" s="35" t="str">
        <f>AVERAGEIF($A52:$A61,"Glúteos",$G52:$G61)</f>
        <v>#DIV/0!</v>
      </c>
      <c r="V26" s="35" t="str">
        <f>AVERAGEIF($A52:$A61,"Pantorrillas",$G52:$G61)</f>
        <v>#DIV/0!</v>
      </c>
      <c r="W26" s="35" t="str">
        <f>AVERAGEIF($A52:$A61,"Otros",$G52:$G61)</f>
        <v>#DIV/0!</v>
      </c>
    </row>
    <row r="27" ht="14.25" customHeight="1">
      <c r="A27" s="27" t="s">
        <v>31</v>
      </c>
      <c r="B27" s="30" t="s">
        <v>618</v>
      </c>
      <c r="C27" s="18"/>
      <c r="D27" s="20"/>
      <c r="E27" s="27">
        <v>3.0</v>
      </c>
      <c r="F27" s="27">
        <v>12.0</v>
      </c>
      <c r="G27" s="27"/>
      <c r="H27" s="27"/>
      <c r="I27" s="33"/>
      <c r="J27" s="9"/>
      <c r="M27" s="25"/>
      <c r="N27" s="25"/>
      <c r="O27" s="25"/>
      <c r="P27" s="25"/>
      <c r="Q27" s="25"/>
      <c r="R27" s="25"/>
      <c r="S27" s="25"/>
      <c r="T27" s="25"/>
      <c r="U27" s="25"/>
    </row>
    <row r="28" ht="14.25" customHeight="1">
      <c r="A28" s="111" t="s">
        <v>16</v>
      </c>
      <c r="B28" s="110" t="s">
        <v>620</v>
      </c>
      <c r="C28" s="18"/>
      <c r="D28" s="20"/>
      <c r="E28" s="111">
        <v>4.0</v>
      </c>
      <c r="F28" s="111">
        <v>10.0</v>
      </c>
      <c r="G28" s="111"/>
      <c r="H28" s="111" t="s">
        <v>575</v>
      </c>
      <c r="I28" s="24"/>
      <c r="J28" s="9"/>
      <c r="M28" s="11" t="s">
        <v>76</v>
      </c>
      <c r="N28" s="12"/>
      <c r="O28" s="12"/>
      <c r="P28" s="12"/>
      <c r="Q28" s="12"/>
      <c r="R28" s="12"/>
      <c r="S28" s="12"/>
      <c r="T28" s="12"/>
      <c r="U28" s="12"/>
      <c r="V28" s="12"/>
      <c r="W28" s="13"/>
    </row>
    <row r="29" ht="14.25" customHeight="1">
      <c r="A29" s="111" t="s">
        <v>31</v>
      </c>
      <c r="B29" s="110" t="s">
        <v>556</v>
      </c>
      <c r="C29" s="18"/>
      <c r="D29" s="20"/>
      <c r="E29" s="111">
        <v>3.0</v>
      </c>
      <c r="F29" s="111">
        <v>12.0</v>
      </c>
      <c r="G29" s="111"/>
      <c r="H29" s="111"/>
      <c r="I29" s="24"/>
      <c r="J29" s="9"/>
      <c r="M29" s="25"/>
      <c r="N29" s="28" t="s">
        <v>16</v>
      </c>
      <c r="O29" s="28" t="s">
        <v>26</v>
      </c>
      <c r="P29" s="28" t="s">
        <v>27</v>
      </c>
      <c r="Q29" s="28" t="s">
        <v>28</v>
      </c>
      <c r="R29" s="28" t="s">
        <v>29</v>
      </c>
      <c r="S29" s="28" t="s">
        <v>30</v>
      </c>
      <c r="T29" s="28" t="s">
        <v>31</v>
      </c>
      <c r="U29" s="28" t="s">
        <v>32</v>
      </c>
      <c r="V29" s="28" t="s">
        <v>33</v>
      </c>
      <c r="W29" s="28" t="s">
        <v>12</v>
      </c>
    </row>
    <row r="30" ht="14.25" customHeight="1">
      <c r="A30" s="27" t="s">
        <v>32</v>
      </c>
      <c r="B30" s="30" t="s">
        <v>520</v>
      </c>
      <c r="C30" s="18"/>
      <c r="D30" s="20"/>
      <c r="E30" s="27">
        <v>4.0</v>
      </c>
      <c r="F30" s="27" t="s">
        <v>71</v>
      </c>
      <c r="G30" s="27"/>
      <c r="H30" s="27" t="s">
        <v>578</v>
      </c>
      <c r="I30" s="33"/>
      <c r="J30" s="9"/>
      <c r="M30" s="34" t="s">
        <v>36</v>
      </c>
      <c r="N30" s="35">
        <f>SUMIF($A66:$A75,"Pecho",$E66:$E75)</f>
        <v>0</v>
      </c>
      <c r="O30" s="35">
        <f>SUMIF($A66:$A75,"Espalda",$E66:$E75)</f>
        <v>0</v>
      </c>
      <c r="P30" s="35">
        <f>SUMIF($A66:$A75,"Hombros",$E66:$E75)</f>
        <v>0</v>
      </c>
      <c r="Q30" s="35">
        <f>SUMIF($A66:$A75,"Bíceps",$E66:$E75)</f>
        <v>0</v>
      </c>
      <c r="R30" s="35">
        <f>SUMIF($A66:$A75,"Tríceps",$E66:$E75)</f>
        <v>0</v>
      </c>
      <c r="S30" s="35">
        <f>SUMIF($A66:$A75,"Cuádriceps",$E66:$E75)</f>
        <v>0</v>
      </c>
      <c r="T30" s="35">
        <f>SUMIF($A66:$A75,"Isquios",$E66:$E75)</f>
        <v>0</v>
      </c>
      <c r="U30" s="35">
        <f>SUMIF($A66:$A75,"Glúteos",$E66:$E75)</f>
        <v>0</v>
      </c>
      <c r="V30" s="35">
        <f>SUMIF($A66:$A75,"Pantorrillas",$E66:$E75)</f>
        <v>0</v>
      </c>
      <c r="W30" s="35">
        <f>SUMIF($A66:$A75,"Otros",$E66:$E75)</f>
        <v>0</v>
      </c>
    </row>
    <row r="31" ht="14.25" customHeight="1">
      <c r="A31" s="27" t="s">
        <v>16</v>
      </c>
      <c r="B31" s="30" t="s">
        <v>170</v>
      </c>
      <c r="C31" s="18"/>
      <c r="D31" s="20"/>
      <c r="E31" s="27">
        <v>3.0</v>
      </c>
      <c r="F31" s="27">
        <v>12.0</v>
      </c>
      <c r="G31" s="27"/>
      <c r="H31" s="27"/>
      <c r="I31" s="33"/>
      <c r="J31" s="9"/>
      <c r="M31" s="34" t="s">
        <v>7</v>
      </c>
      <c r="N31" s="35" t="str">
        <f>AVERAGEIF($A66:$A75,"Pecho",$G66:$G75)</f>
        <v>#DIV/0!</v>
      </c>
      <c r="O31" s="35" t="str">
        <f>AVERAGEIF($A66:$A75,"Espalda",$G66:$G75)</f>
        <v>#DIV/0!</v>
      </c>
      <c r="P31" s="35" t="str">
        <f>AVERAGEIF($A66:$A75,"Hombros",$G66:$G75)</f>
        <v>#DIV/0!</v>
      </c>
      <c r="Q31" s="35" t="str">
        <f>AVERAGEIF($A66:$A75,"Bíceps",$G66:$G75)</f>
        <v>#DIV/0!</v>
      </c>
      <c r="R31" s="35" t="str">
        <f>AVERAGEIF($A66:$A75,"Tríceps",$G66:$G75)</f>
        <v>#DIV/0!</v>
      </c>
      <c r="S31" s="35" t="str">
        <f>AVERAGEIF($A66:$A75,"Cuádriceps",$G66:$G75)</f>
        <v>#DIV/0!</v>
      </c>
      <c r="T31" s="35" t="str">
        <f>AVERAGEIF($A66:$A75,"Isquios",$G66:$G75)</f>
        <v>#DIV/0!</v>
      </c>
      <c r="U31" s="35" t="str">
        <f>AVERAGEIF($A66:$A75,"Glúteos",$G66:$G75)</f>
        <v>#DIV/0!</v>
      </c>
      <c r="V31" s="35" t="str">
        <f>AVERAGEIF($A66:$A75,"Pantorrillas",$G66:$G75)</f>
        <v>#DIV/0!</v>
      </c>
      <c r="W31" s="35" t="str">
        <f>AVERAGEIF($A66:$A75,"Otros",$G66:$G75)</f>
        <v>#DIV/0!</v>
      </c>
    </row>
    <row r="32" ht="14.25" customHeight="1">
      <c r="A32" s="161" t="s">
        <v>32</v>
      </c>
      <c r="B32" s="162" t="s">
        <v>581</v>
      </c>
      <c r="C32" s="18"/>
      <c r="D32" s="163"/>
      <c r="E32" s="161">
        <v>4.0</v>
      </c>
      <c r="F32" s="161" t="s">
        <v>582</v>
      </c>
      <c r="G32" s="161"/>
      <c r="H32" s="161"/>
      <c r="I32" s="26"/>
      <c r="J32" s="164"/>
    </row>
    <row r="33" ht="14.25" customHeight="1">
      <c r="A33" s="111" t="s">
        <v>29</v>
      </c>
      <c r="B33" s="140" t="s">
        <v>629</v>
      </c>
      <c r="C33" s="8"/>
      <c r="D33" s="9"/>
      <c r="E33" s="111">
        <v>3.0</v>
      </c>
      <c r="F33" s="111">
        <v>12.0</v>
      </c>
      <c r="G33" s="111"/>
      <c r="H33" s="111"/>
      <c r="I33" s="35"/>
      <c r="J33" s="16"/>
    </row>
    <row r="34" ht="14.25" customHeight="1">
      <c r="A34" s="1"/>
      <c r="B34" s="25"/>
      <c r="E34" s="1"/>
      <c r="F34" s="1"/>
      <c r="G34" s="1"/>
      <c r="H34" s="1"/>
      <c r="I34" s="1"/>
      <c r="J34" s="1"/>
    </row>
    <row r="35" ht="14.25" customHeight="1"/>
    <row r="36" ht="14.25" customHeight="1">
      <c r="A36" s="2" t="s">
        <v>57</v>
      </c>
      <c r="B36" s="3"/>
      <c r="C36" s="4"/>
      <c r="J36" s="1"/>
    </row>
    <row r="37" ht="14.25" customHeight="1">
      <c r="A37" s="6" t="s">
        <v>2</v>
      </c>
      <c r="B37" s="10" t="s">
        <v>4</v>
      </c>
      <c r="C37" s="8"/>
      <c r="D37" s="9"/>
      <c r="E37" s="6" t="s">
        <v>5</v>
      </c>
      <c r="F37" s="6" t="s">
        <v>6</v>
      </c>
      <c r="G37" s="6" t="s">
        <v>7</v>
      </c>
      <c r="H37" s="6" t="s">
        <v>8</v>
      </c>
      <c r="I37" s="10" t="s">
        <v>9</v>
      </c>
      <c r="J37" s="9"/>
    </row>
    <row r="38" ht="14.25" customHeight="1">
      <c r="A38" s="144" t="s">
        <v>12</v>
      </c>
      <c r="B38" s="145" t="s">
        <v>551</v>
      </c>
      <c r="C38" s="18"/>
      <c r="D38" s="20"/>
      <c r="E38" s="144">
        <v>2.0</v>
      </c>
      <c r="F38" s="144">
        <v>10.0</v>
      </c>
      <c r="G38" s="144"/>
      <c r="H38" s="144" t="s">
        <v>585</v>
      </c>
      <c r="I38" s="146"/>
      <c r="J38" s="9"/>
    </row>
    <row r="39" ht="14.25" customHeight="1">
      <c r="A39" s="144" t="s">
        <v>12</v>
      </c>
      <c r="B39" s="145" t="s">
        <v>632</v>
      </c>
      <c r="C39" s="18"/>
      <c r="D39" s="20"/>
      <c r="E39" s="144">
        <v>2.0</v>
      </c>
      <c r="F39" s="144">
        <v>12.0</v>
      </c>
      <c r="G39" s="144"/>
      <c r="H39" s="144"/>
      <c r="I39" s="146"/>
      <c r="J39" s="9"/>
    </row>
    <row r="40" ht="14.25" customHeight="1">
      <c r="A40" s="144" t="s">
        <v>12</v>
      </c>
      <c r="B40" s="145" t="s">
        <v>633</v>
      </c>
      <c r="C40" s="18"/>
      <c r="D40" s="20"/>
      <c r="E40" s="144">
        <v>3.0</v>
      </c>
      <c r="F40" s="144">
        <v>12.0</v>
      </c>
      <c r="G40" s="144"/>
      <c r="H40" s="144"/>
      <c r="I40" s="146"/>
      <c r="J40" s="9"/>
    </row>
    <row r="41" ht="14.25" customHeight="1">
      <c r="A41" s="27" t="s">
        <v>26</v>
      </c>
      <c r="B41" s="30" t="s">
        <v>634</v>
      </c>
      <c r="C41" s="18"/>
      <c r="D41" s="20"/>
      <c r="E41" s="27">
        <v>4.0</v>
      </c>
      <c r="F41" s="27">
        <v>10.0</v>
      </c>
      <c r="G41" s="27">
        <v>8.0</v>
      </c>
      <c r="H41" s="27" t="s">
        <v>141</v>
      </c>
      <c r="I41" s="33"/>
      <c r="J41" s="9"/>
    </row>
    <row r="42" ht="14.25" customHeight="1">
      <c r="A42" s="27" t="s">
        <v>27</v>
      </c>
      <c r="B42" s="30" t="s">
        <v>635</v>
      </c>
      <c r="C42" s="18"/>
      <c r="D42" s="20"/>
      <c r="E42" s="27">
        <v>3.0</v>
      </c>
      <c r="F42" s="27">
        <v>12.0</v>
      </c>
      <c r="G42" s="27"/>
      <c r="H42" s="27"/>
      <c r="I42" s="33"/>
      <c r="J42" s="9"/>
    </row>
    <row r="43" ht="14.25" customHeight="1">
      <c r="A43" s="111" t="s">
        <v>31</v>
      </c>
      <c r="B43" s="110" t="s">
        <v>637</v>
      </c>
      <c r="C43" s="18"/>
      <c r="D43" s="20"/>
      <c r="E43" s="111">
        <v>4.0</v>
      </c>
      <c r="F43" s="111">
        <v>12.0</v>
      </c>
      <c r="G43" s="111"/>
      <c r="H43" s="111" t="s">
        <v>591</v>
      </c>
      <c r="I43" s="139"/>
      <c r="J43" s="9"/>
    </row>
    <row r="44" ht="14.25" customHeight="1">
      <c r="A44" s="111" t="s">
        <v>12</v>
      </c>
      <c r="B44" s="110" t="s">
        <v>592</v>
      </c>
      <c r="C44" s="18"/>
      <c r="D44" s="20"/>
      <c r="E44" s="111">
        <v>4.0</v>
      </c>
      <c r="F44" s="111">
        <v>10.0</v>
      </c>
      <c r="G44" s="111"/>
      <c r="H44" s="111"/>
      <c r="I44" s="139"/>
      <c r="J44" s="9"/>
    </row>
    <row r="45" ht="14.25" customHeight="1">
      <c r="A45" s="27" t="s">
        <v>29</v>
      </c>
      <c r="B45" s="30" t="s">
        <v>638</v>
      </c>
      <c r="C45" s="18"/>
      <c r="D45" s="20"/>
      <c r="E45" s="27">
        <v>4.0</v>
      </c>
      <c r="F45" s="27">
        <v>12.0</v>
      </c>
      <c r="G45" s="27"/>
      <c r="H45" s="27"/>
      <c r="I45" s="33"/>
      <c r="J45" s="9"/>
    </row>
    <row r="46" ht="14.25" customHeight="1">
      <c r="A46" s="27" t="s">
        <v>28</v>
      </c>
      <c r="B46" s="30" t="s">
        <v>597</v>
      </c>
      <c r="C46" s="18"/>
      <c r="D46" s="20"/>
      <c r="E46" s="27">
        <v>4.0</v>
      </c>
      <c r="F46" s="27" t="s">
        <v>178</v>
      </c>
      <c r="G46" s="27"/>
      <c r="H46" s="27" t="s">
        <v>598</v>
      </c>
      <c r="I46" s="33"/>
      <c r="J46" s="9"/>
    </row>
    <row r="47" ht="14.25" customHeight="1">
      <c r="A47" s="27" t="s">
        <v>27</v>
      </c>
      <c r="B47" s="60" t="s">
        <v>640</v>
      </c>
      <c r="C47" s="8"/>
      <c r="D47" s="9"/>
      <c r="E47" s="27">
        <v>3.0</v>
      </c>
      <c r="F47" s="27">
        <v>12.0</v>
      </c>
      <c r="G47" s="27"/>
      <c r="H47" s="27"/>
      <c r="I47" s="33"/>
      <c r="J47" s="9"/>
    </row>
    <row r="48" ht="14.25" customHeight="1">
      <c r="B48" s="26"/>
      <c r="C48" s="29"/>
      <c r="D48" s="29"/>
    </row>
    <row r="49" ht="14.25" customHeight="1"/>
    <row r="50" ht="14.25" customHeight="1">
      <c r="A50" s="2" t="s">
        <v>66</v>
      </c>
      <c r="B50" s="3"/>
      <c r="C50" s="4"/>
      <c r="J50" s="1"/>
    </row>
    <row r="51" ht="14.25" customHeight="1">
      <c r="A51" s="6" t="s">
        <v>2</v>
      </c>
      <c r="B51" s="10" t="s">
        <v>4</v>
      </c>
      <c r="C51" s="8"/>
      <c r="D51" s="9"/>
      <c r="E51" s="6" t="s">
        <v>5</v>
      </c>
      <c r="F51" s="6" t="s">
        <v>6</v>
      </c>
      <c r="G51" s="6" t="s">
        <v>7</v>
      </c>
      <c r="H51" s="6" t="s">
        <v>8</v>
      </c>
      <c r="I51" s="10" t="s">
        <v>9</v>
      </c>
      <c r="J51" s="9"/>
    </row>
    <row r="52" ht="14.25" customHeight="1">
      <c r="A52" s="16"/>
      <c r="B52" s="26"/>
      <c r="C52" s="29"/>
      <c r="D52" s="29"/>
      <c r="E52" s="16"/>
      <c r="F52" s="16"/>
      <c r="G52" s="16"/>
      <c r="H52" s="16"/>
      <c r="I52" s="24"/>
      <c r="J52" s="9"/>
    </row>
    <row r="53" ht="14.25" customHeight="1">
      <c r="A53" s="16"/>
      <c r="B53" s="26"/>
      <c r="C53" s="29"/>
      <c r="D53" s="29"/>
      <c r="E53" s="16"/>
      <c r="F53" s="16"/>
      <c r="G53" s="16"/>
      <c r="H53" s="16"/>
      <c r="I53" s="24"/>
      <c r="J53" s="9"/>
    </row>
    <row r="54" ht="14.25" customHeight="1">
      <c r="A54" s="16" t="s">
        <v>12</v>
      </c>
      <c r="B54" s="26" t="s">
        <v>329</v>
      </c>
      <c r="C54" s="29"/>
      <c r="D54" s="29"/>
      <c r="E54" s="16"/>
      <c r="F54" s="16">
        <v>10.0</v>
      </c>
      <c r="G54" s="16"/>
      <c r="H54" s="16"/>
      <c r="I54" s="24"/>
      <c r="J54" s="9"/>
    </row>
    <row r="55" ht="14.25" customHeight="1">
      <c r="A55" s="16" t="s">
        <v>31</v>
      </c>
      <c r="B55" s="30" t="s">
        <v>331</v>
      </c>
      <c r="C55" s="18"/>
      <c r="D55" s="20"/>
      <c r="E55" s="27"/>
      <c r="F55" s="27">
        <v>10.0</v>
      </c>
      <c r="G55" s="27"/>
      <c r="H55" s="27"/>
      <c r="I55" s="24"/>
      <c r="J55" s="9"/>
    </row>
    <row r="56" ht="14.25" customHeight="1">
      <c r="A56" s="16" t="s">
        <v>32</v>
      </c>
      <c r="B56" s="30" t="s">
        <v>333</v>
      </c>
      <c r="C56" s="18"/>
      <c r="D56" s="20"/>
      <c r="E56" s="27"/>
      <c r="F56" s="27" t="s">
        <v>278</v>
      </c>
      <c r="G56" s="27"/>
      <c r="H56" s="27"/>
      <c r="I56" s="24"/>
      <c r="J56" s="9"/>
    </row>
    <row r="57" ht="14.25" customHeight="1">
      <c r="A57" s="16" t="s">
        <v>26</v>
      </c>
      <c r="B57" s="30" t="s">
        <v>335</v>
      </c>
      <c r="C57" s="18"/>
      <c r="D57" s="20"/>
      <c r="E57" s="27"/>
      <c r="F57" s="27">
        <v>8.0</v>
      </c>
      <c r="G57" s="27"/>
      <c r="H57" s="27"/>
      <c r="I57" s="24"/>
      <c r="J57" s="9"/>
    </row>
    <row r="58" ht="14.25" customHeight="1">
      <c r="A58" s="16" t="s">
        <v>32</v>
      </c>
      <c r="B58" s="30" t="s">
        <v>338</v>
      </c>
      <c r="C58" s="18"/>
      <c r="D58" s="20"/>
      <c r="E58" s="27"/>
      <c r="F58" s="27">
        <v>8.0</v>
      </c>
      <c r="G58" s="27"/>
      <c r="H58" s="27"/>
      <c r="I58" s="24"/>
      <c r="J58" s="9"/>
    </row>
    <row r="59" ht="14.25" customHeight="1">
      <c r="A59" s="16" t="s">
        <v>26</v>
      </c>
      <c r="B59" s="30" t="s">
        <v>340</v>
      </c>
      <c r="C59" s="18"/>
      <c r="D59" s="20"/>
      <c r="E59" s="27"/>
      <c r="F59" s="27">
        <v>10.0</v>
      </c>
      <c r="G59" s="27"/>
      <c r="H59" s="27"/>
      <c r="I59" s="24"/>
      <c r="J59" s="9"/>
    </row>
    <row r="60" ht="14.25" customHeight="1">
      <c r="A60" s="16" t="s">
        <v>28</v>
      </c>
      <c r="B60" s="30" t="s">
        <v>341</v>
      </c>
      <c r="C60" s="18"/>
      <c r="D60" s="20"/>
      <c r="E60" s="27"/>
      <c r="F60" s="27"/>
      <c r="G60" s="27"/>
      <c r="H60" s="27"/>
      <c r="I60" s="24"/>
      <c r="J60" s="9"/>
    </row>
    <row r="61" ht="14.25" customHeight="1">
      <c r="A61" s="16" t="s">
        <v>33</v>
      </c>
      <c r="B61" s="60" t="s">
        <v>342</v>
      </c>
      <c r="C61" s="8"/>
      <c r="D61" s="9"/>
      <c r="E61" s="27"/>
      <c r="F61" s="27">
        <v>10.0</v>
      </c>
      <c r="G61" s="27"/>
      <c r="H61" s="27"/>
      <c r="I61" s="24"/>
      <c r="J61" s="9"/>
    </row>
    <row r="62" ht="14.25" customHeight="1">
      <c r="B62" s="26"/>
      <c r="C62" s="29"/>
      <c r="D62" s="29"/>
    </row>
    <row r="63" ht="14.25" customHeight="1"/>
    <row r="64" ht="14.25" customHeight="1">
      <c r="A64" s="2" t="s">
        <v>76</v>
      </c>
      <c r="B64" s="3"/>
      <c r="C64" s="4"/>
      <c r="J64" s="1"/>
    </row>
    <row r="65" ht="14.25" customHeight="1">
      <c r="A65" s="6" t="s">
        <v>2</v>
      </c>
      <c r="B65" s="10" t="s">
        <v>4</v>
      </c>
      <c r="C65" s="8"/>
      <c r="D65" s="9"/>
      <c r="E65" s="6" t="s">
        <v>5</v>
      </c>
      <c r="F65" s="6" t="s">
        <v>6</v>
      </c>
      <c r="G65" s="6" t="s">
        <v>7</v>
      </c>
      <c r="H65" s="6" t="s">
        <v>8</v>
      </c>
      <c r="I65" s="10" t="s">
        <v>9</v>
      </c>
      <c r="J65" s="9"/>
    </row>
    <row r="66" ht="14.25" customHeight="1">
      <c r="A66" s="16"/>
      <c r="B66" s="26"/>
      <c r="C66" s="29"/>
      <c r="D66" s="29"/>
      <c r="E66" s="16"/>
      <c r="F66" s="16"/>
      <c r="G66" s="16"/>
      <c r="H66" s="16"/>
      <c r="I66" s="24"/>
      <c r="J66" s="9"/>
    </row>
    <row r="67" ht="14.25" customHeight="1">
      <c r="A67" s="16"/>
      <c r="B67" s="26"/>
      <c r="C67" s="29"/>
      <c r="D67" s="29"/>
      <c r="E67" s="16"/>
      <c r="F67" s="16"/>
      <c r="G67" s="16"/>
      <c r="H67" s="16"/>
      <c r="I67" s="24"/>
      <c r="J67" s="9"/>
    </row>
    <row r="68" ht="14.25" customHeight="1">
      <c r="A68" s="16"/>
      <c r="B68" s="26"/>
      <c r="C68" s="29"/>
      <c r="D68" s="29"/>
      <c r="E68" s="16"/>
      <c r="F68" s="16"/>
      <c r="G68" s="16"/>
      <c r="H68" s="16"/>
      <c r="I68" s="24"/>
      <c r="J68" s="9"/>
    </row>
    <row r="69" ht="14.25" customHeight="1">
      <c r="A69" s="16"/>
      <c r="B69" s="26"/>
      <c r="C69" s="29"/>
      <c r="D69" s="29"/>
      <c r="E69" s="16"/>
      <c r="F69" s="16"/>
      <c r="G69" s="16"/>
      <c r="H69" s="16"/>
      <c r="I69" s="24"/>
      <c r="J69" s="9"/>
    </row>
    <row r="70" ht="14.25" customHeight="1">
      <c r="A70" s="16"/>
      <c r="B70" s="26"/>
      <c r="C70" s="29"/>
      <c r="D70" s="29"/>
      <c r="E70" s="16"/>
      <c r="F70" s="16"/>
      <c r="G70" s="16"/>
      <c r="H70" s="16"/>
      <c r="I70" s="24"/>
      <c r="J70" s="9"/>
    </row>
    <row r="71" ht="14.25" customHeight="1">
      <c r="A71" s="16"/>
      <c r="B71" s="26"/>
      <c r="C71" s="29"/>
      <c r="D71" s="29"/>
      <c r="E71" s="16"/>
      <c r="F71" s="16"/>
      <c r="G71" s="16"/>
      <c r="H71" s="16"/>
      <c r="I71" s="24"/>
      <c r="J71" s="9"/>
    </row>
    <row r="72" ht="14.25" customHeight="1">
      <c r="A72" s="16"/>
      <c r="B72" s="26"/>
      <c r="C72" s="29"/>
      <c r="D72" s="29"/>
      <c r="E72" s="16"/>
      <c r="F72" s="16"/>
      <c r="G72" s="16"/>
      <c r="H72" s="16"/>
      <c r="I72" s="24"/>
      <c r="J72" s="9"/>
    </row>
    <row r="73" ht="14.25" customHeight="1">
      <c r="A73" s="16"/>
      <c r="B73" s="26"/>
      <c r="C73" s="29"/>
      <c r="D73" s="29"/>
      <c r="E73" s="16"/>
      <c r="F73" s="16"/>
      <c r="G73" s="16"/>
      <c r="H73" s="16"/>
      <c r="I73" s="24"/>
      <c r="J73" s="9"/>
    </row>
    <row r="74" ht="14.25" customHeight="1">
      <c r="A74" s="16"/>
      <c r="B74" s="26"/>
      <c r="C74" s="29"/>
      <c r="D74" s="29"/>
      <c r="E74" s="16"/>
      <c r="F74" s="16"/>
      <c r="G74" s="16"/>
      <c r="H74" s="16"/>
      <c r="I74" s="24"/>
      <c r="J74" s="9"/>
    </row>
    <row r="75" ht="14.25" customHeight="1">
      <c r="A75" s="16"/>
      <c r="B75" s="58"/>
      <c r="C75" s="8"/>
      <c r="D75" s="9"/>
      <c r="E75" s="16"/>
      <c r="F75" s="16"/>
      <c r="G75" s="16"/>
      <c r="H75" s="16"/>
      <c r="I75" s="24"/>
      <c r="J75" s="9"/>
    </row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7">
    <mergeCell ref="I27:J27"/>
    <mergeCell ref="I28:J28"/>
    <mergeCell ref="I11:J11"/>
    <mergeCell ref="I13:J13"/>
    <mergeCell ref="I22:J22"/>
    <mergeCell ref="I23:J23"/>
    <mergeCell ref="I24:J24"/>
    <mergeCell ref="I25:J25"/>
    <mergeCell ref="I26:J26"/>
    <mergeCell ref="A6:C6"/>
    <mergeCell ref="B7:D7"/>
    <mergeCell ref="I7:J7"/>
    <mergeCell ref="M7:W7"/>
    <mergeCell ref="Z7:AB7"/>
    <mergeCell ref="B8:D8"/>
    <mergeCell ref="B9:D9"/>
    <mergeCell ref="I12:J12"/>
    <mergeCell ref="M12:W12"/>
    <mergeCell ref="I8:J8"/>
    <mergeCell ref="I9:J9"/>
    <mergeCell ref="B10:D10"/>
    <mergeCell ref="I10:J10"/>
    <mergeCell ref="B11:D11"/>
    <mergeCell ref="B12:D12"/>
    <mergeCell ref="B13:D13"/>
    <mergeCell ref="I16:J16"/>
    <mergeCell ref="I18:J18"/>
    <mergeCell ref="M18:W18"/>
    <mergeCell ref="M23:W23"/>
    <mergeCell ref="B14:D14"/>
    <mergeCell ref="I14:J14"/>
    <mergeCell ref="B15:D15"/>
    <mergeCell ref="I15:J15"/>
    <mergeCell ref="B16:D16"/>
    <mergeCell ref="B17:D17"/>
    <mergeCell ref="B18:D18"/>
    <mergeCell ref="B27:D27"/>
    <mergeCell ref="B28:D28"/>
    <mergeCell ref="M28:W28"/>
    <mergeCell ref="I29:J29"/>
    <mergeCell ref="B19:D19"/>
    <mergeCell ref="A21:C21"/>
    <mergeCell ref="B22:D22"/>
    <mergeCell ref="B23:D23"/>
    <mergeCell ref="B24:D24"/>
    <mergeCell ref="B25:D25"/>
    <mergeCell ref="B26:D26"/>
    <mergeCell ref="B51:D51"/>
    <mergeCell ref="B52:D52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62:D62"/>
    <mergeCell ref="A64:C64"/>
    <mergeCell ref="B65:D65"/>
    <mergeCell ref="B73:D73"/>
    <mergeCell ref="B74:D74"/>
    <mergeCell ref="B75:D75"/>
    <mergeCell ref="B66:D66"/>
    <mergeCell ref="B67:D67"/>
    <mergeCell ref="B68:D68"/>
    <mergeCell ref="B69:D69"/>
    <mergeCell ref="B70:D70"/>
    <mergeCell ref="B71:D71"/>
    <mergeCell ref="B72:D72"/>
    <mergeCell ref="I71:J71"/>
    <mergeCell ref="I72:J72"/>
    <mergeCell ref="I73:J73"/>
    <mergeCell ref="I74:J74"/>
    <mergeCell ref="I75:J75"/>
    <mergeCell ref="I61:J61"/>
    <mergeCell ref="I65:J65"/>
    <mergeCell ref="I66:J66"/>
    <mergeCell ref="I67:J67"/>
    <mergeCell ref="I68:J68"/>
    <mergeCell ref="I69:J69"/>
    <mergeCell ref="I70:J70"/>
    <mergeCell ref="B29:D29"/>
    <mergeCell ref="B30:D30"/>
    <mergeCell ref="I30:J30"/>
    <mergeCell ref="B31:D31"/>
    <mergeCell ref="I31:J31"/>
    <mergeCell ref="B32:D32"/>
    <mergeCell ref="I32:J32"/>
    <mergeCell ref="I38:J38"/>
    <mergeCell ref="I39:J39"/>
    <mergeCell ref="B33:D33"/>
    <mergeCell ref="B34:D34"/>
    <mergeCell ref="A36:C36"/>
    <mergeCell ref="B37:D37"/>
    <mergeCell ref="I37:J37"/>
    <mergeCell ref="B38:D38"/>
    <mergeCell ref="B39:D39"/>
    <mergeCell ref="B40:D40"/>
    <mergeCell ref="I40:J40"/>
    <mergeCell ref="B41:D41"/>
    <mergeCell ref="I41:J41"/>
    <mergeCell ref="B42:D42"/>
    <mergeCell ref="I42:J42"/>
    <mergeCell ref="I43:J43"/>
    <mergeCell ref="B43:D43"/>
    <mergeCell ref="B44:D44"/>
    <mergeCell ref="B45:D45"/>
    <mergeCell ref="B46:D46"/>
    <mergeCell ref="B47:D47"/>
    <mergeCell ref="B48:D48"/>
    <mergeCell ref="A50:C50"/>
    <mergeCell ref="I44:J44"/>
    <mergeCell ref="I45:J45"/>
    <mergeCell ref="I46:J46"/>
    <mergeCell ref="I47:J47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60:J60"/>
  </mergeCells>
  <dataValidations>
    <dataValidation type="list" allowBlank="1" showErrorMessage="1" sqref="A8:A18 A23:A33 A38:A47 A52:A61 A66:A75">
      <formula1>Datos!$D$2:$D$11</formula1>
    </dataValidation>
    <dataValidation type="list" allowBlank="1" showErrorMessage="1" sqref="J5">
      <formula1>Datos!$B$2:$B$12</formula1>
    </dataValidation>
    <dataValidation type="list" allowBlank="1" showErrorMessage="1" sqref="J6 J21 J36 J50 J64">
      <formula1>Datos!$D$2:$D$14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10.71"/>
    <col customWidth="1" min="24" max="24" width="7.86"/>
    <col customWidth="1" min="25" max="25" width="15.43"/>
    <col customWidth="1" min="26" max="28" width="10.71"/>
  </cols>
  <sheetData>
    <row r="1" ht="14.25" customHeight="1"/>
    <row r="2" ht="14.25" customHeight="1"/>
    <row r="3" ht="14.25" customHeight="1"/>
    <row r="4" ht="14.25" customHeight="1"/>
    <row r="5" ht="14.25" customHeight="1">
      <c r="J5" s="1"/>
    </row>
    <row r="6" ht="14.25" customHeight="1">
      <c r="A6" s="2" t="s">
        <v>0</v>
      </c>
      <c r="B6" s="3"/>
      <c r="C6" s="4"/>
      <c r="J6" s="1"/>
    </row>
    <row r="7" ht="14.25" customHeight="1">
      <c r="A7" s="147" t="s">
        <v>2</v>
      </c>
      <c r="B7" s="148" t="s">
        <v>4</v>
      </c>
      <c r="C7" s="8"/>
      <c r="D7" s="9"/>
      <c r="E7" s="147" t="s">
        <v>5</v>
      </c>
      <c r="F7" s="147" t="s">
        <v>6</v>
      </c>
      <c r="G7" s="147" t="s">
        <v>7</v>
      </c>
      <c r="H7" s="147" t="s">
        <v>8</v>
      </c>
      <c r="I7" s="148" t="s">
        <v>9</v>
      </c>
      <c r="J7" s="9"/>
      <c r="M7" s="11" t="s">
        <v>0</v>
      </c>
      <c r="N7" s="12"/>
      <c r="O7" s="12"/>
      <c r="P7" s="12"/>
      <c r="Q7" s="12"/>
      <c r="R7" s="12"/>
      <c r="S7" s="12"/>
      <c r="T7" s="12"/>
      <c r="U7" s="12"/>
      <c r="V7" s="12"/>
      <c r="W7" s="13"/>
      <c r="Y7" s="1"/>
      <c r="Z7" s="14" t="s">
        <v>10</v>
      </c>
      <c r="AA7" s="12"/>
      <c r="AB7" s="13"/>
    </row>
    <row r="8" ht="14.25" customHeight="1">
      <c r="A8" s="149" t="s">
        <v>12</v>
      </c>
      <c r="B8" s="150" t="s">
        <v>595</v>
      </c>
      <c r="C8" s="18"/>
      <c r="D8" s="20"/>
      <c r="E8" s="149">
        <v>3.0</v>
      </c>
      <c r="F8" s="149">
        <v>10.0</v>
      </c>
      <c r="G8" s="149"/>
      <c r="H8" s="149"/>
      <c r="I8" s="151"/>
      <c r="J8" s="9"/>
      <c r="M8" s="25"/>
      <c r="N8" s="28" t="s">
        <v>16</v>
      </c>
      <c r="O8" s="28" t="s">
        <v>26</v>
      </c>
      <c r="P8" s="28" t="s">
        <v>27</v>
      </c>
      <c r="Q8" s="28" t="s">
        <v>28</v>
      </c>
      <c r="R8" s="28" t="s">
        <v>29</v>
      </c>
      <c r="S8" s="28" t="s">
        <v>30</v>
      </c>
      <c r="T8" s="28" t="s">
        <v>31</v>
      </c>
      <c r="U8" s="28" t="s">
        <v>32</v>
      </c>
      <c r="V8" s="28" t="s">
        <v>33</v>
      </c>
      <c r="W8" s="28" t="s">
        <v>12</v>
      </c>
      <c r="Z8" s="28" t="s">
        <v>16</v>
      </c>
      <c r="AA8" s="1">
        <f>SUM(N9,N14,N21,N26,N31)</f>
        <v>17</v>
      </c>
    </row>
    <row r="9" ht="14.25" customHeight="1">
      <c r="A9" s="149" t="s">
        <v>12</v>
      </c>
      <c r="B9" s="150" t="s">
        <v>600</v>
      </c>
      <c r="C9" s="18"/>
      <c r="D9" s="20"/>
      <c r="E9" s="149">
        <v>3.0</v>
      </c>
      <c r="F9" s="149">
        <v>10.0</v>
      </c>
      <c r="G9" s="149"/>
      <c r="H9" s="149"/>
      <c r="I9" s="151"/>
      <c r="J9" s="9"/>
      <c r="M9" s="34" t="s">
        <v>36</v>
      </c>
      <c r="N9" s="37">
        <f>SUMIF(A8:A19,"Pecho",E8:E19)</f>
        <v>13</v>
      </c>
      <c r="O9" s="37">
        <f>SUMIF(A8:A19,"Espalda",E8:E19)</f>
        <v>0</v>
      </c>
      <c r="P9" s="37">
        <f>SUMIF($A8:$A19,"Hombros",$E8:$E19)</f>
        <v>6</v>
      </c>
      <c r="Q9" s="37">
        <f>SUMIF($A8:$A19,"Bíceps",$E8:$E19)</f>
        <v>0</v>
      </c>
      <c r="R9" s="37">
        <f>SUMIF($A8:$A19,"Tríceps",$E8:$E19)</f>
        <v>4</v>
      </c>
      <c r="S9" s="38">
        <f>SUMIF(A8:A19,"Cuádriceps",E8:E19)</f>
        <v>8</v>
      </c>
      <c r="T9" s="37">
        <f>SUMIF($A8:$A19,"Isquios",$E8:$E19)</f>
        <v>0</v>
      </c>
      <c r="U9" s="37">
        <f>SUMIF($A8:$A19,"Glúteos",$E8:$E19)</f>
        <v>0</v>
      </c>
      <c r="V9" s="37">
        <f>SUMIF($A8:$A19,"Pantorrillas",$E8:$E19)</f>
        <v>0</v>
      </c>
      <c r="W9" s="37">
        <f>SUMIF($A8:$A19,"Otros",$E8:$E19)</f>
        <v>9</v>
      </c>
      <c r="Z9" s="28" t="s">
        <v>26</v>
      </c>
      <c r="AA9" s="1">
        <f>SUM(O9,O14,O21,O26,O31)</f>
        <v>17</v>
      </c>
    </row>
    <row r="10" ht="14.25" customHeight="1">
      <c r="A10" s="149" t="s">
        <v>12</v>
      </c>
      <c r="B10" s="150" t="s">
        <v>604</v>
      </c>
      <c r="C10" s="18"/>
      <c r="D10" s="20"/>
      <c r="E10" s="149">
        <v>3.0</v>
      </c>
      <c r="F10" s="149">
        <v>10.0</v>
      </c>
      <c r="G10" s="149"/>
      <c r="H10" s="149"/>
      <c r="I10" s="151"/>
      <c r="J10" s="9"/>
      <c r="M10" s="34" t="s">
        <v>7</v>
      </c>
      <c r="N10" s="35">
        <f>AVERAGEIF($A8:$A19,"Pecho",$G8:$G19)</f>
        <v>8</v>
      </c>
      <c r="O10" s="35" t="str">
        <f>AVERAGEIF($A8:$A19,"Espalda",$G8:$G19)</f>
        <v>#DIV/0!</v>
      </c>
      <c r="P10" s="35" t="str">
        <f>AVERAGEIF($A8:$A19,"Hombros",$G8:$G19)</f>
        <v>#DIV/0!</v>
      </c>
      <c r="Q10" s="35" t="str">
        <f>AVERAGEIF($A8:$A19,"Bíceps",$G8:$G19)</f>
        <v>#DIV/0!</v>
      </c>
      <c r="R10" s="35" t="str">
        <f>AVERAGEIF($A8:$A19,"Tríceps",$G8:$G19)</f>
        <v>#DIV/0!</v>
      </c>
      <c r="S10" s="35" t="str">
        <f>AVERAGEIF($A8:$A19,"Cuádriceps",$G8:$G19)</f>
        <v>#DIV/0!</v>
      </c>
      <c r="T10" s="35" t="str">
        <f>AVERAGEIF($A8:$A19,"Isquios",$G8:$G19)</f>
        <v>#DIV/0!</v>
      </c>
      <c r="U10" s="35" t="str">
        <f>AVERAGEIF($A8:$A19,"Glúteos",$G8:$G19)</f>
        <v>#DIV/0!</v>
      </c>
      <c r="V10" s="35" t="str">
        <f>AVERAGEIF($A8:$A19,"Pantorrillas",$G8:$G19)</f>
        <v>#DIV/0!</v>
      </c>
      <c r="W10" s="35" t="str">
        <f>AVERAGEIF($A8:$A19,"Otros",$G8:$G19)</f>
        <v>#DIV/0!</v>
      </c>
      <c r="Z10" s="28" t="s">
        <v>27</v>
      </c>
      <c r="AA10" s="1">
        <f>SUM(P9,P14,P21,P26,P31)</f>
        <v>12</v>
      </c>
    </row>
    <row r="11" ht="14.25" customHeight="1">
      <c r="A11" s="144" t="s">
        <v>16</v>
      </c>
      <c r="B11" s="145" t="s">
        <v>179</v>
      </c>
      <c r="C11" s="18"/>
      <c r="D11" s="20"/>
      <c r="E11" s="144">
        <v>4.0</v>
      </c>
      <c r="F11" s="144">
        <v>10.0</v>
      </c>
      <c r="G11" s="144">
        <v>8.0</v>
      </c>
      <c r="H11" s="144" t="s">
        <v>55</v>
      </c>
      <c r="I11" s="146"/>
      <c r="J11" s="9"/>
      <c r="M11" s="25"/>
      <c r="N11" s="25"/>
      <c r="O11" s="25"/>
      <c r="P11" s="25"/>
      <c r="Q11" s="25"/>
      <c r="R11" s="25"/>
      <c r="S11" s="25"/>
      <c r="T11" s="25"/>
      <c r="U11" s="25"/>
      <c r="Z11" s="28" t="s">
        <v>28</v>
      </c>
      <c r="AA11" s="1">
        <f>SUM(Q9,Q14,Q21,Q26,Q31)</f>
        <v>3</v>
      </c>
    </row>
    <row r="12" ht="14.25" customHeight="1">
      <c r="A12" s="144" t="s">
        <v>16</v>
      </c>
      <c r="B12" s="145" t="s">
        <v>608</v>
      </c>
      <c r="C12" s="18"/>
      <c r="D12" s="20"/>
      <c r="E12" s="144">
        <v>3.0</v>
      </c>
      <c r="F12" s="144">
        <v>12.0</v>
      </c>
      <c r="G12" s="144"/>
      <c r="H12" s="144"/>
      <c r="I12" s="146"/>
      <c r="J12" s="9"/>
      <c r="M12" s="11" t="s">
        <v>45</v>
      </c>
      <c r="N12" s="12"/>
      <c r="O12" s="12"/>
      <c r="P12" s="12"/>
      <c r="Q12" s="12"/>
      <c r="R12" s="12"/>
      <c r="S12" s="12"/>
      <c r="T12" s="12"/>
      <c r="U12" s="12"/>
      <c r="V12" s="12"/>
      <c r="W12" s="13"/>
      <c r="Z12" s="28" t="s">
        <v>29</v>
      </c>
      <c r="AA12" s="1">
        <f>SUM(R9,R14,R21,R26,R31)</f>
        <v>8</v>
      </c>
    </row>
    <row r="13" ht="14.25" customHeight="1">
      <c r="A13" s="107" t="s">
        <v>30</v>
      </c>
      <c r="B13" s="106" t="s">
        <v>157</v>
      </c>
      <c r="C13" s="18"/>
      <c r="D13" s="20"/>
      <c r="E13" s="107">
        <v>4.0</v>
      </c>
      <c r="F13" s="107">
        <v>12.0</v>
      </c>
      <c r="G13" s="107"/>
      <c r="H13" s="107"/>
      <c r="I13" s="152"/>
      <c r="J13" s="9"/>
      <c r="M13" s="25"/>
      <c r="N13" s="28" t="s">
        <v>16</v>
      </c>
      <c r="O13" s="28" t="s">
        <v>26</v>
      </c>
      <c r="P13" s="28" t="s">
        <v>27</v>
      </c>
      <c r="Q13" s="28" t="s">
        <v>28</v>
      </c>
      <c r="R13" s="28" t="s">
        <v>29</v>
      </c>
      <c r="S13" s="28" t="s">
        <v>30</v>
      </c>
      <c r="T13" s="28" t="s">
        <v>31</v>
      </c>
      <c r="U13" s="28" t="s">
        <v>32</v>
      </c>
      <c r="V13" s="28" t="s">
        <v>33</v>
      </c>
      <c r="W13" s="28" t="s">
        <v>12</v>
      </c>
      <c r="Z13" s="28" t="s">
        <v>30</v>
      </c>
      <c r="AA13" s="1">
        <f>SUM(S9,S14,S21,S26,S31)</f>
        <v>16</v>
      </c>
    </row>
    <row r="14" ht="14.25" customHeight="1">
      <c r="A14" s="107" t="s">
        <v>27</v>
      </c>
      <c r="B14" s="106" t="s">
        <v>159</v>
      </c>
      <c r="C14" s="18"/>
      <c r="D14" s="20"/>
      <c r="E14" s="107">
        <v>3.0</v>
      </c>
      <c r="F14" s="107">
        <v>10.0</v>
      </c>
      <c r="G14" s="107"/>
      <c r="H14" s="107"/>
      <c r="I14" s="152"/>
      <c r="J14" s="9"/>
      <c r="M14" s="34" t="s">
        <v>36</v>
      </c>
      <c r="N14" s="35">
        <f>SUMIF($A24:$A33,"Pecho",$E24:$E33)</f>
        <v>0</v>
      </c>
      <c r="O14" s="35">
        <f>SUMIF($A24:$A33,"Espalda",$E24:$E33)</f>
        <v>14</v>
      </c>
      <c r="P14" s="35">
        <f>SUMIF($A24:$A33,"Hombros",$E24:$E33)</f>
        <v>3</v>
      </c>
      <c r="Q14" s="35">
        <f>SUMIF($A24:$A33,"Bíceps",$E24:$E33)</f>
        <v>0</v>
      </c>
      <c r="R14" s="35">
        <f>SUMIF($A24:$A33,"Tríceps",$E24:$E33)</f>
        <v>0</v>
      </c>
      <c r="S14" s="35">
        <f>SUMIF($A24:$A33,"Cuádriceps",$E24:$E33)</f>
        <v>4</v>
      </c>
      <c r="T14" s="35">
        <f>SUMIF($A24:$A33,"Isquios",$E24:$E33)</f>
        <v>4</v>
      </c>
      <c r="U14" s="35">
        <f>SUMIF($A24:$A33,"Glúteos",$E24:$E33)</f>
        <v>0</v>
      </c>
      <c r="V14" s="35">
        <f>SUMIF($A24:$A33,"Pantorrillas",$E24:$E33)</f>
        <v>0</v>
      </c>
      <c r="W14" s="35">
        <f>SUMIF($A24:$A33,"Otros",$E24:$E33)</f>
        <v>8</v>
      </c>
      <c r="Z14" s="28" t="s">
        <v>31</v>
      </c>
      <c r="AA14" s="1">
        <f>SUM(T9,T14,T21,T26,T31)</f>
        <v>4</v>
      </c>
    </row>
    <row r="15" ht="14.25" customHeight="1">
      <c r="A15" s="144" t="s">
        <v>29</v>
      </c>
      <c r="B15" s="145" t="s">
        <v>611</v>
      </c>
      <c r="C15" s="18"/>
      <c r="D15" s="20"/>
      <c r="E15" s="144">
        <v>4.0</v>
      </c>
      <c r="F15" s="144">
        <v>10.0</v>
      </c>
      <c r="G15" s="144"/>
      <c r="H15" s="144"/>
      <c r="I15" s="146"/>
      <c r="J15" s="9"/>
      <c r="M15" s="34" t="s">
        <v>7</v>
      </c>
      <c r="N15" s="35" t="str">
        <f>AVERAGEIF($A24:$A33,"Pecho",$G24:$G33)</f>
        <v>#DIV/0!</v>
      </c>
      <c r="O15" s="35" t="str">
        <f>AVERAGEIF($A24:$A33,"Espalda",$G24:$G33)</f>
        <v>#DIV/0!</v>
      </c>
      <c r="P15" s="35" t="str">
        <f>AVERAGEIF($A24:$A33,"Hombros",$G24:$G33)</f>
        <v>#DIV/0!</v>
      </c>
      <c r="Q15" s="35" t="str">
        <f>AVERAGEIF($A24:$A33,"Bíceps",$G24:$G33)</f>
        <v>#DIV/0!</v>
      </c>
      <c r="R15" s="35" t="str">
        <f>AVERAGEIF($A24:$A33,"Tríceps",$G24:$G33)</f>
        <v>#DIV/0!</v>
      </c>
      <c r="S15" s="35">
        <f>AVERAGEIF($A24:$A33,"Cuádriceps",$G24:$G33)</f>
        <v>8</v>
      </c>
      <c r="T15" s="35" t="str">
        <f>AVERAGEIF($A24:$A33,"Isquios",$G24:$G33)</f>
        <v>#DIV/0!</v>
      </c>
      <c r="U15" s="35" t="str">
        <f>AVERAGEIF($A24:$A33,"Glúteos",$G24:$G33)</f>
        <v>#DIV/0!</v>
      </c>
      <c r="V15" s="35" t="str">
        <f>AVERAGEIF($A24:$A33,"Pantorrillas",$G24:$G33)</f>
        <v>#DIV/0!</v>
      </c>
      <c r="W15" s="35" t="str">
        <f>AVERAGEIF($A24:$A33,"Otros",$G24:$G33)</f>
        <v>#DIV/0!</v>
      </c>
      <c r="Z15" s="28" t="s">
        <v>32</v>
      </c>
      <c r="AA15" s="1">
        <f>SUM(U9,U14,U21,U26,U31)</f>
        <v>3</v>
      </c>
    </row>
    <row r="16" ht="14.25" customHeight="1">
      <c r="A16" s="144" t="s">
        <v>16</v>
      </c>
      <c r="B16" s="145" t="s">
        <v>613</v>
      </c>
      <c r="C16" s="18"/>
      <c r="D16" s="20"/>
      <c r="E16" s="144">
        <v>3.0</v>
      </c>
      <c r="F16" s="144">
        <v>12.0</v>
      </c>
      <c r="G16" s="144"/>
      <c r="H16" s="144"/>
      <c r="I16" s="146"/>
      <c r="J16" s="9"/>
      <c r="M16" s="25"/>
      <c r="N16" s="25"/>
      <c r="O16" s="25"/>
      <c r="P16" s="25"/>
      <c r="Q16" s="25"/>
      <c r="R16" s="25"/>
      <c r="S16" s="25"/>
      <c r="T16" s="25"/>
      <c r="U16" s="25"/>
      <c r="Z16" s="28" t="s">
        <v>33</v>
      </c>
      <c r="AA16" s="1">
        <f>SUM(V9,V14,V21,V26,V31)</f>
        <v>3</v>
      </c>
    </row>
    <row r="17" ht="14.25" customHeight="1">
      <c r="A17" s="107" t="s">
        <v>27</v>
      </c>
      <c r="B17" s="155" t="s">
        <v>614</v>
      </c>
      <c r="C17" s="8"/>
      <c r="D17" s="9"/>
      <c r="E17" s="107">
        <v>3.0</v>
      </c>
      <c r="F17" s="107">
        <v>10.0</v>
      </c>
      <c r="G17" s="107"/>
      <c r="H17" s="107"/>
      <c r="I17" s="156"/>
      <c r="J17" s="157"/>
      <c r="M17" s="25"/>
      <c r="N17" s="25"/>
      <c r="O17" s="25"/>
      <c r="P17" s="25"/>
      <c r="Q17" s="25"/>
      <c r="R17" s="25"/>
      <c r="S17" s="25"/>
      <c r="T17" s="25"/>
      <c r="U17" s="25"/>
      <c r="Z17" s="28"/>
      <c r="AA17" s="1"/>
    </row>
    <row r="18" ht="14.25" customHeight="1">
      <c r="A18" s="107" t="s">
        <v>16</v>
      </c>
      <c r="B18" s="155" t="s">
        <v>615</v>
      </c>
      <c r="C18" s="8"/>
      <c r="D18" s="9"/>
      <c r="E18" s="107">
        <v>3.0</v>
      </c>
      <c r="F18" s="107">
        <v>12.0</v>
      </c>
      <c r="G18" s="107"/>
      <c r="H18" s="107"/>
      <c r="I18" s="156"/>
      <c r="J18" s="157"/>
      <c r="M18" s="25"/>
      <c r="N18" s="25"/>
      <c r="O18" s="25"/>
      <c r="P18" s="25"/>
      <c r="Q18" s="25"/>
      <c r="R18" s="25"/>
      <c r="S18" s="25"/>
      <c r="T18" s="25"/>
      <c r="U18" s="25"/>
      <c r="Z18" s="28"/>
      <c r="AA18" s="1"/>
    </row>
    <row r="19" ht="14.25" customHeight="1">
      <c r="A19" s="144" t="s">
        <v>30</v>
      </c>
      <c r="B19" s="145" t="s">
        <v>172</v>
      </c>
      <c r="C19" s="18"/>
      <c r="D19" s="20"/>
      <c r="E19" s="144">
        <v>4.0</v>
      </c>
      <c r="F19" s="144">
        <v>15.0</v>
      </c>
      <c r="G19" s="144"/>
      <c r="H19" s="144"/>
      <c r="I19" s="146"/>
      <c r="J19" s="9"/>
      <c r="M19" s="11" t="s">
        <v>57</v>
      </c>
      <c r="N19" s="12"/>
      <c r="O19" s="12"/>
      <c r="P19" s="12"/>
      <c r="Q19" s="12"/>
      <c r="R19" s="12"/>
      <c r="S19" s="12"/>
      <c r="T19" s="12"/>
      <c r="U19" s="12"/>
      <c r="V19" s="12"/>
      <c r="W19" s="13"/>
      <c r="Z19" s="28" t="s">
        <v>12</v>
      </c>
      <c r="AA19" s="1">
        <f>SUM(W9,W14,W21,W26,W31)</f>
        <v>26</v>
      </c>
    </row>
    <row r="20" ht="14.25" customHeight="1">
      <c r="B20" s="26"/>
      <c r="C20" s="29"/>
      <c r="D20" s="29"/>
      <c r="M20" s="25"/>
      <c r="N20" s="28" t="s">
        <v>16</v>
      </c>
      <c r="O20" s="28" t="s">
        <v>26</v>
      </c>
      <c r="P20" s="28" t="s">
        <v>27</v>
      </c>
      <c r="Q20" s="28" t="s">
        <v>28</v>
      </c>
      <c r="R20" s="28" t="s">
        <v>29</v>
      </c>
      <c r="S20" s="28" t="s">
        <v>30</v>
      </c>
      <c r="T20" s="28" t="s">
        <v>31</v>
      </c>
      <c r="U20" s="28" t="s">
        <v>32</v>
      </c>
      <c r="V20" s="28" t="s">
        <v>33</v>
      </c>
      <c r="W20" s="28" t="s">
        <v>12</v>
      </c>
    </row>
    <row r="21" ht="14.25" customHeight="1">
      <c r="M21" s="34" t="s">
        <v>36</v>
      </c>
      <c r="N21" s="35">
        <f>SUMIF($A39:$A49,"Pecho",$E39:$E49)</f>
        <v>4</v>
      </c>
      <c r="O21" s="35">
        <f>SUMIF($A39:$A49,"Espalda",$E39:$E49)</f>
        <v>3</v>
      </c>
      <c r="P21" s="35">
        <f>SUMIF($A39:$A49,"Hombros",$E39:$E49)</f>
        <v>3</v>
      </c>
      <c r="Q21" s="35">
        <f>SUMIF($A39:$A49,"Bíceps",$E39:$E49)</f>
        <v>3</v>
      </c>
      <c r="R21" s="35">
        <f>SUMIF($A39:$A49,"Tríceps",$E39:$E49)</f>
        <v>4</v>
      </c>
      <c r="S21" s="35">
        <f>SUMIF($A39:$A49,"Cuádriceps",$E39:$E49)</f>
        <v>4</v>
      </c>
      <c r="T21" s="35">
        <f>SUMIF($A39:$A49,"Isquios",$E39:$E49)</f>
        <v>0</v>
      </c>
      <c r="U21" s="35">
        <f>SUMIF($A39:$A49,"Glúteos",$E39:$E49)</f>
        <v>3</v>
      </c>
      <c r="V21" s="35">
        <f>SUMIF($A39:$A49,"Pantorrillas",$E39:$E49)</f>
        <v>3</v>
      </c>
      <c r="W21" s="35">
        <f>SUMIF($A39:$A49,"Otros",$E39:$E49)</f>
        <v>9</v>
      </c>
    </row>
    <row r="22" ht="14.25" customHeight="1">
      <c r="A22" s="2" t="s">
        <v>45</v>
      </c>
      <c r="B22" s="3"/>
      <c r="C22" s="4"/>
      <c r="J22" s="1"/>
      <c r="M22" s="34" t="s">
        <v>7</v>
      </c>
      <c r="N22" s="35">
        <f>AVERAGEIF($A39:$A49,"Pecho",$G39:$G49)</f>
        <v>8</v>
      </c>
      <c r="O22" s="35" t="str">
        <f>AVERAGEIF($A39:$A49,"Espalda",$G39:$G49)</f>
        <v>#DIV/0!</v>
      </c>
      <c r="P22" s="35" t="str">
        <f>AVERAGEIF($A39:$A49,"Hombros",$G39:$G49)</f>
        <v>#DIV/0!</v>
      </c>
      <c r="Q22" s="35" t="str">
        <f>AVERAGEIF($A39:$A49,"Bíceps",$G39:$G49)</f>
        <v>#DIV/0!</v>
      </c>
      <c r="R22" s="35" t="str">
        <f>AVERAGEIF($A39:$A49,"Tríceps",$G39:$G49)</f>
        <v>#DIV/0!</v>
      </c>
      <c r="S22" s="35" t="str">
        <f>AVERAGEIF($A39:$A49,"Cuádriceps",$G39:$G49)</f>
        <v>#DIV/0!</v>
      </c>
      <c r="T22" s="35" t="str">
        <f>AVERAGEIF($A39:$A49,"Isquios",$G39:$G49)</f>
        <v>#DIV/0!</v>
      </c>
      <c r="U22" s="35" t="str">
        <f>AVERAGEIF($A39:$A49,"Glúteos",$G39:$G49)</f>
        <v>#DIV/0!</v>
      </c>
      <c r="V22" s="35" t="str">
        <f>AVERAGEIF($A39:$A49,"Pantorrillas",$G39:$G49)</f>
        <v>#DIV/0!</v>
      </c>
      <c r="W22" s="35" t="str">
        <f>AVERAGEIF($A39:$A49,"Otros",$G39:$G49)</f>
        <v>#DIV/0!</v>
      </c>
    </row>
    <row r="23" ht="14.25" customHeight="1">
      <c r="A23" s="147" t="s">
        <v>2</v>
      </c>
      <c r="B23" s="148" t="s">
        <v>4</v>
      </c>
      <c r="C23" s="8"/>
      <c r="D23" s="9"/>
      <c r="E23" s="147" t="s">
        <v>5</v>
      </c>
      <c r="F23" s="147" t="s">
        <v>6</v>
      </c>
      <c r="G23" s="147" t="s">
        <v>7</v>
      </c>
      <c r="H23" s="147" t="s">
        <v>8</v>
      </c>
      <c r="I23" s="148" t="s">
        <v>9</v>
      </c>
      <c r="J23" s="9"/>
      <c r="M23" s="25"/>
      <c r="N23" s="25"/>
      <c r="O23" s="25"/>
      <c r="P23" s="25"/>
      <c r="Q23" s="25"/>
      <c r="R23" s="25"/>
      <c r="S23" s="25"/>
      <c r="T23" s="25"/>
      <c r="U23" s="25"/>
    </row>
    <row r="24" ht="14.25" customHeight="1">
      <c r="A24" s="149" t="s">
        <v>12</v>
      </c>
      <c r="B24" s="150" t="s">
        <v>619</v>
      </c>
      <c r="C24" s="18"/>
      <c r="D24" s="20"/>
      <c r="E24" s="149">
        <v>2.0</v>
      </c>
      <c r="F24" s="149">
        <v>10.0</v>
      </c>
      <c r="G24" s="149"/>
      <c r="H24" s="149"/>
      <c r="I24" s="151"/>
      <c r="J24" s="9"/>
      <c r="M24" s="11" t="s">
        <v>66</v>
      </c>
      <c r="N24" s="12"/>
      <c r="O24" s="12"/>
      <c r="P24" s="12"/>
      <c r="Q24" s="12"/>
      <c r="R24" s="12"/>
      <c r="S24" s="12"/>
      <c r="T24" s="12"/>
      <c r="U24" s="12"/>
      <c r="V24" s="12"/>
      <c r="W24" s="13"/>
    </row>
    <row r="25" ht="14.25" customHeight="1">
      <c r="A25" s="149" t="s">
        <v>12</v>
      </c>
      <c r="B25" s="150" t="s">
        <v>621</v>
      </c>
      <c r="C25" s="18"/>
      <c r="D25" s="20"/>
      <c r="E25" s="149">
        <v>3.0</v>
      </c>
      <c r="F25" s="149" t="s">
        <v>289</v>
      </c>
      <c r="G25" s="149"/>
      <c r="H25" s="149"/>
      <c r="I25" s="151"/>
      <c r="J25" s="9"/>
      <c r="M25" s="25"/>
      <c r="N25" s="28" t="s">
        <v>16</v>
      </c>
      <c r="O25" s="28" t="s">
        <v>26</v>
      </c>
      <c r="P25" s="28" t="s">
        <v>27</v>
      </c>
      <c r="Q25" s="28" t="s">
        <v>28</v>
      </c>
      <c r="R25" s="28" t="s">
        <v>29</v>
      </c>
      <c r="S25" s="28" t="s">
        <v>30</v>
      </c>
      <c r="T25" s="28" t="s">
        <v>31</v>
      </c>
      <c r="U25" s="28" t="s">
        <v>32</v>
      </c>
      <c r="V25" s="28" t="s">
        <v>33</v>
      </c>
      <c r="W25" s="28" t="s">
        <v>12</v>
      </c>
    </row>
    <row r="26" ht="14.25" customHeight="1">
      <c r="A26" s="149" t="s">
        <v>12</v>
      </c>
      <c r="B26" s="150" t="s">
        <v>622</v>
      </c>
      <c r="C26" s="18"/>
      <c r="D26" s="20"/>
      <c r="E26" s="149">
        <v>3.0</v>
      </c>
      <c r="F26" s="149">
        <v>10.0</v>
      </c>
      <c r="G26" s="149"/>
      <c r="H26" s="149"/>
      <c r="I26" s="151"/>
      <c r="J26" s="9"/>
      <c r="M26" s="34" t="s">
        <v>36</v>
      </c>
      <c r="N26" s="35">
        <f>SUMIF($A54:$A63,"Pecho",$E54:$E63)</f>
        <v>0</v>
      </c>
      <c r="O26" s="35">
        <f>SUMIF($A54:$A63,"Espalda",$E54:$E63)</f>
        <v>0</v>
      </c>
      <c r="P26" s="35">
        <f>SUMIF($A54:$A63,"Hombros",$E54:$E63)</f>
        <v>0</v>
      </c>
      <c r="Q26" s="35">
        <f>SUMIF($A54:$A63,"Bíceps",$E54:$E63)</f>
        <v>0</v>
      </c>
      <c r="R26" s="35">
        <f>SUMIF($A54:$A63,"Tríceps",$E54:$E63)</f>
        <v>0</v>
      </c>
      <c r="S26" s="35">
        <f>SUMIF($A54:$A63,"Cuádriceps",$E54:$E63)</f>
        <v>0</v>
      </c>
      <c r="T26" s="35">
        <f>SUMIF($A54:$A63,"Isquios",$E54:$E63)</f>
        <v>0</v>
      </c>
      <c r="U26" s="35">
        <f>SUMIF($A54:$A63,"Glúteos",$E54:$E63)</f>
        <v>0</v>
      </c>
      <c r="V26" s="35">
        <f>SUMIF($A54:$A63,"Pantorrillas",$E54:$E63)</f>
        <v>0</v>
      </c>
      <c r="W26" s="35">
        <f>SUMIF($A54:$A63,"Otros",$E54:$E63)</f>
        <v>0</v>
      </c>
    </row>
    <row r="27" ht="14.25" customHeight="1">
      <c r="A27" s="158" t="s">
        <v>30</v>
      </c>
      <c r="B27" s="159" t="s">
        <v>623</v>
      </c>
      <c r="C27" s="18"/>
      <c r="D27" s="20"/>
      <c r="E27" s="158">
        <v>4.0</v>
      </c>
      <c r="F27" s="158">
        <v>10.0</v>
      </c>
      <c r="G27" s="158">
        <v>8.0</v>
      </c>
      <c r="H27" s="158" t="s">
        <v>55</v>
      </c>
      <c r="I27" s="160"/>
      <c r="J27" s="9"/>
      <c r="M27" s="34" t="s">
        <v>7</v>
      </c>
      <c r="N27" s="35" t="str">
        <f>AVERAGEIF($A54:$A63,"Pecho",$G54:$G63)</f>
        <v>#DIV/0!</v>
      </c>
      <c r="O27" s="35" t="str">
        <f>AVERAGEIF($A54:$A63,"Espalda",$G54:$G63)</f>
        <v>#DIV/0!</v>
      </c>
      <c r="P27" s="35" t="str">
        <f>AVERAGEIF($A54:$A63,"Hombros",$G54:$G63)</f>
        <v>#DIV/0!</v>
      </c>
      <c r="Q27" s="35" t="str">
        <f>AVERAGEIF($A54:$A63,"Bíceps",$G54:$G63)</f>
        <v>#DIV/0!</v>
      </c>
      <c r="R27" s="35" t="str">
        <f>AVERAGEIF($A54:$A63,"Tríceps",$G54:$G63)</f>
        <v>#DIV/0!</v>
      </c>
      <c r="S27" s="35" t="str">
        <f>AVERAGEIF($A54:$A63,"Cuádriceps",$G54:$G63)</f>
        <v>#DIV/0!</v>
      </c>
      <c r="T27" s="35" t="str">
        <f>AVERAGEIF($A54:$A63,"Isquios",$G54:$G63)</f>
        <v>#DIV/0!</v>
      </c>
      <c r="U27" s="35" t="str">
        <f>AVERAGEIF($A54:$A63,"Glúteos",$G54:$G63)</f>
        <v>#DIV/0!</v>
      </c>
      <c r="V27" s="35" t="str">
        <f>AVERAGEIF($A54:$A63,"Pantorrillas",$G54:$G63)</f>
        <v>#DIV/0!</v>
      </c>
      <c r="W27" s="35" t="str">
        <f>AVERAGEIF($A54:$A63,"Otros",$G54:$G63)</f>
        <v>#DIV/0!</v>
      </c>
    </row>
    <row r="28" ht="14.25" customHeight="1">
      <c r="A28" s="158" t="s">
        <v>26</v>
      </c>
      <c r="B28" s="159" t="s">
        <v>627</v>
      </c>
      <c r="C28" s="18"/>
      <c r="D28" s="20"/>
      <c r="E28" s="158">
        <v>4.0</v>
      </c>
      <c r="F28" s="158">
        <v>12.0</v>
      </c>
      <c r="G28" s="158"/>
      <c r="H28" s="158"/>
      <c r="I28" s="160"/>
      <c r="J28" s="9"/>
      <c r="M28" s="25"/>
      <c r="N28" s="25"/>
      <c r="O28" s="25"/>
      <c r="P28" s="25"/>
      <c r="Q28" s="25"/>
      <c r="R28" s="25"/>
      <c r="S28" s="25"/>
      <c r="T28" s="25"/>
      <c r="U28" s="25"/>
    </row>
    <row r="29" ht="14.25" customHeight="1">
      <c r="A29" s="144" t="s">
        <v>31</v>
      </c>
      <c r="B29" s="145" t="s">
        <v>198</v>
      </c>
      <c r="C29" s="18"/>
      <c r="D29" s="20"/>
      <c r="E29" s="144">
        <v>4.0</v>
      </c>
      <c r="F29" s="144">
        <v>10.0</v>
      </c>
      <c r="G29" s="144"/>
      <c r="H29" s="144"/>
      <c r="I29" s="146"/>
      <c r="J29" s="9"/>
      <c r="M29" s="11" t="s">
        <v>76</v>
      </c>
      <c r="N29" s="12"/>
      <c r="O29" s="12"/>
      <c r="P29" s="12"/>
      <c r="Q29" s="12"/>
      <c r="R29" s="12"/>
      <c r="S29" s="12"/>
      <c r="T29" s="12"/>
      <c r="U29" s="12"/>
      <c r="V29" s="12"/>
      <c r="W29" s="13"/>
    </row>
    <row r="30" ht="14.25" customHeight="1">
      <c r="A30" s="144" t="s">
        <v>26</v>
      </c>
      <c r="B30" s="145" t="s">
        <v>630</v>
      </c>
      <c r="C30" s="18"/>
      <c r="D30" s="20"/>
      <c r="E30" s="144">
        <v>3.0</v>
      </c>
      <c r="F30" s="144">
        <v>10.0</v>
      </c>
      <c r="G30" s="144"/>
      <c r="H30" s="144"/>
      <c r="I30" s="146"/>
      <c r="J30" s="9"/>
      <c r="M30" s="25"/>
      <c r="N30" s="28" t="s">
        <v>16</v>
      </c>
      <c r="O30" s="28" t="s">
        <v>26</v>
      </c>
      <c r="P30" s="28" t="s">
        <v>27</v>
      </c>
      <c r="Q30" s="28" t="s">
        <v>28</v>
      </c>
      <c r="R30" s="28" t="s">
        <v>29</v>
      </c>
      <c r="S30" s="28" t="s">
        <v>30</v>
      </c>
      <c r="T30" s="28" t="s">
        <v>31</v>
      </c>
      <c r="U30" s="28" t="s">
        <v>32</v>
      </c>
      <c r="V30" s="28" t="s">
        <v>33</v>
      </c>
      <c r="W30" s="28" t="s">
        <v>12</v>
      </c>
    </row>
    <row r="31" ht="14.25" customHeight="1">
      <c r="A31" s="158" t="s">
        <v>27</v>
      </c>
      <c r="B31" s="159" t="s">
        <v>631</v>
      </c>
      <c r="C31" s="18"/>
      <c r="D31" s="20"/>
      <c r="E31" s="158">
        <v>3.0</v>
      </c>
      <c r="F31" s="158">
        <v>10.0</v>
      </c>
      <c r="G31" s="158"/>
      <c r="H31" s="158"/>
      <c r="I31" s="160"/>
      <c r="J31" s="9"/>
      <c r="M31" s="34" t="s">
        <v>36</v>
      </c>
      <c r="N31" s="35">
        <f>SUMIF($A68:$A77,"Pecho",$E68:$E77)</f>
        <v>0</v>
      </c>
      <c r="O31" s="35">
        <f>SUMIF($A68:$A77,"Espalda",$E68:$E77)</f>
        <v>0</v>
      </c>
      <c r="P31" s="35">
        <f>SUMIF($A68:$A77,"Hombros",$E68:$E77)</f>
        <v>0</v>
      </c>
      <c r="Q31" s="35">
        <f>SUMIF($A68:$A77,"Bíceps",$E68:$E77)</f>
        <v>0</v>
      </c>
      <c r="R31" s="35">
        <f>SUMIF($A68:$A77,"Tríceps",$E68:$E77)</f>
        <v>0</v>
      </c>
      <c r="S31" s="35">
        <f>SUMIF($A68:$A77,"Cuádriceps",$E68:$E77)</f>
        <v>0</v>
      </c>
      <c r="T31" s="35">
        <f>SUMIF($A68:$A77,"Isquios",$E68:$E77)</f>
        <v>0</v>
      </c>
      <c r="U31" s="35">
        <f>SUMIF($A68:$A77,"Glúteos",$E68:$E77)</f>
        <v>0</v>
      </c>
      <c r="V31" s="35">
        <f>SUMIF($A68:$A77,"Pantorrillas",$E68:$E77)</f>
        <v>0</v>
      </c>
      <c r="W31" s="35">
        <f>SUMIF($A68:$A77,"Otros",$E68:$E77)</f>
        <v>0</v>
      </c>
    </row>
    <row r="32" ht="14.25" customHeight="1">
      <c r="A32" s="158" t="s">
        <v>26</v>
      </c>
      <c r="B32" s="159" t="s">
        <v>636</v>
      </c>
      <c r="C32" s="18"/>
      <c r="D32" s="20"/>
      <c r="E32" s="158">
        <v>4.0</v>
      </c>
      <c r="F32" s="158">
        <v>10.0</v>
      </c>
      <c r="G32" s="158"/>
      <c r="H32" s="158"/>
      <c r="I32" s="160"/>
      <c r="J32" s="9"/>
      <c r="M32" s="34" t="s">
        <v>7</v>
      </c>
      <c r="N32" s="35" t="str">
        <f>AVERAGEIF($A68:$A77,"Pecho",$G68:$G77)</f>
        <v>#DIV/0!</v>
      </c>
      <c r="O32" s="35" t="str">
        <f>AVERAGEIF($A68:$A77,"Espalda",$G68:$G77)</f>
        <v>#DIV/0!</v>
      </c>
      <c r="P32" s="35" t="str">
        <f>AVERAGEIF($A68:$A77,"Hombros",$G68:$G77)</f>
        <v>#DIV/0!</v>
      </c>
      <c r="Q32" s="35" t="str">
        <f>AVERAGEIF($A68:$A77,"Bíceps",$G68:$G77)</f>
        <v>#DIV/0!</v>
      </c>
      <c r="R32" s="35" t="str">
        <f>AVERAGEIF($A68:$A77,"Tríceps",$G68:$G77)</f>
        <v>#DIV/0!</v>
      </c>
      <c r="S32" s="35" t="str">
        <f>AVERAGEIF($A68:$A77,"Cuádriceps",$G68:$G77)</f>
        <v>#DIV/0!</v>
      </c>
      <c r="T32" s="35" t="str">
        <f>AVERAGEIF($A68:$A77,"Isquios",$G68:$G77)</f>
        <v>#DIV/0!</v>
      </c>
      <c r="U32" s="35" t="str">
        <f>AVERAGEIF($A68:$A77,"Glúteos",$G68:$G77)</f>
        <v>#DIV/0!</v>
      </c>
      <c r="V32" s="35" t="str">
        <f>AVERAGEIF($A68:$A77,"Pantorrillas",$G68:$G77)</f>
        <v>#DIV/0!</v>
      </c>
      <c r="W32" s="35" t="str">
        <f>AVERAGEIF($A68:$A77,"Otros",$G68:$G77)</f>
        <v>#DIV/0!</v>
      </c>
    </row>
    <row r="33" ht="14.25" customHeight="1">
      <c r="A33" s="144" t="s">
        <v>26</v>
      </c>
      <c r="B33" s="165" t="s">
        <v>639</v>
      </c>
      <c r="C33" s="8"/>
      <c r="D33" s="9"/>
      <c r="E33" s="144">
        <v>3.0</v>
      </c>
      <c r="F33" s="144">
        <v>10.0</v>
      </c>
      <c r="G33" s="144"/>
      <c r="H33" s="144"/>
      <c r="I33" s="146"/>
      <c r="J33" s="9"/>
    </row>
    <row r="34" ht="14.25" customHeight="1">
      <c r="A34" s="166" t="s">
        <v>31</v>
      </c>
      <c r="B34" s="146" t="s">
        <v>641</v>
      </c>
      <c r="C34" s="8"/>
      <c r="D34" s="9"/>
      <c r="E34" s="144">
        <v>3.0</v>
      </c>
      <c r="F34" s="166">
        <v>12.0</v>
      </c>
      <c r="G34" s="166"/>
      <c r="H34" s="166"/>
      <c r="I34" s="167"/>
      <c r="J34" s="166"/>
    </row>
    <row r="35" ht="14.25" customHeight="1">
      <c r="B35" s="26"/>
      <c r="C35" s="29"/>
      <c r="D35" s="29"/>
    </row>
    <row r="36" ht="14.25" customHeight="1"/>
    <row r="37" ht="14.25" customHeight="1">
      <c r="A37" s="2" t="s">
        <v>57</v>
      </c>
      <c r="B37" s="3"/>
      <c r="C37" s="4"/>
      <c r="J37" s="1"/>
    </row>
    <row r="38" ht="14.25" customHeight="1">
      <c r="A38" s="147" t="s">
        <v>2</v>
      </c>
      <c r="B38" s="148" t="s">
        <v>4</v>
      </c>
      <c r="C38" s="8"/>
      <c r="D38" s="9"/>
      <c r="E38" s="147" t="s">
        <v>5</v>
      </c>
      <c r="F38" s="147" t="s">
        <v>6</v>
      </c>
      <c r="G38" s="147" t="s">
        <v>7</v>
      </c>
      <c r="H38" s="147" t="s">
        <v>8</v>
      </c>
      <c r="I38" s="148" t="s">
        <v>9</v>
      </c>
      <c r="J38" s="9"/>
    </row>
    <row r="39" ht="14.25" customHeight="1">
      <c r="A39" s="149" t="s">
        <v>12</v>
      </c>
      <c r="B39" s="150" t="s">
        <v>642</v>
      </c>
      <c r="C39" s="18"/>
      <c r="D39" s="20"/>
      <c r="E39" s="149">
        <v>3.0</v>
      </c>
      <c r="F39" s="149">
        <v>10.0</v>
      </c>
      <c r="G39" s="149"/>
      <c r="H39" s="149"/>
      <c r="I39" s="151"/>
      <c r="J39" s="9"/>
    </row>
    <row r="40" ht="14.25" customHeight="1">
      <c r="A40" s="149" t="s">
        <v>12</v>
      </c>
      <c r="B40" s="150" t="s">
        <v>643</v>
      </c>
      <c r="C40" s="18"/>
      <c r="D40" s="20"/>
      <c r="E40" s="149">
        <v>3.0</v>
      </c>
      <c r="F40" s="149">
        <v>12.0</v>
      </c>
      <c r="G40" s="149"/>
      <c r="H40" s="149"/>
      <c r="I40" s="151"/>
      <c r="J40" s="9"/>
    </row>
    <row r="41" ht="14.25" customHeight="1">
      <c r="A41" s="149" t="s">
        <v>12</v>
      </c>
      <c r="B41" s="150" t="s">
        <v>644</v>
      </c>
      <c r="C41" s="18"/>
      <c r="D41" s="20"/>
      <c r="E41" s="149">
        <v>3.0</v>
      </c>
      <c r="F41" s="149">
        <v>12.0</v>
      </c>
      <c r="G41" s="149"/>
      <c r="H41" s="149"/>
      <c r="I41" s="151"/>
      <c r="J41" s="9"/>
    </row>
    <row r="42" ht="14.25" customHeight="1">
      <c r="A42" s="144" t="s">
        <v>16</v>
      </c>
      <c r="B42" s="145" t="s">
        <v>226</v>
      </c>
      <c r="C42" s="18"/>
      <c r="D42" s="20"/>
      <c r="E42" s="144">
        <v>4.0</v>
      </c>
      <c r="F42" s="144">
        <v>10.0</v>
      </c>
      <c r="G42" s="144">
        <v>8.0</v>
      </c>
      <c r="H42" s="144" t="s">
        <v>55</v>
      </c>
      <c r="I42" s="146"/>
      <c r="J42" s="9"/>
    </row>
    <row r="43" ht="14.25" customHeight="1">
      <c r="A43" s="144" t="s">
        <v>32</v>
      </c>
      <c r="B43" s="145" t="s">
        <v>645</v>
      </c>
      <c r="C43" s="18"/>
      <c r="D43" s="20"/>
      <c r="E43" s="144">
        <v>3.0</v>
      </c>
      <c r="F43" s="144">
        <v>12.0</v>
      </c>
      <c r="G43" s="144"/>
      <c r="H43" s="144"/>
      <c r="I43" s="146"/>
      <c r="J43" s="9"/>
    </row>
    <row r="44" ht="14.25" customHeight="1">
      <c r="A44" s="158" t="s">
        <v>29</v>
      </c>
      <c r="B44" s="159" t="s">
        <v>646</v>
      </c>
      <c r="C44" s="18"/>
      <c r="D44" s="20"/>
      <c r="E44" s="158">
        <v>4.0</v>
      </c>
      <c r="F44" s="158">
        <v>12.0</v>
      </c>
      <c r="G44" s="158"/>
      <c r="H44" s="158"/>
      <c r="I44" s="160"/>
      <c r="J44" s="9"/>
    </row>
    <row r="45" ht="14.25" customHeight="1">
      <c r="A45" s="158" t="s">
        <v>30</v>
      </c>
      <c r="B45" s="159" t="s">
        <v>647</v>
      </c>
      <c r="C45" s="18"/>
      <c r="D45" s="20"/>
      <c r="E45" s="158">
        <v>4.0</v>
      </c>
      <c r="F45" s="158">
        <v>10.0</v>
      </c>
      <c r="G45" s="158"/>
      <c r="H45" s="158"/>
      <c r="I45" s="160"/>
      <c r="J45" s="9"/>
    </row>
    <row r="46" ht="14.25" customHeight="1">
      <c r="A46" s="144" t="s">
        <v>27</v>
      </c>
      <c r="B46" s="145" t="s">
        <v>648</v>
      </c>
      <c r="C46" s="18"/>
      <c r="D46" s="20"/>
      <c r="E46" s="144">
        <v>3.0</v>
      </c>
      <c r="F46" s="144">
        <v>12.0</v>
      </c>
      <c r="G46" s="144"/>
      <c r="H46" s="144"/>
      <c r="I46" s="146"/>
      <c r="J46" s="9"/>
    </row>
    <row r="47" ht="14.25" customHeight="1">
      <c r="A47" s="144" t="s">
        <v>28</v>
      </c>
      <c r="B47" s="145" t="s">
        <v>649</v>
      </c>
      <c r="C47" s="18"/>
      <c r="D47" s="20"/>
      <c r="E47" s="144">
        <v>3.0</v>
      </c>
      <c r="F47" s="144" t="s">
        <v>178</v>
      </c>
      <c r="G47" s="144"/>
      <c r="H47" s="144"/>
      <c r="I47" s="146"/>
      <c r="J47" s="9"/>
    </row>
    <row r="48" ht="14.25" customHeight="1">
      <c r="A48" s="158" t="s">
        <v>26</v>
      </c>
      <c r="B48" s="168" t="s">
        <v>650</v>
      </c>
      <c r="C48" s="8"/>
      <c r="D48" s="9"/>
      <c r="E48" s="158">
        <v>3.0</v>
      </c>
      <c r="F48" s="158">
        <v>12.0</v>
      </c>
      <c r="G48" s="158"/>
      <c r="H48" s="158"/>
      <c r="I48" s="169"/>
      <c r="J48" s="170"/>
    </row>
    <row r="49" ht="14.25" customHeight="1">
      <c r="A49" s="158" t="s">
        <v>33</v>
      </c>
      <c r="B49" s="168" t="s">
        <v>651</v>
      </c>
      <c r="C49" s="8"/>
      <c r="D49" s="9"/>
      <c r="E49" s="158">
        <v>3.0</v>
      </c>
      <c r="F49" s="158">
        <v>12.0</v>
      </c>
      <c r="G49" s="158"/>
      <c r="H49" s="158"/>
      <c r="I49" s="160"/>
      <c r="J49" s="9"/>
    </row>
    <row r="50" ht="14.25" customHeight="1">
      <c r="B50" s="26"/>
      <c r="C50" s="29"/>
      <c r="D50" s="29"/>
    </row>
    <row r="51" ht="14.25" customHeight="1"/>
    <row r="52" ht="14.25" customHeight="1">
      <c r="A52" s="2" t="s">
        <v>66</v>
      </c>
      <c r="B52" s="3"/>
      <c r="C52" s="4"/>
      <c r="J52" s="1"/>
    </row>
    <row r="53" ht="14.25" customHeight="1">
      <c r="A53" s="6" t="s">
        <v>2</v>
      </c>
      <c r="B53" s="10" t="s">
        <v>4</v>
      </c>
      <c r="C53" s="8"/>
      <c r="D53" s="9"/>
      <c r="E53" s="6" t="s">
        <v>5</v>
      </c>
      <c r="F53" s="6" t="s">
        <v>6</v>
      </c>
      <c r="G53" s="6" t="s">
        <v>7</v>
      </c>
      <c r="H53" s="6" t="s">
        <v>8</v>
      </c>
      <c r="I53" s="10" t="s">
        <v>9</v>
      </c>
      <c r="J53" s="9"/>
    </row>
    <row r="54" ht="14.25" customHeight="1">
      <c r="A54" s="16"/>
      <c r="B54" s="26"/>
      <c r="C54" s="29"/>
      <c r="D54" s="29"/>
      <c r="E54" s="16"/>
      <c r="F54" s="16"/>
      <c r="G54" s="16"/>
      <c r="H54" s="16"/>
      <c r="I54" s="24"/>
      <c r="J54" s="9"/>
    </row>
    <row r="55" ht="14.25" customHeight="1">
      <c r="A55" s="16"/>
      <c r="B55" s="26"/>
      <c r="C55" s="29"/>
      <c r="D55" s="29"/>
      <c r="E55" s="16"/>
      <c r="F55" s="16"/>
      <c r="G55" s="16"/>
      <c r="H55" s="16"/>
      <c r="I55" s="24"/>
      <c r="J55" s="9"/>
    </row>
    <row r="56" ht="14.25" customHeight="1">
      <c r="A56" s="16" t="s">
        <v>12</v>
      </c>
      <c r="B56" s="26" t="s">
        <v>329</v>
      </c>
      <c r="C56" s="29"/>
      <c r="D56" s="29"/>
      <c r="E56" s="16"/>
      <c r="F56" s="16">
        <v>10.0</v>
      </c>
      <c r="G56" s="16"/>
      <c r="H56" s="16"/>
      <c r="I56" s="24"/>
      <c r="J56" s="9"/>
    </row>
    <row r="57" ht="14.25" customHeight="1">
      <c r="A57" s="16" t="s">
        <v>31</v>
      </c>
      <c r="B57" s="30" t="s">
        <v>331</v>
      </c>
      <c r="C57" s="18"/>
      <c r="D57" s="20"/>
      <c r="E57" s="27"/>
      <c r="F57" s="27">
        <v>10.0</v>
      </c>
      <c r="G57" s="27"/>
      <c r="H57" s="27"/>
      <c r="I57" s="24"/>
      <c r="J57" s="9"/>
    </row>
    <row r="58" ht="14.25" customHeight="1">
      <c r="A58" s="16" t="s">
        <v>32</v>
      </c>
      <c r="B58" s="30" t="s">
        <v>333</v>
      </c>
      <c r="C58" s="18"/>
      <c r="D58" s="20"/>
      <c r="E58" s="27"/>
      <c r="F58" s="27" t="s">
        <v>278</v>
      </c>
      <c r="G58" s="27"/>
      <c r="H58" s="27"/>
      <c r="I58" s="24"/>
      <c r="J58" s="9"/>
    </row>
    <row r="59" ht="14.25" customHeight="1">
      <c r="A59" s="16" t="s">
        <v>26</v>
      </c>
      <c r="B59" s="30" t="s">
        <v>335</v>
      </c>
      <c r="C59" s="18"/>
      <c r="D59" s="20"/>
      <c r="E59" s="27"/>
      <c r="F59" s="27">
        <v>8.0</v>
      </c>
      <c r="G59" s="27"/>
      <c r="H59" s="27"/>
      <c r="I59" s="24"/>
      <c r="J59" s="9"/>
    </row>
    <row r="60" ht="14.25" customHeight="1">
      <c r="A60" s="16" t="s">
        <v>32</v>
      </c>
      <c r="B60" s="30" t="s">
        <v>338</v>
      </c>
      <c r="C60" s="18"/>
      <c r="D60" s="20"/>
      <c r="E60" s="27"/>
      <c r="F60" s="27">
        <v>8.0</v>
      </c>
      <c r="G60" s="27"/>
      <c r="H60" s="27"/>
      <c r="I60" s="24"/>
      <c r="J60" s="9"/>
    </row>
    <row r="61" ht="14.25" customHeight="1">
      <c r="A61" s="16" t="s">
        <v>26</v>
      </c>
      <c r="B61" s="30" t="s">
        <v>340</v>
      </c>
      <c r="C61" s="18"/>
      <c r="D61" s="20"/>
      <c r="E61" s="27"/>
      <c r="F61" s="27">
        <v>10.0</v>
      </c>
      <c r="G61" s="27"/>
      <c r="H61" s="27"/>
      <c r="I61" s="24"/>
      <c r="J61" s="9"/>
    </row>
    <row r="62" ht="14.25" customHeight="1">
      <c r="A62" s="16" t="s">
        <v>28</v>
      </c>
      <c r="B62" s="30" t="s">
        <v>341</v>
      </c>
      <c r="C62" s="18"/>
      <c r="D62" s="20"/>
      <c r="E62" s="27"/>
      <c r="F62" s="27"/>
      <c r="G62" s="27"/>
      <c r="H62" s="27"/>
      <c r="I62" s="24"/>
      <c r="J62" s="9"/>
    </row>
    <row r="63" ht="14.25" customHeight="1">
      <c r="A63" s="16" t="s">
        <v>33</v>
      </c>
      <c r="B63" s="60" t="s">
        <v>342</v>
      </c>
      <c r="C63" s="8"/>
      <c r="D63" s="9"/>
      <c r="E63" s="27"/>
      <c r="F63" s="27">
        <v>10.0</v>
      </c>
      <c r="G63" s="27"/>
      <c r="H63" s="27"/>
      <c r="I63" s="24"/>
      <c r="J63" s="9"/>
    </row>
    <row r="64" ht="14.25" customHeight="1">
      <c r="B64" s="26"/>
      <c r="C64" s="29"/>
      <c r="D64" s="29"/>
    </row>
    <row r="65" ht="14.25" customHeight="1"/>
    <row r="66" ht="14.25" customHeight="1">
      <c r="A66" s="2" t="s">
        <v>76</v>
      </c>
      <c r="B66" s="3"/>
      <c r="C66" s="4"/>
      <c r="J66" s="1"/>
    </row>
    <row r="67" ht="14.25" customHeight="1">
      <c r="A67" s="6" t="s">
        <v>2</v>
      </c>
      <c r="B67" s="10" t="s">
        <v>4</v>
      </c>
      <c r="C67" s="8"/>
      <c r="D67" s="9"/>
      <c r="E67" s="6" t="s">
        <v>5</v>
      </c>
      <c r="F67" s="6" t="s">
        <v>6</v>
      </c>
      <c r="G67" s="6" t="s">
        <v>7</v>
      </c>
      <c r="H67" s="6" t="s">
        <v>8</v>
      </c>
      <c r="I67" s="10" t="s">
        <v>9</v>
      </c>
      <c r="J67" s="9"/>
    </row>
    <row r="68" ht="14.25" customHeight="1">
      <c r="A68" s="16"/>
      <c r="B68" s="26"/>
      <c r="C68" s="29"/>
      <c r="D68" s="29"/>
      <c r="E68" s="16"/>
      <c r="F68" s="16"/>
      <c r="G68" s="16"/>
      <c r="H68" s="16"/>
      <c r="I68" s="24"/>
      <c r="J68" s="9"/>
    </row>
    <row r="69" ht="14.25" customHeight="1">
      <c r="A69" s="16"/>
      <c r="B69" s="26"/>
      <c r="C69" s="29"/>
      <c r="D69" s="29"/>
      <c r="E69" s="16"/>
      <c r="F69" s="16"/>
      <c r="G69" s="16"/>
      <c r="H69" s="16"/>
      <c r="I69" s="24"/>
      <c r="J69" s="9"/>
    </row>
    <row r="70" ht="14.25" customHeight="1">
      <c r="A70" s="16"/>
      <c r="B70" s="26"/>
      <c r="C70" s="29"/>
      <c r="D70" s="29"/>
      <c r="E70" s="16"/>
      <c r="F70" s="16"/>
      <c r="G70" s="16"/>
      <c r="H70" s="16"/>
      <c r="I70" s="24"/>
      <c r="J70" s="9"/>
    </row>
    <row r="71" ht="14.25" customHeight="1">
      <c r="A71" s="16"/>
      <c r="B71" s="26"/>
      <c r="C71" s="29"/>
      <c r="D71" s="29"/>
      <c r="E71" s="16"/>
      <c r="F71" s="16"/>
      <c r="G71" s="16"/>
      <c r="H71" s="16"/>
      <c r="I71" s="24"/>
      <c r="J71" s="9"/>
    </row>
    <row r="72" ht="14.25" customHeight="1">
      <c r="A72" s="16"/>
      <c r="B72" s="26"/>
      <c r="C72" s="29"/>
      <c r="D72" s="29"/>
      <c r="E72" s="16"/>
      <c r="F72" s="16"/>
      <c r="G72" s="16"/>
      <c r="H72" s="16"/>
      <c r="I72" s="24"/>
      <c r="J72" s="9"/>
    </row>
    <row r="73" ht="14.25" customHeight="1">
      <c r="A73" s="16"/>
      <c r="B73" s="26"/>
      <c r="C73" s="29"/>
      <c r="D73" s="29"/>
      <c r="E73" s="16"/>
      <c r="F73" s="16"/>
      <c r="G73" s="16"/>
      <c r="H73" s="16"/>
      <c r="I73" s="24"/>
      <c r="J73" s="9"/>
    </row>
    <row r="74" ht="14.25" customHeight="1">
      <c r="A74" s="16"/>
      <c r="B74" s="26"/>
      <c r="C74" s="29"/>
      <c r="D74" s="29"/>
      <c r="E74" s="16"/>
      <c r="F74" s="16"/>
      <c r="G74" s="16"/>
      <c r="H74" s="16"/>
      <c r="I74" s="24"/>
      <c r="J74" s="9"/>
    </row>
    <row r="75" ht="14.25" customHeight="1">
      <c r="A75" s="16"/>
      <c r="B75" s="26"/>
      <c r="C75" s="29"/>
      <c r="D75" s="29"/>
      <c r="E75" s="16"/>
      <c r="F75" s="16"/>
      <c r="G75" s="16"/>
      <c r="H75" s="16"/>
      <c r="I75" s="24"/>
      <c r="J75" s="9"/>
    </row>
    <row r="76" ht="14.25" customHeight="1">
      <c r="A76" s="16"/>
      <c r="B76" s="26"/>
      <c r="C76" s="29"/>
      <c r="D76" s="29"/>
      <c r="E76" s="16"/>
      <c r="F76" s="16"/>
      <c r="G76" s="16"/>
      <c r="H76" s="16"/>
      <c r="I76" s="24"/>
      <c r="J76" s="9"/>
    </row>
    <row r="77" ht="14.25" customHeight="1">
      <c r="A77" s="16"/>
      <c r="B77" s="58"/>
      <c r="C77" s="8"/>
      <c r="D77" s="9"/>
      <c r="E77" s="16"/>
      <c r="F77" s="16"/>
      <c r="G77" s="16"/>
      <c r="H77" s="16"/>
      <c r="I77" s="24"/>
      <c r="J77" s="9"/>
    </row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9">
    <mergeCell ref="A6:C6"/>
    <mergeCell ref="B7:D7"/>
    <mergeCell ref="I7:J7"/>
    <mergeCell ref="M7:W7"/>
    <mergeCell ref="Z7:AB7"/>
    <mergeCell ref="B8:D8"/>
    <mergeCell ref="B9:D9"/>
    <mergeCell ref="I12:J12"/>
    <mergeCell ref="M12:W12"/>
    <mergeCell ref="I11:J11"/>
    <mergeCell ref="I13:J13"/>
    <mergeCell ref="I8:J8"/>
    <mergeCell ref="I9:J9"/>
    <mergeCell ref="B10:D10"/>
    <mergeCell ref="I10:J10"/>
    <mergeCell ref="B11:D11"/>
    <mergeCell ref="B12:D12"/>
    <mergeCell ref="B13:D13"/>
    <mergeCell ref="B14:D14"/>
    <mergeCell ref="I14:J14"/>
    <mergeCell ref="B15:D15"/>
    <mergeCell ref="I15:J15"/>
    <mergeCell ref="B16:D16"/>
    <mergeCell ref="I16:J16"/>
    <mergeCell ref="B17:D17"/>
    <mergeCell ref="B18:D18"/>
    <mergeCell ref="B19:D19"/>
    <mergeCell ref="I19:J19"/>
    <mergeCell ref="M19:W19"/>
    <mergeCell ref="B20:D20"/>
    <mergeCell ref="A22:C22"/>
    <mergeCell ref="I23:J23"/>
    <mergeCell ref="M24:W24"/>
    <mergeCell ref="B28:D28"/>
    <mergeCell ref="I28:J28"/>
    <mergeCell ref="M29:W29"/>
    <mergeCell ref="B47:D47"/>
    <mergeCell ref="B48:D48"/>
    <mergeCell ref="B49:D49"/>
    <mergeCell ref="B50:D50"/>
    <mergeCell ref="A52:C52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70:D70"/>
    <mergeCell ref="B71:D71"/>
    <mergeCell ref="B72:D72"/>
    <mergeCell ref="B73:D73"/>
    <mergeCell ref="B74:D74"/>
    <mergeCell ref="B75:D75"/>
    <mergeCell ref="B76:D76"/>
    <mergeCell ref="B77:D77"/>
    <mergeCell ref="B62:D62"/>
    <mergeCell ref="B63:D63"/>
    <mergeCell ref="B64:D64"/>
    <mergeCell ref="A66:C66"/>
    <mergeCell ref="B67:D67"/>
    <mergeCell ref="B68:D68"/>
    <mergeCell ref="B69:D69"/>
    <mergeCell ref="I71:J71"/>
    <mergeCell ref="I72:J72"/>
    <mergeCell ref="I73:J73"/>
    <mergeCell ref="I74:J74"/>
    <mergeCell ref="I75:J75"/>
    <mergeCell ref="I76:J76"/>
    <mergeCell ref="I77:J77"/>
    <mergeCell ref="I61:J61"/>
    <mergeCell ref="I62:J62"/>
    <mergeCell ref="I63:J63"/>
    <mergeCell ref="I67:J67"/>
    <mergeCell ref="I68:J68"/>
    <mergeCell ref="I69:J69"/>
    <mergeCell ref="I70:J70"/>
    <mergeCell ref="B23:D23"/>
    <mergeCell ref="B24:D24"/>
    <mergeCell ref="I24:J24"/>
    <mergeCell ref="B25:D25"/>
    <mergeCell ref="I25:J25"/>
    <mergeCell ref="B26:D26"/>
    <mergeCell ref="B27:D27"/>
    <mergeCell ref="B29:D29"/>
    <mergeCell ref="I29:J29"/>
    <mergeCell ref="B30:D30"/>
    <mergeCell ref="I30:J30"/>
    <mergeCell ref="B31:D31"/>
    <mergeCell ref="I31:J31"/>
    <mergeCell ref="I32:J32"/>
    <mergeCell ref="I33:J33"/>
    <mergeCell ref="B32:D32"/>
    <mergeCell ref="B33:D33"/>
    <mergeCell ref="B34:D34"/>
    <mergeCell ref="B35:D35"/>
    <mergeCell ref="A37:C37"/>
    <mergeCell ref="B38:D38"/>
    <mergeCell ref="B39:D39"/>
    <mergeCell ref="I26:J26"/>
    <mergeCell ref="I27:J27"/>
    <mergeCell ref="I38:J38"/>
    <mergeCell ref="I39:J39"/>
    <mergeCell ref="I40:J40"/>
    <mergeCell ref="I41:J41"/>
    <mergeCell ref="I42:J42"/>
    <mergeCell ref="B40:D40"/>
    <mergeCell ref="B41:D41"/>
    <mergeCell ref="B42:D42"/>
    <mergeCell ref="B43:D43"/>
    <mergeCell ref="B44:D44"/>
    <mergeCell ref="B45:D45"/>
    <mergeCell ref="B46:D46"/>
    <mergeCell ref="I43:J43"/>
    <mergeCell ref="I44:J44"/>
    <mergeCell ref="I45:J45"/>
    <mergeCell ref="I46:J46"/>
    <mergeCell ref="I47:J47"/>
    <mergeCell ref="I49:J49"/>
    <mergeCell ref="I53:J53"/>
    <mergeCell ref="I54:J54"/>
    <mergeCell ref="I55:J55"/>
    <mergeCell ref="I56:J56"/>
    <mergeCell ref="I57:J57"/>
    <mergeCell ref="I58:J58"/>
    <mergeCell ref="I59:J59"/>
    <mergeCell ref="I60:J60"/>
  </mergeCells>
  <dataValidations>
    <dataValidation type="list" allowBlank="1" showErrorMessage="1" sqref="A8:A19 A24:A34 A39:A49 A54:A63 A68:A77">
      <formula1>Datos!$D$2:$D$11</formula1>
    </dataValidation>
    <dataValidation type="list" allowBlank="1" showErrorMessage="1" sqref="J5">
      <formula1>Datos!$B$2:$B$12</formula1>
    </dataValidation>
    <dataValidation type="list" allowBlank="1" showErrorMessage="1" sqref="J6 J22 J37 J52 J66">
      <formula1>Datos!$D$2:$D$14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10.71"/>
    <col customWidth="1" min="24" max="24" width="7.86"/>
    <col customWidth="1" min="25" max="25" width="15.43"/>
    <col customWidth="1" min="26" max="28" width="10.71"/>
  </cols>
  <sheetData>
    <row r="1" ht="14.25" customHeight="1"/>
    <row r="2" ht="14.25" customHeight="1"/>
    <row r="3" ht="14.25" customHeight="1"/>
    <row r="4" ht="14.25" customHeight="1"/>
    <row r="5" ht="14.25" customHeight="1">
      <c r="J5" s="1"/>
    </row>
    <row r="6" ht="14.25" customHeight="1">
      <c r="A6" s="2" t="s">
        <v>0</v>
      </c>
      <c r="B6" s="3"/>
      <c r="C6" s="4"/>
      <c r="J6" s="1"/>
    </row>
    <row r="7" ht="14.25" customHeight="1">
      <c r="A7" s="6" t="s">
        <v>2</v>
      </c>
      <c r="B7" s="10" t="s">
        <v>4</v>
      </c>
      <c r="C7" s="8"/>
      <c r="D7" s="9"/>
      <c r="E7" s="6" t="s">
        <v>5</v>
      </c>
      <c r="F7" s="6" t="s">
        <v>6</v>
      </c>
      <c r="G7" s="6" t="s">
        <v>7</v>
      </c>
      <c r="H7" s="6" t="s">
        <v>8</v>
      </c>
      <c r="I7" s="10" t="s">
        <v>9</v>
      </c>
      <c r="J7" s="9"/>
      <c r="M7" s="11" t="s">
        <v>0</v>
      </c>
      <c r="N7" s="12"/>
      <c r="O7" s="12"/>
      <c r="P7" s="12"/>
      <c r="Q7" s="12"/>
      <c r="R7" s="12"/>
      <c r="S7" s="12"/>
      <c r="T7" s="12"/>
      <c r="U7" s="12"/>
      <c r="V7" s="12"/>
      <c r="W7" s="13"/>
      <c r="Y7" s="1"/>
      <c r="Z7" s="14" t="s">
        <v>10</v>
      </c>
      <c r="AA7" s="12"/>
      <c r="AB7" s="13"/>
    </row>
    <row r="8" ht="14.25" customHeight="1">
      <c r="A8" s="111" t="s">
        <v>12</v>
      </c>
      <c r="B8" s="110" t="s">
        <v>619</v>
      </c>
      <c r="C8" s="18"/>
      <c r="D8" s="20"/>
      <c r="E8" s="111">
        <v>3.0</v>
      </c>
      <c r="F8" s="111">
        <v>10.0</v>
      </c>
      <c r="G8" s="111"/>
      <c r="H8" s="111"/>
      <c r="I8" s="171"/>
      <c r="J8" s="9"/>
      <c r="M8" s="25"/>
      <c r="N8" s="28" t="s">
        <v>16</v>
      </c>
      <c r="O8" s="28" t="s">
        <v>26</v>
      </c>
      <c r="P8" s="28" t="s">
        <v>27</v>
      </c>
      <c r="Q8" s="28" t="s">
        <v>28</v>
      </c>
      <c r="R8" s="28" t="s">
        <v>29</v>
      </c>
      <c r="S8" s="28" t="s">
        <v>30</v>
      </c>
      <c r="T8" s="28" t="s">
        <v>31</v>
      </c>
      <c r="U8" s="28" t="s">
        <v>32</v>
      </c>
      <c r="V8" s="28" t="s">
        <v>33</v>
      </c>
      <c r="W8" s="28" t="s">
        <v>12</v>
      </c>
      <c r="Z8" s="28" t="s">
        <v>16</v>
      </c>
      <c r="AA8" s="1">
        <f>SUM(N9,N14,N20,N25,N30)</f>
        <v>13</v>
      </c>
    </row>
    <row r="9" ht="14.25" customHeight="1">
      <c r="A9" s="111" t="s">
        <v>12</v>
      </c>
      <c r="B9" s="110" t="s">
        <v>600</v>
      </c>
      <c r="C9" s="18"/>
      <c r="D9" s="20"/>
      <c r="E9" s="111">
        <v>3.0</v>
      </c>
      <c r="F9" s="111">
        <v>10.0</v>
      </c>
      <c r="G9" s="111"/>
      <c r="H9" s="111"/>
      <c r="I9" s="171"/>
      <c r="J9" s="9"/>
      <c r="M9" s="172" t="s">
        <v>36</v>
      </c>
      <c r="N9" s="173">
        <f>SUMIF(A8:A18,"Pecho",E8:E18)</f>
        <v>10</v>
      </c>
      <c r="O9" s="173">
        <f>SUMIF(A8:A18,"Espalda",E8:E18)</f>
        <v>0</v>
      </c>
      <c r="P9" s="173">
        <f>SUMIF($A8:$A18,"Hombros",$E8:$E18)</f>
        <v>3</v>
      </c>
      <c r="Q9" s="173">
        <f>SUMIF($A8:$A18,"Bíceps",$E8:$E18)</f>
        <v>3</v>
      </c>
      <c r="R9" s="173">
        <f>SUMIF($A8:$A18,"Tríceps",$E8:$E18)</f>
        <v>4</v>
      </c>
      <c r="S9" s="173">
        <f>SUMIF(A8:A18,"Cuádriceps",E8:E18)</f>
        <v>4</v>
      </c>
      <c r="T9" s="173">
        <f>SUMIF($A8:$A18,"Isquios",$E8:$E18)</f>
        <v>0</v>
      </c>
      <c r="U9" s="173">
        <f>SUMIF($A8:$A18,"Glúteos",$E8:$E18)</f>
        <v>4</v>
      </c>
      <c r="V9" s="173">
        <f>SUMIF($A8:$A18,"Pantorrillas",$E8:$E18)</f>
        <v>0</v>
      </c>
      <c r="W9" s="173">
        <f>SUMIF($A8:$A18,"Otros",$E8:$E18)</f>
        <v>9</v>
      </c>
      <c r="Z9" s="28" t="s">
        <v>26</v>
      </c>
      <c r="AA9" s="1">
        <f>SUM(O9,O14,O20,O25,O30)</f>
        <v>10</v>
      </c>
    </row>
    <row r="10" ht="14.25" customHeight="1">
      <c r="A10" s="111" t="s">
        <v>12</v>
      </c>
      <c r="B10" s="110" t="s">
        <v>652</v>
      </c>
      <c r="C10" s="18"/>
      <c r="D10" s="20"/>
      <c r="E10" s="111">
        <v>3.0</v>
      </c>
      <c r="F10" s="111">
        <v>10.0</v>
      </c>
      <c r="G10" s="111"/>
      <c r="H10" s="111"/>
      <c r="I10" s="171"/>
      <c r="J10" s="9"/>
      <c r="M10" s="172" t="s">
        <v>7</v>
      </c>
      <c r="N10" s="172">
        <f>AVERAGEIF($A8:$A18,"Pecho",$G8:$G18)</f>
        <v>8</v>
      </c>
      <c r="O10" s="172" t="str">
        <f>AVERAGEIF($A8:$A18,"Espalda",$G8:$G18)</f>
        <v>#DIV/0!</v>
      </c>
      <c r="P10" s="172" t="str">
        <f>AVERAGEIF($A8:$A18,"Hombros",$G8:$G18)</f>
        <v>#DIV/0!</v>
      </c>
      <c r="Q10" s="172" t="str">
        <f>AVERAGEIF($A8:$A18,"Bíceps",$G8:$G18)</f>
        <v>#DIV/0!</v>
      </c>
      <c r="R10" s="172" t="str">
        <f>AVERAGEIF($A8:$A18,"Tríceps",$G8:$G18)</f>
        <v>#DIV/0!</v>
      </c>
      <c r="S10" s="172" t="str">
        <f>AVERAGEIF($A8:$A18,"Cuádriceps",$G8:$G18)</f>
        <v>#DIV/0!</v>
      </c>
      <c r="T10" s="172" t="str">
        <f>AVERAGEIF($A8:$A18,"Isquios",$G8:$G18)</f>
        <v>#DIV/0!</v>
      </c>
      <c r="U10" s="172" t="str">
        <f>AVERAGEIF($A8:$A18,"Glúteos",$G8:$G18)</f>
        <v>#DIV/0!</v>
      </c>
      <c r="V10" s="172" t="str">
        <f>AVERAGEIF($A8:$A18,"Pantorrillas",$G8:$G18)</f>
        <v>#DIV/0!</v>
      </c>
      <c r="W10" s="172" t="str">
        <f>AVERAGEIF($A8:$A18,"Otros",$G8:$G18)</f>
        <v>#DIV/0!</v>
      </c>
      <c r="Z10" s="28" t="s">
        <v>27</v>
      </c>
      <c r="AA10" s="1">
        <f>SUM(P9,P14,P20,P25,P30)</f>
        <v>10</v>
      </c>
    </row>
    <row r="11" ht="14.25" customHeight="1">
      <c r="A11" s="174" t="s">
        <v>16</v>
      </c>
      <c r="B11" s="175" t="s">
        <v>179</v>
      </c>
      <c r="C11" s="18"/>
      <c r="D11" s="20"/>
      <c r="E11" s="174">
        <v>4.0</v>
      </c>
      <c r="F11" s="174">
        <v>10.0</v>
      </c>
      <c r="G11" s="174">
        <v>8.0</v>
      </c>
      <c r="H11" s="174" t="s">
        <v>55</v>
      </c>
      <c r="I11" s="176"/>
      <c r="J11" s="9"/>
      <c r="M11" s="25"/>
      <c r="N11" s="25"/>
      <c r="O11" s="25"/>
      <c r="P11" s="25"/>
      <c r="Q11" s="25"/>
      <c r="R11" s="25"/>
      <c r="S11" s="25"/>
      <c r="T11" s="25"/>
      <c r="U11" s="25"/>
      <c r="Z11" s="28" t="s">
        <v>28</v>
      </c>
      <c r="AA11" s="1">
        <f>SUM(Q9,Q14,Q20,Q25,Q30)</f>
        <v>6</v>
      </c>
    </row>
    <row r="12" ht="14.25" customHeight="1">
      <c r="A12" s="174" t="s">
        <v>16</v>
      </c>
      <c r="B12" s="175" t="s">
        <v>653</v>
      </c>
      <c r="C12" s="18"/>
      <c r="D12" s="20"/>
      <c r="E12" s="174">
        <v>3.0</v>
      </c>
      <c r="F12" s="174">
        <v>12.0</v>
      </c>
      <c r="G12" s="174"/>
      <c r="H12" s="174"/>
      <c r="I12" s="176"/>
      <c r="J12" s="9"/>
      <c r="M12" s="11" t="s">
        <v>45</v>
      </c>
      <c r="N12" s="12"/>
      <c r="O12" s="12"/>
      <c r="P12" s="12"/>
      <c r="Q12" s="12"/>
      <c r="R12" s="12"/>
      <c r="S12" s="12"/>
      <c r="T12" s="12"/>
      <c r="U12" s="12"/>
      <c r="V12" s="12"/>
      <c r="W12" s="13"/>
      <c r="Z12" s="28" t="s">
        <v>29</v>
      </c>
      <c r="AA12" s="1">
        <f>SUM(R9,R14,R20,R25,R30)</f>
        <v>8</v>
      </c>
    </row>
    <row r="13" ht="14.25" customHeight="1">
      <c r="A13" s="174" t="s">
        <v>30</v>
      </c>
      <c r="B13" s="175" t="s">
        <v>157</v>
      </c>
      <c r="C13" s="18"/>
      <c r="D13" s="20"/>
      <c r="E13" s="174">
        <v>4.0</v>
      </c>
      <c r="F13" s="174">
        <v>12.0</v>
      </c>
      <c r="G13" s="174"/>
      <c r="H13" s="174"/>
      <c r="I13" s="176"/>
      <c r="J13" s="9"/>
      <c r="M13" s="25"/>
      <c r="N13" s="28" t="s">
        <v>16</v>
      </c>
      <c r="O13" s="28" t="s">
        <v>26</v>
      </c>
      <c r="P13" s="28" t="s">
        <v>27</v>
      </c>
      <c r="Q13" s="28" t="s">
        <v>28</v>
      </c>
      <c r="R13" s="28" t="s">
        <v>29</v>
      </c>
      <c r="S13" s="28" t="s">
        <v>30</v>
      </c>
      <c r="T13" s="28" t="s">
        <v>31</v>
      </c>
      <c r="U13" s="28" t="s">
        <v>32</v>
      </c>
      <c r="V13" s="28" t="s">
        <v>33</v>
      </c>
      <c r="W13" s="28" t="s">
        <v>12</v>
      </c>
      <c r="Z13" s="28" t="s">
        <v>30</v>
      </c>
      <c r="AA13" s="1">
        <f>SUM(S9,S14,S20,S25,S30)</f>
        <v>12</v>
      </c>
    </row>
    <row r="14" ht="14.25" customHeight="1">
      <c r="A14" s="111" t="s">
        <v>27</v>
      </c>
      <c r="B14" s="110" t="s">
        <v>159</v>
      </c>
      <c r="C14" s="18"/>
      <c r="D14" s="20"/>
      <c r="E14" s="111">
        <v>3.0</v>
      </c>
      <c r="F14" s="111" t="s">
        <v>499</v>
      </c>
      <c r="G14" s="111"/>
      <c r="H14" s="111"/>
      <c r="I14" s="171"/>
      <c r="J14" s="9"/>
      <c r="M14" s="177" t="s">
        <v>36</v>
      </c>
      <c r="N14" s="177">
        <f>SUMIF($A23:$A32,"Pecho",$E23:$E32)</f>
        <v>0</v>
      </c>
      <c r="O14" s="177">
        <f>SUMIF($A23:$A32,"Espalda",$E23:$E32)</f>
        <v>10</v>
      </c>
      <c r="P14" s="177">
        <f>SUMIF($A23:$A32,"Hombros",$E23:$E32)</f>
        <v>4</v>
      </c>
      <c r="Q14" s="177">
        <f>SUMIF($A23:$A32,"Bíceps",$E23:$E32)</f>
        <v>3</v>
      </c>
      <c r="R14" s="177">
        <f>SUMIF($A23:$A32,"Tríceps",$E23:$E32)</f>
        <v>0</v>
      </c>
      <c r="S14" s="177">
        <f>SUMIF($A23:$A32,"Cuádriceps",$E23:$E32)</f>
        <v>8</v>
      </c>
      <c r="T14" s="177">
        <f>SUMIF($A23:$A32,"Isquios",$E23:$E32)</f>
        <v>0</v>
      </c>
      <c r="U14" s="177">
        <f>SUMIF($A23:$A32,"Glúteos",$E23:$E32)</f>
        <v>0</v>
      </c>
      <c r="V14" s="177">
        <f>SUMIF($A23:$A32,"Pantorrillas",$E23:$E32)</f>
        <v>0</v>
      </c>
      <c r="W14" s="177">
        <f>SUMIF($A23:$A32,"Otros",$E23:$E32)</f>
        <v>8</v>
      </c>
      <c r="Z14" s="28" t="s">
        <v>31</v>
      </c>
      <c r="AA14" s="1">
        <f>SUM(T9,T14,T20,T25,T30)</f>
        <v>7</v>
      </c>
    </row>
    <row r="15" ht="14.25" customHeight="1">
      <c r="A15" s="111" t="s">
        <v>29</v>
      </c>
      <c r="B15" s="110" t="s">
        <v>654</v>
      </c>
      <c r="C15" s="18"/>
      <c r="D15" s="20"/>
      <c r="E15" s="111">
        <v>4.0</v>
      </c>
      <c r="F15" s="111">
        <v>10.0</v>
      </c>
      <c r="G15" s="111"/>
      <c r="H15" s="111"/>
      <c r="I15" s="171"/>
      <c r="J15" s="9"/>
      <c r="M15" s="177" t="s">
        <v>7</v>
      </c>
      <c r="N15" s="177" t="str">
        <f>AVERAGEIF($A23:$A32,"Pecho",$G23:$G32)</f>
        <v>#DIV/0!</v>
      </c>
      <c r="O15" s="177" t="str">
        <f>AVERAGEIF($A23:$A32,"Espalda",$G23:$G32)</f>
        <v>#DIV/0!</v>
      </c>
      <c r="P15" s="177" t="str">
        <f>AVERAGEIF($A23:$A32,"Hombros",$G23:$G32)</f>
        <v>#DIV/0!</v>
      </c>
      <c r="Q15" s="177" t="str">
        <f>AVERAGEIF($A23:$A32,"Bíceps",$G23:$G32)</f>
        <v>#DIV/0!</v>
      </c>
      <c r="R15" s="177" t="str">
        <f>AVERAGEIF($A23:$A32,"Tríceps",$G23:$G32)</f>
        <v>#DIV/0!</v>
      </c>
      <c r="S15" s="177">
        <f>AVERAGEIF($A23:$A32,"Cuádriceps",$G23:$G32)</f>
        <v>8</v>
      </c>
      <c r="T15" s="177" t="str">
        <f>AVERAGEIF($A23:$A32,"Isquios",$G23:$G32)</f>
        <v>#DIV/0!</v>
      </c>
      <c r="U15" s="177" t="str">
        <f>AVERAGEIF($A23:$A32,"Glúteos",$G23:$G32)</f>
        <v>#DIV/0!</v>
      </c>
      <c r="V15" s="177" t="str">
        <f>AVERAGEIF($A23:$A32,"Pantorrillas",$G23:$G32)</f>
        <v>#DIV/0!</v>
      </c>
      <c r="W15" s="177" t="str">
        <f>AVERAGEIF($A23:$A32,"Otros",$G23:$G32)</f>
        <v>#DIV/0!</v>
      </c>
      <c r="Z15" s="28" t="s">
        <v>32</v>
      </c>
      <c r="AA15" s="1">
        <f>SUM(U9,U14,U20,U25,U30)</f>
        <v>8</v>
      </c>
    </row>
    <row r="16" ht="14.25" customHeight="1">
      <c r="A16" s="111" t="s">
        <v>16</v>
      </c>
      <c r="B16" s="110" t="s">
        <v>655</v>
      </c>
      <c r="C16" s="18"/>
      <c r="D16" s="20"/>
      <c r="E16" s="111">
        <v>3.0</v>
      </c>
      <c r="F16" s="111">
        <v>12.0</v>
      </c>
      <c r="G16" s="111"/>
      <c r="H16" s="111"/>
      <c r="I16" s="171"/>
      <c r="J16" s="9"/>
      <c r="M16" s="25"/>
      <c r="N16" s="25"/>
      <c r="O16" s="25"/>
      <c r="P16" s="25"/>
      <c r="Q16" s="25"/>
      <c r="R16" s="25"/>
      <c r="S16" s="25"/>
      <c r="T16" s="25"/>
      <c r="U16" s="25"/>
      <c r="Z16" s="28" t="s">
        <v>33</v>
      </c>
      <c r="AA16" s="1">
        <f>SUM(V9,V14,V20,V25,V30)</f>
        <v>3</v>
      </c>
    </row>
    <row r="17" ht="14.25" customHeight="1">
      <c r="A17" s="174" t="s">
        <v>28</v>
      </c>
      <c r="B17" s="178" t="s">
        <v>656</v>
      </c>
      <c r="C17" s="8"/>
      <c r="D17" s="9"/>
      <c r="E17" s="174">
        <v>3.0</v>
      </c>
      <c r="F17" s="174" t="s">
        <v>71</v>
      </c>
      <c r="G17" s="174"/>
      <c r="H17" s="174"/>
      <c r="I17" s="179"/>
      <c r="J17" s="180"/>
      <c r="M17" s="25"/>
      <c r="N17" s="25"/>
      <c r="O17" s="25"/>
      <c r="P17" s="25"/>
      <c r="Q17" s="25"/>
      <c r="R17" s="25"/>
      <c r="S17" s="25"/>
      <c r="T17" s="25"/>
      <c r="U17" s="25"/>
      <c r="Z17" s="28"/>
      <c r="AA17" s="1"/>
    </row>
    <row r="18" ht="14.25" customHeight="1">
      <c r="A18" s="174" t="s">
        <v>32</v>
      </c>
      <c r="B18" s="175" t="s">
        <v>657</v>
      </c>
      <c r="C18" s="18"/>
      <c r="D18" s="20"/>
      <c r="E18" s="174">
        <v>4.0</v>
      </c>
      <c r="F18" s="174">
        <v>12.0</v>
      </c>
      <c r="G18" s="174"/>
      <c r="H18" s="174"/>
      <c r="I18" s="176"/>
      <c r="J18" s="9"/>
      <c r="M18" s="11" t="s">
        <v>57</v>
      </c>
      <c r="N18" s="12"/>
      <c r="O18" s="12"/>
      <c r="P18" s="12"/>
      <c r="Q18" s="12"/>
      <c r="R18" s="12"/>
      <c r="S18" s="12"/>
      <c r="T18" s="12"/>
      <c r="U18" s="12"/>
      <c r="V18" s="12"/>
      <c r="W18" s="13"/>
      <c r="Z18" s="28" t="s">
        <v>12</v>
      </c>
      <c r="AA18" s="1">
        <f>SUM(W9,W14,W20,W25,W30)</f>
        <v>26</v>
      </c>
    </row>
    <row r="19" ht="14.25" customHeight="1">
      <c r="B19" s="26"/>
      <c r="C19" s="29"/>
      <c r="D19" s="29"/>
      <c r="M19" s="25"/>
      <c r="N19" s="28" t="s">
        <v>16</v>
      </c>
      <c r="O19" s="28" t="s">
        <v>26</v>
      </c>
      <c r="P19" s="28" t="s">
        <v>27</v>
      </c>
      <c r="Q19" s="28" t="s">
        <v>28</v>
      </c>
      <c r="R19" s="28" t="s">
        <v>29</v>
      </c>
      <c r="S19" s="28" t="s">
        <v>30</v>
      </c>
      <c r="T19" s="28" t="s">
        <v>31</v>
      </c>
      <c r="U19" s="28" t="s">
        <v>32</v>
      </c>
      <c r="V19" s="28" t="s">
        <v>33</v>
      </c>
      <c r="W19" s="28" t="s">
        <v>12</v>
      </c>
    </row>
    <row r="20" ht="14.25" customHeight="1">
      <c r="M20" s="172" t="s">
        <v>36</v>
      </c>
      <c r="N20" s="172">
        <f>SUMIF($A39:$A49,"Pecho",$E39:$E49)</f>
        <v>3</v>
      </c>
      <c r="O20" s="172">
        <f>SUMIF($A39:$A49,"Espalda",$E39:$E49)</f>
        <v>0</v>
      </c>
      <c r="P20" s="172">
        <f>SUMIF($A39:$A49,"Hombros",$E39:$E49)</f>
        <v>3</v>
      </c>
      <c r="Q20" s="172">
        <f>SUMIF($A39:$A49,"Bíceps",$E39:$E49)</f>
        <v>0</v>
      </c>
      <c r="R20" s="172">
        <f>SUMIF($A39:$A49,"Tríceps",$E39:$E49)</f>
        <v>4</v>
      </c>
      <c r="S20" s="172">
        <f>SUMIF($A39:$A49,"Cuádriceps",$E39:$E49)</f>
        <v>0</v>
      </c>
      <c r="T20" s="172">
        <f>SUMIF($A39:$A49,"Isquios",$E39:$E49)</f>
        <v>7</v>
      </c>
      <c r="U20" s="172">
        <f>SUMIF($A39:$A49,"Glúteos",$E39:$E49)</f>
        <v>4</v>
      </c>
      <c r="V20" s="172">
        <f>SUMIF($A39:$A49,"Pantorrillas",$E39:$E49)</f>
        <v>3</v>
      </c>
      <c r="W20" s="172">
        <f>SUMIF($A39:$A49,"Otros",$E39:$E49)</f>
        <v>9</v>
      </c>
    </row>
    <row r="21" ht="14.25" customHeight="1">
      <c r="A21" s="2" t="s">
        <v>45</v>
      </c>
      <c r="B21" s="3"/>
      <c r="C21" s="4"/>
      <c r="J21" s="1"/>
      <c r="M21" s="172" t="s">
        <v>7</v>
      </c>
      <c r="N21" s="172" t="str">
        <f>AVERAGEIF($A39:$A49,"Pecho",$G39:$G49)</f>
        <v>#DIV/0!</v>
      </c>
      <c r="O21" s="172" t="str">
        <f>AVERAGEIF($A39:$A49,"Espalda",$G39:$G49)</f>
        <v>#DIV/0!</v>
      </c>
      <c r="P21" s="172" t="str">
        <f>AVERAGEIF($A39:$A49,"Hombros",$G39:$G49)</f>
        <v>#DIV/0!</v>
      </c>
      <c r="Q21" s="172" t="str">
        <f>AVERAGEIF($A39:$A49,"Bíceps",$G39:$G49)</f>
        <v>#DIV/0!</v>
      </c>
      <c r="R21" s="172" t="str">
        <f>AVERAGEIF($A39:$A49,"Tríceps",$G39:$G49)</f>
        <v>#DIV/0!</v>
      </c>
      <c r="S21" s="172" t="str">
        <f>AVERAGEIF($A39:$A49,"Cuádriceps",$G39:$G49)</f>
        <v>#DIV/0!</v>
      </c>
      <c r="T21" s="172">
        <f>AVERAGEIF($A39:$A49,"Isquios",$G39:$G49)</f>
        <v>8</v>
      </c>
      <c r="U21" s="172" t="str">
        <f>AVERAGEIF($A39:$A49,"Glúteos",$G39:$G49)</f>
        <v>#DIV/0!</v>
      </c>
      <c r="V21" s="172" t="str">
        <f>AVERAGEIF($A39:$A49,"Pantorrillas",$G39:$G49)</f>
        <v>#DIV/0!</v>
      </c>
      <c r="W21" s="172" t="str">
        <f>AVERAGEIF($A39:$A49,"Otros",$G39:$G49)</f>
        <v>#DIV/0!</v>
      </c>
    </row>
    <row r="22" ht="14.25" customHeight="1">
      <c r="A22" s="6" t="s">
        <v>2</v>
      </c>
      <c r="B22" s="10" t="s">
        <v>4</v>
      </c>
      <c r="C22" s="8"/>
      <c r="D22" s="9"/>
      <c r="E22" s="6" t="s">
        <v>5</v>
      </c>
      <c r="F22" s="6" t="s">
        <v>6</v>
      </c>
      <c r="G22" s="6" t="s">
        <v>7</v>
      </c>
      <c r="H22" s="6" t="s">
        <v>8</v>
      </c>
      <c r="I22" s="10" t="s">
        <v>9</v>
      </c>
      <c r="J22" s="9"/>
      <c r="M22" s="25"/>
      <c r="N22" s="25"/>
      <c r="O22" s="25"/>
      <c r="P22" s="25"/>
      <c r="Q22" s="25"/>
      <c r="R22" s="25"/>
      <c r="S22" s="25"/>
      <c r="T22" s="25"/>
      <c r="U22" s="25"/>
    </row>
    <row r="23" ht="14.25" customHeight="1">
      <c r="A23" s="111" t="s">
        <v>12</v>
      </c>
      <c r="B23" s="110" t="s">
        <v>619</v>
      </c>
      <c r="C23" s="18"/>
      <c r="D23" s="20"/>
      <c r="E23" s="111">
        <v>2.0</v>
      </c>
      <c r="F23" s="111">
        <v>10.0</v>
      </c>
      <c r="G23" s="111"/>
      <c r="H23" s="111"/>
      <c r="I23" s="171"/>
      <c r="J23" s="9"/>
      <c r="M23" s="11" t="s">
        <v>66</v>
      </c>
      <c r="N23" s="12"/>
      <c r="O23" s="12"/>
      <c r="P23" s="12"/>
      <c r="Q23" s="12"/>
      <c r="R23" s="12"/>
      <c r="S23" s="12"/>
      <c r="T23" s="12"/>
      <c r="U23" s="12"/>
      <c r="V23" s="12"/>
      <c r="W23" s="13"/>
    </row>
    <row r="24" ht="14.25" customHeight="1">
      <c r="A24" s="111" t="s">
        <v>12</v>
      </c>
      <c r="B24" s="110" t="s">
        <v>621</v>
      </c>
      <c r="C24" s="18"/>
      <c r="D24" s="20"/>
      <c r="E24" s="111">
        <v>3.0</v>
      </c>
      <c r="F24" s="111" t="s">
        <v>289</v>
      </c>
      <c r="G24" s="111"/>
      <c r="H24" s="111"/>
      <c r="I24" s="171"/>
      <c r="J24" s="9"/>
      <c r="M24" s="25"/>
      <c r="N24" s="28" t="s">
        <v>16</v>
      </c>
      <c r="O24" s="28" t="s">
        <v>26</v>
      </c>
      <c r="P24" s="28" t="s">
        <v>27</v>
      </c>
      <c r="Q24" s="28" t="s">
        <v>28</v>
      </c>
      <c r="R24" s="28" t="s">
        <v>29</v>
      </c>
      <c r="S24" s="28" t="s">
        <v>30</v>
      </c>
      <c r="T24" s="28" t="s">
        <v>31</v>
      </c>
      <c r="U24" s="28" t="s">
        <v>32</v>
      </c>
      <c r="V24" s="28" t="s">
        <v>33</v>
      </c>
      <c r="W24" s="28" t="s">
        <v>12</v>
      </c>
    </row>
    <row r="25" ht="14.25" customHeight="1">
      <c r="A25" s="111" t="s">
        <v>12</v>
      </c>
      <c r="B25" s="110" t="s">
        <v>622</v>
      </c>
      <c r="C25" s="18"/>
      <c r="D25" s="20"/>
      <c r="E25" s="111">
        <v>3.0</v>
      </c>
      <c r="F25" s="111">
        <v>10.0</v>
      </c>
      <c r="G25" s="111"/>
      <c r="H25" s="111"/>
      <c r="I25" s="171"/>
      <c r="J25" s="9"/>
      <c r="M25" s="34" t="s">
        <v>36</v>
      </c>
      <c r="N25" s="35">
        <f>SUMIF($A54:$A63,"Pecho",$E54:$E63)</f>
        <v>0</v>
      </c>
      <c r="O25" s="35">
        <f>SUMIF($A54:$A63,"Espalda",$E54:$E63)</f>
        <v>0</v>
      </c>
      <c r="P25" s="35">
        <f>SUMIF($A54:$A63,"Hombros",$E54:$E63)</f>
        <v>0</v>
      </c>
      <c r="Q25" s="35">
        <f>SUMIF($A54:$A63,"Bíceps",$E54:$E63)</f>
        <v>0</v>
      </c>
      <c r="R25" s="35">
        <f>SUMIF($A54:$A63,"Tríceps",$E54:$E63)</f>
        <v>0</v>
      </c>
      <c r="S25" s="35">
        <f>SUMIF($A54:$A63,"Cuádriceps",$E54:$E63)</f>
        <v>0</v>
      </c>
      <c r="T25" s="35">
        <f>SUMIF($A54:$A63,"Isquios",$E54:$E63)</f>
        <v>0</v>
      </c>
      <c r="U25" s="35">
        <f>SUMIF($A54:$A63,"Glúteos",$E54:$E63)</f>
        <v>0</v>
      </c>
      <c r="V25" s="35">
        <f>SUMIF($A54:$A63,"Pantorrillas",$E54:$E63)</f>
        <v>0</v>
      </c>
      <c r="W25" s="35">
        <f>SUMIF($A54:$A63,"Otros",$E54:$E63)</f>
        <v>0</v>
      </c>
    </row>
    <row r="26" ht="14.25" customHeight="1">
      <c r="A26" s="174" t="s">
        <v>30</v>
      </c>
      <c r="B26" s="175" t="s">
        <v>671</v>
      </c>
      <c r="C26" s="18"/>
      <c r="D26" s="20"/>
      <c r="E26" s="174">
        <v>4.0</v>
      </c>
      <c r="F26" s="174">
        <v>10.0</v>
      </c>
      <c r="G26" s="174">
        <v>8.0</v>
      </c>
      <c r="H26" s="174" t="s">
        <v>55</v>
      </c>
      <c r="I26" s="176"/>
      <c r="J26" s="9"/>
      <c r="M26" s="34" t="s">
        <v>7</v>
      </c>
      <c r="N26" s="35" t="str">
        <f>AVERAGEIF($A54:$A63,"Pecho",$G54:$G63)</f>
        <v>#DIV/0!</v>
      </c>
      <c r="O26" s="35" t="str">
        <f>AVERAGEIF($A54:$A63,"Espalda",$G54:$G63)</f>
        <v>#DIV/0!</v>
      </c>
      <c r="P26" s="35" t="str">
        <f>AVERAGEIF($A54:$A63,"Hombros",$G54:$G63)</f>
        <v>#DIV/0!</v>
      </c>
      <c r="Q26" s="35" t="str">
        <f>AVERAGEIF($A54:$A63,"Bíceps",$G54:$G63)</f>
        <v>#DIV/0!</v>
      </c>
      <c r="R26" s="35" t="str">
        <f>AVERAGEIF($A54:$A63,"Tríceps",$G54:$G63)</f>
        <v>#DIV/0!</v>
      </c>
      <c r="S26" s="35" t="str">
        <f>AVERAGEIF($A54:$A63,"Cuádriceps",$G54:$G63)</f>
        <v>#DIV/0!</v>
      </c>
      <c r="T26" s="35" t="str">
        <f>AVERAGEIF($A54:$A63,"Isquios",$G54:$G63)</f>
        <v>#DIV/0!</v>
      </c>
      <c r="U26" s="35" t="str">
        <f>AVERAGEIF($A54:$A63,"Glúteos",$G54:$G63)</f>
        <v>#DIV/0!</v>
      </c>
      <c r="V26" s="35" t="str">
        <f>AVERAGEIF($A54:$A63,"Pantorrillas",$G54:$G63)</f>
        <v>#DIV/0!</v>
      </c>
      <c r="W26" s="35" t="str">
        <f>AVERAGEIF($A54:$A63,"Otros",$G54:$G63)</f>
        <v>#DIV/0!</v>
      </c>
    </row>
    <row r="27" ht="14.25" customHeight="1">
      <c r="A27" s="174" t="s">
        <v>26</v>
      </c>
      <c r="B27" s="175" t="s">
        <v>627</v>
      </c>
      <c r="C27" s="18"/>
      <c r="D27" s="20"/>
      <c r="E27" s="174">
        <v>3.0</v>
      </c>
      <c r="F27" s="174">
        <v>12.0</v>
      </c>
      <c r="G27" s="174"/>
      <c r="H27" s="174"/>
      <c r="I27" s="176"/>
      <c r="J27" s="9"/>
      <c r="M27" s="25"/>
      <c r="N27" s="25"/>
      <c r="O27" s="25"/>
      <c r="P27" s="25"/>
      <c r="Q27" s="25"/>
      <c r="R27" s="25"/>
      <c r="S27" s="25"/>
      <c r="T27" s="25"/>
      <c r="U27" s="25"/>
    </row>
    <row r="28" ht="14.25" customHeight="1">
      <c r="A28" s="174" t="s">
        <v>30</v>
      </c>
      <c r="B28" s="175" t="s">
        <v>675</v>
      </c>
      <c r="C28" s="18"/>
      <c r="D28" s="20"/>
      <c r="E28" s="174">
        <v>4.0</v>
      </c>
      <c r="F28" s="174">
        <v>10.0</v>
      </c>
      <c r="G28" s="174"/>
      <c r="H28" s="174"/>
      <c r="I28" s="176"/>
      <c r="J28" s="9"/>
      <c r="M28" s="11" t="s">
        <v>76</v>
      </c>
      <c r="N28" s="12"/>
      <c r="O28" s="12"/>
      <c r="P28" s="12"/>
      <c r="Q28" s="12"/>
      <c r="R28" s="12"/>
      <c r="S28" s="12"/>
      <c r="T28" s="12"/>
      <c r="U28" s="12"/>
      <c r="V28" s="12"/>
      <c r="W28" s="13"/>
    </row>
    <row r="29" ht="14.25" customHeight="1">
      <c r="A29" s="111" t="s">
        <v>26</v>
      </c>
      <c r="B29" s="110" t="s">
        <v>679</v>
      </c>
      <c r="C29" s="18"/>
      <c r="D29" s="20"/>
      <c r="E29" s="111">
        <v>3.0</v>
      </c>
      <c r="F29" s="111">
        <v>10.0</v>
      </c>
      <c r="G29" s="111"/>
      <c r="H29" s="111"/>
      <c r="I29" s="171"/>
      <c r="J29" s="9"/>
      <c r="M29" s="25"/>
      <c r="N29" s="28" t="s">
        <v>16</v>
      </c>
      <c r="O29" s="28" t="s">
        <v>26</v>
      </c>
      <c r="P29" s="28" t="s">
        <v>27</v>
      </c>
      <c r="Q29" s="28" t="s">
        <v>28</v>
      </c>
      <c r="R29" s="28" t="s">
        <v>29</v>
      </c>
      <c r="S29" s="28" t="s">
        <v>30</v>
      </c>
      <c r="T29" s="28" t="s">
        <v>31</v>
      </c>
      <c r="U29" s="28" t="s">
        <v>32</v>
      </c>
      <c r="V29" s="28" t="s">
        <v>33</v>
      </c>
      <c r="W29" s="28" t="s">
        <v>12</v>
      </c>
    </row>
    <row r="30" ht="14.25" customHeight="1">
      <c r="A30" s="111" t="s">
        <v>27</v>
      </c>
      <c r="B30" s="110" t="s">
        <v>681</v>
      </c>
      <c r="C30" s="18"/>
      <c r="D30" s="20"/>
      <c r="E30" s="111">
        <v>4.0</v>
      </c>
      <c r="F30" s="111">
        <v>10.0</v>
      </c>
      <c r="G30" s="111"/>
      <c r="H30" s="111"/>
      <c r="I30" s="171"/>
      <c r="J30" s="9"/>
      <c r="M30" s="34" t="s">
        <v>36</v>
      </c>
      <c r="N30" s="35">
        <f>SUMIF($A68:$A77,"Pecho",$E68:$E77)</f>
        <v>0</v>
      </c>
      <c r="O30" s="35">
        <f>SUMIF($A68:$A77,"Espalda",$E68:$E77)</f>
        <v>0</v>
      </c>
      <c r="P30" s="35">
        <f>SUMIF($A68:$A77,"Hombros",$E68:$E77)</f>
        <v>0</v>
      </c>
      <c r="Q30" s="35">
        <f>SUMIF($A68:$A77,"Bíceps",$E68:$E77)</f>
        <v>0</v>
      </c>
      <c r="R30" s="35">
        <f>SUMIF($A68:$A77,"Tríceps",$E68:$E77)</f>
        <v>0</v>
      </c>
      <c r="S30" s="35">
        <f>SUMIF($A68:$A77,"Cuádriceps",$E68:$E77)</f>
        <v>0</v>
      </c>
      <c r="T30" s="35">
        <f>SUMIF($A68:$A77,"Isquios",$E68:$E77)</f>
        <v>0</v>
      </c>
      <c r="U30" s="35">
        <f>SUMIF($A68:$A77,"Glúteos",$E68:$E77)</f>
        <v>0</v>
      </c>
      <c r="V30" s="35">
        <f>SUMIF($A68:$A77,"Pantorrillas",$E68:$E77)</f>
        <v>0</v>
      </c>
      <c r="W30" s="35">
        <f>SUMIF($A68:$A77,"Otros",$E68:$E77)</f>
        <v>0</v>
      </c>
    </row>
    <row r="31" ht="14.25" customHeight="1">
      <c r="A31" s="111" t="s">
        <v>26</v>
      </c>
      <c r="B31" s="110" t="s">
        <v>684</v>
      </c>
      <c r="C31" s="18"/>
      <c r="D31" s="20"/>
      <c r="E31" s="111">
        <v>4.0</v>
      </c>
      <c r="F31" s="111">
        <v>10.0</v>
      </c>
      <c r="G31" s="111"/>
      <c r="H31" s="111"/>
      <c r="I31" s="171"/>
      <c r="J31" s="9"/>
      <c r="M31" s="34" t="s">
        <v>7</v>
      </c>
      <c r="N31" s="35" t="str">
        <f>AVERAGEIF($A68:$A77,"Pecho",$G68:$G77)</f>
        <v>#DIV/0!</v>
      </c>
      <c r="O31" s="35" t="str">
        <f>AVERAGEIF($A68:$A77,"Espalda",$G68:$G77)</f>
        <v>#DIV/0!</v>
      </c>
      <c r="P31" s="35" t="str">
        <f>AVERAGEIF($A68:$A77,"Hombros",$G68:$G77)</f>
        <v>#DIV/0!</v>
      </c>
      <c r="Q31" s="35" t="str">
        <f>AVERAGEIF($A68:$A77,"Bíceps",$G68:$G77)</f>
        <v>#DIV/0!</v>
      </c>
      <c r="R31" s="35" t="str">
        <f>AVERAGEIF($A68:$A77,"Tríceps",$G68:$G77)</f>
        <v>#DIV/0!</v>
      </c>
      <c r="S31" s="35" t="str">
        <f>AVERAGEIF($A68:$A77,"Cuádriceps",$G68:$G77)</f>
        <v>#DIV/0!</v>
      </c>
      <c r="T31" s="35" t="str">
        <f>AVERAGEIF($A68:$A77,"Isquios",$G68:$G77)</f>
        <v>#DIV/0!</v>
      </c>
      <c r="U31" s="35" t="str">
        <f>AVERAGEIF($A68:$A77,"Glúteos",$G68:$G77)</f>
        <v>#DIV/0!</v>
      </c>
      <c r="V31" s="35" t="str">
        <f>AVERAGEIF($A68:$A77,"Pantorrillas",$G68:$G77)</f>
        <v>#DIV/0!</v>
      </c>
      <c r="W31" s="35" t="str">
        <f>AVERAGEIF($A68:$A77,"Otros",$G68:$G77)</f>
        <v>#DIV/0!</v>
      </c>
    </row>
    <row r="32" ht="14.25" customHeight="1">
      <c r="A32" s="191" t="s">
        <v>28</v>
      </c>
      <c r="B32" s="192" t="s">
        <v>688</v>
      </c>
      <c r="C32" s="18"/>
      <c r="D32" s="163"/>
      <c r="E32" s="191">
        <v>3.0</v>
      </c>
      <c r="F32" s="191">
        <v>10.0</v>
      </c>
      <c r="G32" s="191"/>
      <c r="H32" s="191"/>
      <c r="I32" s="175"/>
      <c r="J32" s="163"/>
    </row>
    <row r="33" ht="14.25" customHeight="1">
      <c r="A33" s="174" t="s">
        <v>27</v>
      </c>
      <c r="B33" s="178" t="s">
        <v>690</v>
      </c>
      <c r="C33" s="8"/>
      <c r="D33" s="9"/>
      <c r="E33" s="174">
        <v>3.0</v>
      </c>
      <c r="F33" s="174">
        <v>15.0</v>
      </c>
      <c r="G33" s="174"/>
      <c r="H33" s="174"/>
      <c r="I33" s="193"/>
      <c r="J33" s="174"/>
    </row>
    <row r="34" ht="14.25" customHeight="1">
      <c r="A34" s="174" t="s">
        <v>28</v>
      </c>
      <c r="B34" s="178" t="s">
        <v>83</v>
      </c>
      <c r="C34" s="8"/>
      <c r="D34" s="9"/>
      <c r="E34" s="174">
        <v>3.0</v>
      </c>
      <c r="F34" s="174">
        <v>12.0</v>
      </c>
      <c r="G34" s="174"/>
      <c r="H34" s="174"/>
      <c r="I34" s="193"/>
      <c r="J34" s="174"/>
    </row>
    <row r="35" ht="14.25" customHeight="1">
      <c r="A35" s="1"/>
      <c r="B35" s="25"/>
      <c r="E35" s="1"/>
      <c r="F35" s="1"/>
      <c r="G35" s="1"/>
      <c r="H35" s="1"/>
      <c r="I35" s="1"/>
      <c r="J35" s="1"/>
    </row>
    <row r="36" ht="14.25" customHeight="1"/>
    <row r="37" ht="14.25" customHeight="1">
      <c r="A37" s="2" t="s">
        <v>57</v>
      </c>
      <c r="B37" s="3"/>
      <c r="C37" s="4"/>
      <c r="J37" s="1"/>
    </row>
    <row r="38" ht="14.25" customHeight="1">
      <c r="A38" s="6" t="s">
        <v>2</v>
      </c>
      <c r="B38" s="10" t="s">
        <v>4</v>
      </c>
      <c r="C38" s="8"/>
      <c r="D38" s="9"/>
      <c r="E38" s="6" t="s">
        <v>5</v>
      </c>
      <c r="F38" s="6" t="s">
        <v>6</v>
      </c>
      <c r="G38" s="6" t="s">
        <v>7</v>
      </c>
      <c r="H38" s="6" t="s">
        <v>8</v>
      </c>
      <c r="I38" s="10" t="s">
        <v>9</v>
      </c>
      <c r="J38" s="9"/>
    </row>
    <row r="39" ht="14.25" customHeight="1">
      <c r="A39" s="111" t="s">
        <v>12</v>
      </c>
      <c r="B39" s="110" t="s">
        <v>642</v>
      </c>
      <c r="C39" s="18"/>
      <c r="D39" s="20"/>
      <c r="E39" s="111">
        <v>3.0</v>
      </c>
      <c r="F39" s="111">
        <v>10.0</v>
      </c>
      <c r="G39" s="111"/>
      <c r="H39" s="111"/>
      <c r="I39" s="171"/>
      <c r="J39" s="9"/>
    </row>
    <row r="40" ht="14.25" customHeight="1">
      <c r="A40" s="111" t="s">
        <v>12</v>
      </c>
      <c r="B40" s="110" t="s">
        <v>643</v>
      </c>
      <c r="C40" s="18"/>
      <c r="D40" s="20"/>
      <c r="E40" s="111">
        <v>3.0</v>
      </c>
      <c r="F40" s="111">
        <v>12.0</v>
      </c>
      <c r="G40" s="111"/>
      <c r="H40" s="111"/>
      <c r="I40" s="171"/>
      <c r="J40" s="9"/>
    </row>
    <row r="41" ht="14.25" customHeight="1">
      <c r="A41" s="111" t="s">
        <v>12</v>
      </c>
      <c r="B41" s="110" t="s">
        <v>693</v>
      </c>
      <c r="C41" s="18"/>
      <c r="D41" s="20"/>
      <c r="E41" s="111">
        <v>3.0</v>
      </c>
      <c r="F41" s="111">
        <v>12.0</v>
      </c>
      <c r="G41" s="111"/>
      <c r="H41" s="111"/>
      <c r="I41" s="171"/>
      <c r="J41" s="9"/>
    </row>
    <row r="42" ht="14.25" customHeight="1">
      <c r="A42" s="174" t="s">
        <v>31</v>
      </c>
      <c r="B42" s="175" t="s">
        <v>173</v>
      </c>
      <c r="C42" s="18"/>
      <c r="D42" s="20"/>
      <c r="E42" s="174">
        <v>4.0</v>
      </c>
      <c r="F42" s="174">
        <v>10.0</v>
      </c>
      <c r="G42" s="174">
        <v>8.0</v>
      </c>
      <c r="H42" s="174" t="s">
        <v>55</v>
      </c>
      <c r="I42" s="176"/>
      <c r="J42" s="9"/>
    </row>
    <row r="43" ht="14.25" customHeight="1">
      <c r="A43" s="174" t="s">
        <v>16</v>
      </c>
      <c r="B43" s="175" t="s">
        <v>226</v>
      </c>
      <c r="C43" s="18"/>
      <c r="D43" s="20"/>
      <c r="E43" s="174">
        <v>3.0</v>
      </c>
      <c r="F43" s="174">
        <v>12.0</v>
      </c>
      <c r="G43" s="174"/>
      <c r="H43" s="174"/>
      <c r="I43" s="176"/>
      <c r="J43" s="9"/>
    </row>
    <row r="44" ht="14.25" customHeight="1">
      <c r="A44" s="111" t="s">
        <v>32</v>
      </c>
      <c r="B44" s="110" t="s">
        <v>107</v>
      </c>
      <c r="C44" s="18"/>
      <c r="D44" s="20"/>
      <c r="E44" s="111">
        <v>4.0</v>
      </c>
      <c r="F44" s="111">
        <v>12.0</v>
      </c>
      <c r="G44" s="111"/>
      <c r="H44" s="111"/>
      <c r="I44" s="171"/>
      <c r="J44" s="9"/>
    </row>
    <row r="45" ht="14.25" customHeight="1">
      <c r="A45" s="111" t="s">
        <v>29</v>
      </c>
      <c r="B45" s="110" t="s">
        <v>698</v>
      </c>
      <c r="C45" s="18"/>
      <c r="D45" s="20"/>
      <c r="E45" s="111">
        <v>4.0</v>
      </c>
      <c r="F45" s="111">
        <v>10.0</v>
      </c>
      <c r="G45" s="111"/>
      <c r="H45" s="111"/>
      <c r="I45" s="171"/>
      <c r="J45" s="9"/>
    </row>
    <row r="46" ht="14.25" customHeight="1">
      <c r="A46" s="111" t="s">
        <v>27</v>
      </c>
      <c r="B46" s="110" t="s">
        <v>700</v>
      </c>
      <c r="C46" s="18"/>
      <c r="D46" s="20"/>
      <c r="E46" s="111">
        <v>3.0</v>
      </c>
      <c r="F46" s="111">
        <v>12.0</v>
      </c>
      <c r="G46" s="111"/>
      <c r="H46" s="111"/>
      <c r="I46" s="171"/>
      <c r="J46" s="9"/>
    </row>
    <row r="47" ht="14.25" customHeight="1">
      <c r="A47" s="174" t="s">
        <v>31</v>
      </c>
      <c r="B47" s="175" t="s">
        <v>704</v>
      </c>
      <c r="C47" s="18"/>
      <c r="D47" s="20"/>
      <c r="E47" s="174">
        <v>3.0</v>
      </c>
      <c r="F47" s="174" t="s">
        <v>178</v>
      </c>
      <c r="G47" s="174"/>
      <c r="H47" s="174"/>
      <c r="I47" s="176"/>
      <c r="J47" s="9"/>
    </row>
    <row r="48" ht="14.25" customHeight="1">
      <c r="A48" s="174" t="s">
        <v>28</v>
      </c>
      <c r="B48" s="178" t="s">
        <v>706</v>
      </c>
      <c r="C48" s="8"/>
      <c r="D48" s="9"/>
      <c r="E48" s="174"/>
      <c r="F48" s="174"/>
      <c r="G48" s="174"/>
      <c r="H48" s="174"/>
      <c r="I48" s="179"/>
      <c r="J48" s="180"/>
    </row>
    <row r="49" ht="14.25" customHeight="1">
      <c r="A49" s="174" t="s">
        <v>33</v>
      </c>
      <c r="B49" s="178" t="s">
        <v>709</v>
      </c>
      <c r="C49" s="8"/>
      <c r="D49" s="9"/>
      <c r="E49" s="174">
        <v>3.0</v>
      </c>
      <c r="F49" s="174">
        <v>12.0</v>
      </c>
      <c r="G49" s="174"/>
      <c r="H49" s="174"/>
      <c r="I49" s="176"/>
      <c r="J49" s="9"/>
    </row>
    <row r="50" ht="14.25" customHeight="1">
      <c r="B50" s="26"/>
      <c r="C50" s="29"/>
      <c r="D50" s="29"/>
    </row>
    <row r="51" ht="14.25" customHeight="1"/>
    <row r="52" ht="14.25" customHeight="1">
      <c r="A52" s="2" t="s">
        <v>66</v>
      </c>
      <c r="B52" s="3"/>
      <c r="C52" s="4"/>
      <c r="J52" s="1"/>
    </row>
    <row r="53" ht="14.25" customHeight="1">
      <c r="A53" s="6" t="s">
        <v>2</v>
      </c>
      <c r="B53" s="10" t="s">
        <v>4</v>
      </c>
      <c r="C53" s="8"/>
      <c r="D53" s="9"/>
      <c r="E53" s="6" t="s">
        <v>5</v>
      </c>
      <c r="F53" s="6" t="s">
        <v>6</v>
      </c>
      <c r="G53" s="6" t="s">
        <v>7</v>
      </c>
      <c r="H53" s="6" t="s">
        <v>8</v>
      </c>
      <c r="I53" s="10" t="s">
        <v>9</v>
      </c>
      <c r="J53" s="9"/>
    </row>
    <row r="54" ht="14.25" customHeight="1">
      <c r="A54" s="16"/>
      <c r="B54" s="26"/>
      <c r="C54" s="29"/>
      <c r="D54" s="29"/>
      <c r="E54" s="16"/>
      <c r="F54" s="16"/>
      <c r="G54" s="16"/>
      <c r="H54" s="16"/>
      <c r="I54" s="24"/>
      <c r="J54" s="9"/>
    </row>
    <row r="55" ht="14.25" customHeight="1">
      <c r="A55" s="16"/>
      <c r="B55" s="26"/>
      <c r="C55" s="29"/>
      <c r="D55" s="29"/>
      <c r="E55" s="16"/>
      <c r="F55" s="16"/>
      <c r="G55" s="16"/>
      <c r="H55" s="16"/>
      <c r="I55" s="24"/>
      <c r="J55" s="9"/>
    </row>
    <row r="56" ht="14.25" customHeight="1">
      <c r="A56" s="16" t="s">
        <v>12</v>
      </c>
      <c r="B56" s="26" t="s">
        <v>329</v>
      </c>
      <c r="C56" s="29"/>
      <c r="D56" s="29"/>
      <c r="E56" s="16"/>
      <c r="F56" s="16">
        <v>10.0</v>
      </c>
      <c r="G56" s="16"/>
      <c r="H56" s="16"/>
      <c r="I56" s="24"/>
      <c r="J56" s="9"/>
    </row>
    <row r="57" ht="14.25" customHeight="1">
      <c r="A57" s="16" t="s">
        <v>31</v>
      </c>
      <c r="B57" s="30" t="s">
        <v>331</v>
      </c>
      <c r="C57" s="18"/>
      <c r="D57" s="20"/>
      <c r="E57" s="27"/>
      <c r="F57" s="27">
        <v>10.0</v>
      </c>
      <c r="G57" s="27"/>
      <c r="H57" s="27"/>
      <c r="I57" s="24"/>
      <c r="J57" s="9"/>
    </row>
    <row r="58" ht="14.25" customHeight="1">
      <c r="A58" s="16" t="s">
        <v>32</v>
      </c>
      <c r="B58" s="30" t="s">
        <v>333</v>
      </c>
      <c r="C58" s="18"/>
      <c r="D58" s="20"/>
      <c r="E58" s="27"/>
      <c r="F58" s="27" t="s">
        <v>278</v>
      </c>
      <c r="G58" s="27"/>
      <c r="H58" s="27"/>
      <c r="I58" s="24"/>
      <c r="J58" s="9"/>
    </row>
    <row r="59" ht="14.25" customHeight="1">
      <c r="A59" s="16" t="s">
        <v>26</v>
      </c>
      <c r="B59" s="30" t="s">
        <v>335</v>
      </c>
      <c r="C59" s="18"/>
      <c r="D59" s="20"/>
      <c r="E59" s="27"/>
      <c r="F59" s="27">
        <v>8.0</v>
      </c>
      <c r="G59" s="27"/>
      <c r="H59" s="27"/>
      <c r="I59" s="24"/>
      <c r="J59" s="9"/>
    </row>
    <row r="60" ht="14.25" customHeight="1">
      <c r="A60" s="16" t="s">
        <v>32</v>
      </c>
      <c r="B60" s="30" t="s">
        <v>338</v>
      </c>
      <c r="C60" s="18"/>
      <c r="D60" s="20"/>
      <c r="E60" s="27"/>
      <c r="F60" s="27">
        <v>8.0</v>
      </c>
      <c r="G60" s="27"/>
      <c r="H60" s="27"/>
      <c r="I60" s="24"/>
      <c r="J60" s="9"/>
    </row>
    <row r="61" ht="14.25" customHeight="1">
      <c r="A61" s="16" t="s">
        <v>26</v>
      </c>
      <c r="B61" s="30" t="s">
        <v>340</v>
      </c>
      <c r="C61" s="18"/>
      <c r="D61" s="20"/>
      <c r="E61" s="27"/>
      <c r="F61" s="27">
        <v>10.0</v>
      </c>
      <c r="G61" s="27"/>
      <c r="H61" s="27"/>
      <c r="I61" s="24"/>
      <c r="J61" s="9"/>
    </row>
    <row r="62" ht="14.25" customHeight="1">
      <c r="A62" s="16" t="s">
        <v>28</v>
      </c>
      <c r="B62" s="30" t="s">
        <v>341</v>
      </c>
      <c r="C62" s="18"/>
      <c r="D62" s="20"/>
      <c r="E62" s="27"/>
      <c r="F62" s="27"/>
      <c r="G62" s="27"/>
      <c r="H62" s="27"/>
      <c r="I62" s="24"/>
      <c r="J62" s="9"/>
    </row>
    <row r="63" ht="14.25" customHeight="1">
      <c r="A63" s="16" t="s">
        <v>33</v>
      </c>
      <c r="B63" s="60" t="s">
        <v>342</v>
      </c>
      <c r="C63" s="8"/>
      <c r="D63" s="9"/>
      <c r="E63" s="27"/>
      <c r="F63" s="27">
        <v>10.0</v>
      </c>
      <c r="G63" s="27"/>
      <c r="H63" s="27"/>
      <c r="I63" s="24"/>
      <c r="J63" s="9"/>
    </row>
    <row r="64" ht="14.25" customHeight="1">
      <c r="B64" s="26"/>
      <c r="C64" s="29"/>
      <c r="D64" s="29"/>
    </row>
    <row r="65" ht="14.25" customHeight="1"/>
    <row r="66" ht="14.25" customHeight="1">
      <c r="A66" s="2" t="s">
        <v>76</v>
      </c>
      <c r="B66" s="3"/>
      <c r="C66" s="4"/>
      <c r="J66" s="1"/>
    </row>
    <row r="67" ht="14.25" customHeight="1">
      <c r="A67" s="6" t="s">
        <v>2</v>
      </c>
      <c r="B67" s="10" t="s">
        <v>4</v>
      </c>
      <c r="C67" s="8"/>
      <c r="D67" s="9"/>
      <c r="E67" s="6" t="s">
        <v>5</v>
      </c>
      <c r="F67" s="6" t="s">
        <v>6</v>
      </c>
      <c r="G67" s="6" t="s">
        <v>7</v>
      </c>
      <c r="H67" s="6" t="s">
        <v>8</v>
      </c>
      <c r="I67" s="10" t="s">
        <v>9</v>
      </c>
      <c r="J67" s="9"/>
    </row>
    <row r="68" ht="14.25" customHeight="1">
      <c r="A68" s="16"/>
      <c r="B68" s="26"/>
      <c r="C68" s="29"/>
      <c r="D68" s="29"/>
      <c r="E68" s="16"/>
      <c r="F68" s="16"/>
      <c r="G68" s="16"/>
      <c r="H68" s="16"/>
      <c r="I68" s="24"/>
      <c r="J68" s="9"/>
    </row>
    <row r="69" ht="14.25" customHeight="1">
      <c r="A69" s="16"/>
      <c r="B69" s="26"/>
      <c r="C69" s="29"/>
      <c r="D69" s="29"/>
      <c r="E69" s="16"/>
      <c r="F69" s="16"/>
      <c r="G69" s="16"/>
      <c r="H69" s="16"/>
      <c r="I69" s="24"/>
      <c r="J69" s="9"/>
    </row>
    <row r="70" ht="14.25" customHeight="1">
      <c r="A70" s="16"/>
      <c r="B70" s="26"/>
      <c r="C70" s="29"/>
      <c r="D70" s="29"/>
      <c r="E70" s="16"/>
      <c r="F70" s="16"/>
      <c r="G70" s="16"/>
      <c r="H70" s="16"/>
      <c r="I70" s="24"/>
      <c r="J70" s="9"/>
    </row>
    <row r="71" ht="14.25" customHeight="1">
      <c r="A71" s="16"/>
      <c r="B71" s="26"/>
      <c r="C71" s="29"/>
      <c r="D71" s="29"/>
      <c r="E71" s="16"/>
      <c r="F71" s="16"/>
      <c r="G71" s="16"/>
      <c r="H71" s="16"/>
      <c r="I71" s="24"/>
      <c r="J71" s="9"/>
    </row>
    <row r="72" ht="14.25" customHeight="1">
      <c r="A72" s="16"/>
      <c r="B72" s="26"/>
      <c r="C72" s="29"/>
      <c r="D72" s="29"/>
      <c r="E72" s="16"/>
      <c r="F72" s="16"/>
      <c r="G72" s="16"/>
      <c r="H72" s="16"/>
      <c r="I72" s="24"/>
      <c r="J72" s="9"/>
    </row>
    <row r="73" ht="14.25" customHeight="1">
      <c r="A73" s="16"/>
      <c r="B73" s="26"/>
      <c r="C73" s="29"/>
      <c r="D73" s="29"/>
      <c r="E73" s="16"/>
      <c r="F73" s="16"/>
      <c r="G73" s="16"/>
      <c r="H73" s="16"/>
      <c r="I73" s="24"/>
      <c r="J73" s="9"/>
    </row>
    <row r="74" ht="14.25" customHeight="1">
      <c r="A74" s="16"/>
      <c r="B74" s="26"/>
      <c r="C74" s="29"/>
      <c r="D74" s="29"/>
      <c r="E74" s="16"/>
      <c r="F74" s="16"/>
      <c r="G74" s="16"/>
      <c r="H74" s="16"/>
      <c r="I74" s="24"/>
      <c r="J74" s="9"/>
    </row>
    <row r="75" ht="14.25" customHeight="1">
      <c r="A75" s="16"/>
      <c r="B75" s="26"/>
      <c r="C75" s="29"/>
      <c r="D75" s="29"/>
      <c r="E75" s="16"/>
      <c r="F75" s="16"/>
      <c r="G75" s="16"/>
      <c r="H75" s="16"/>
      <c r="I75" s="24"/>
      <c r="J75" s="9"/>
    </row>
    <row r="76" ht="14.25" customHeight="1">
      <c r="A76" s="16"/>
      <c r="B76" s="26"/>
      <c r="C76" s="29"/>
      <c r="D76" s="29"/>
      <c r="E76" s="16"/>
      <c r="F76" s="16"/>
      <c r="G76" s="16"/>
      <c r="H76" s="16"/>
      <c r="I76" s="24"/>
      <c r="J76" s="9"/>
    </row>
    <row r="77" ht="14.25" customHeight="1">
      <c r="A77" s="16"/>
      <c r="B77" s="58"/>
      <c r="C77" s="8"/>
      <c r="D77" s="9"/>
      <c r="E77" s="16"/>
      <c r="F77" s="16"/>
      <c r="G77" s="16"/>
      <c r="H77" s="16"/>
      <c r="I77" s="24"/>
      <c r="J77" s="9"/>
    </row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9">
    <mergeCell ref="I27:J27"/>
    <mergeCell ref="I28:J28"/>
    <mergeCell ref="I11:J11"/>
    <mergeCell ref="I13:J13"/>
    <mergeCell ref="I22:J22"/>
    <mergeCell ref="I23:J23"/>
    <mergeCell ref="I24:J24"/>
    <mergeCell ref="I25:J25"/>
    <mergeCell ref="I26:J26"/>
    <mergeCell ref="A6:C6"/>
    <mergeCell ref="B7:D7"/>
    <mergeCell ref="I7:J7"/>
    <mergeCell ref="M7:W7"/>
    <mergeCell ref="Z7:AB7"/>
    <mergeCell ref="B8:D8"/>
    <mergeCell ref="B9:D9"/>
    <mergeCell ref="I12:J12"/>
    <mergeCell ref="M12:W12"/>
    <mergeCell ref="I8:J8"/>
    <mergeCell ref="I9:J9"/>
    <mergeCell ref="B10:D10"/>
    <mergeCell ref="I10:J10"/>
    <mergeCell ref="B11:D11"/>
    <mergeCell ref="B12:D12"/>
    <mergeCell ref="B13:D13"/>
    <mergeCell ref="I16:J16"/>
    <mergeCell ref="I18:J18"/>
    <mergeCell ref="M18:W18"/>
    <mergeCell ref="M23:W23"/>
    <mergeCell ref="B14:D14"/>
    <mergeCell ref="I14:J14"/>
    <mergeCell ref="B15:D15"/>
    <mergeCell ref="I15:J15"/>
    <mergeCell ref="B16:D16"/>
    <mergeCell ref="B17:D17"/>
    <mergeCell ref="B18:D18"/>
    <mergeCell ref="B27:D27"/>
    <mergeCell ref="B28:D28"/>
    <mergeCell ref="M28:W28"/>
    <mergeCell ref="I29:J29"/>
    <mergeCell ref="B19:D19"/>
    <mergeCell ref="A21:C21"/>
    <mergeCell ref="B22:D22"/>
    <mergeCell ref="B23:D23"/>
    <mergeCell ref="B24:D24"/>
    <mergeCell ref="B25:D25"/>
    <mergeCell ref="B26:D26"/>
    <mergeCell ref="B54:D54"/>
    <mergeCell ref="B55:D55"/>
    <mergeCell ref="B56:D56"/>
    <mergeCell ref="B57:D57"/>
    <mergeCell ref="B58:D58"/>
    <mergeCell ref="B59:D59"/>
    <mergeCell ref="B60:D60"/>
    <mergeCell ref="B61:D61"/>
    <mergeCell ref="B62:D62"/>
    <mergeCell ref="B63:D63"/>
    <mergeCell ref="B64:D64"/>
    <mergeCell ref="A66:C66"/>
    <mergeCell ref="B67:D67"/>
    <mergeCell ref="B68:D68"/>
    <mergeCell ref="B76:D76"/>
    <mergeCell ref="B77:D77"/>
    <mergeCell ref="B69:D69"/>
    <mergeCell ref="B70:D70"/>
    <mergeCell ref="B71:D71"/>
    <mergeCell ref="B72:D72"/>
    <mergeCell ref="B73:D73"/>
    <mergeCell ref="B74:D74"/>
    <mergeCell ref="B75:D75"/>
    <mergeCell ref="I75:J75"/>
    <mergeCell ref="I76:J76"/>
    <mergeCell ref="I77:J77"/>
    <mergeCell ref="I68:J68"/>
    <mergeCell ref="I69:J69"/>
    <mergeCell ref="I70:J70"/>
    <mergeCell ref="I71:J71"/>
    <mergeCell ref="I72:J72"/>
    <mergeCell ref="I73:J73"/>
    <mergeCell ref="I74:J74"/>
    <mergeCell ref="B29:D29"/>
    <mergeCell ref="B30:D30"/>
    <mergeCell ref="I30:J30"/>
    <mergeCell ref="B31:D31"/>
    <mergeCell ref="I31:J31"/>
    <mergeCell ref="B32:D32"/>
    <mergeCell ref="I32:J32"/>
    <mergeCell ref="B33:D33"/>
    <mergeCell ref="B34:D34"/>
    <mergeCell ref="B35:D35"/>
    <mergeCell ref="A37:C37"/>
    <mergeCell ref="B38:D38"/>
    <mergeCell ref="I38:J38"/>
    <mergeCell ref="I39:J39"/>
    <mergeCell ref="B39:D39"/>
    <mergeCell ref="B40:D40"/>
    <mergeCell ref="B41:D41"/>
    <mergeCell ref="B42:D42"/>
    <mergeCell ref="B43:D43"/>
    <mergeCell ref="B44:D44"/>
    <mergeCell ref="B45:D45"/>
    <mergeCell ref="I40:J40"/>
    <mergeCell ref="I41:J41"/>
    <mergeCell ref="I42:J42"/>
    <mergeCell ref="I43:J43"/>
    <mergeCell ref="I44:J44"/>
    <mergeCell ref="I45:J45"/>
    <mergeCell ref="I46:J46"/>
    <mergeCell ref="B46:D46"/>
    <mergeCell ref="B47:D47"/>
    <mergeCell ref="B48:D48"/>
    <mergeCell ref="B49:D49"/>
    <mergeCell ref="B50:D50"/>
    <mergeCell ref="A52:C52"/>
    <mergeCell ref="B53:D53"/>
    <mergeCell ref="I47:J47"/>
    <mergeCell ref="I49:J49"/>
    <mergeCell ref="I53:J53"/>
    <mergeCell ref="I54:J54"/>
    <mergeCell ref="I55:J55"/>
    <mergeCell ref="I56:J56"/>
    <mergeCell ref="I57:J57"/>
    <mergeCell ref="I58:J58"/>
    <mergeCell ref="I59:J59"/>
    <mergeCell ref="I60:J60"/>
    <mergeCell ref="I61:J61"/>
    <mergeCell ref="I62:J62"/>
    <mergeCell ref="I63:J63"/>
    <mergeCell ref="I67:J67"/>
  </mergeCells>
  <dataValidations>
    <dataValidation type="list" allowBlank="1" showErrorMessage="1" sqref="A8:A18 A23:A34 A39:A49 A54:A63 A68:A77">
      <formula1>Datos!$D$2:$D$11</formula1>
    </dataValidation>
    <dataValidation type="list" allowBlank="1" showErrorMessage="1" sqref="J5">
      <formula1>Datos!$B$2:$B$12</formula1>
    </dataValidation>
    <dataValidation type="list" allowBlank="1" showErrorMessage="1" sqref="J6 J21 J37 J52 J66">
      <formula1>Datos!$D$2:$D$14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10.71"/>
    <col customWidth="1" min="24" max="24" width="7.86"/>
    <col customWidth="1" min="25" max="25" width="15.43"/>
    <col customWidth="1" min="26" max="28" width="10.71"/>
  </cols>
  <sheetData>
    <row r="1" ht="14.25" customHeight="1"/>
    <row r="2" ht="14.25" customHeight="1"/>
    <row r="3" ht="14.25" customHeight="1"/>
    <row r="4" ht="14.25" customHeight="1"/>
    <row r="5" ht="14.25" customHeight="1">
      <c r="J5" s="1"/>
    </row>
    <row r="6" ht="14.25" customHeight="1">
      <c r="A6" s="2" t="s">
        <v>0</v>
      </c>
      <c r="B6" s="3"/>
      <c r="C6" s="4"/>
      <c r="J6" s="1"/>
    </row>
    <row r="7" ht="14.25" customHeight="1">
      <c r="A7" s="6" t="s">
        <v>2</v>
      </c>
      <c r="B7" s="10" t="s">
        <v>4</v>
      </c>
      <c r="C7" s="8"/>
      <c r="D7" s="9"/>
      <c r="E7" s="6" t="s">
        <v>5</v>
      </c>
      <c r="F7" s="6" t="s">
        <v>6</v>
      </c>
      <c r="G7" s="6" t="s">
        <v>7</v>
      </c>
      <c r="H7" s="6" t="s">
        <v>8</v>
      </c>
      <c r="I7" s="10" t="s">
        <v>9</v>
      </c>
      <c r="J7" s="9"/>
      <c r="M7" s="11" t="s">
        <v>0</v>
      </c>
      <c r="N7" s="12"/>
      <c r="O7" s="12"/>
      <c r="P7" s="12"/>
      <c r="Q7" s="12"/>
      <c r="R7" s="12"/>
      <c r="S7" s="12"/>
      <c r="T7" s="12"/>
      <c r="U7" s="12"/>
      <c r="V7" s="12"/>
      <c r="W7" s="13"/>
      <c r="Y7" s="1"/>
      <c r="Z7" s="14" t="s">
        <v>10</v>
      </c>
      <c r="AA7" s="12"/>
      <c r="AB7" s="13"/>
    </row>
    <row r="8" ht="14.25" customHeight="1">
      <c r="A8" s="16" t="s">
        <v>12</v>
      </c>
      <c r="B8" s="108" t="s">
        <v>268</v>
      </c>
      <c r="C8" s="18"/>
      <c r="D8" s="20"/>
      <c r="E8" s="109">
        <v>3.0</v>
      </c>
      <c r="F8" s="109">
        <v>10.0</v>
      </c>
      <c r="G8" s="109"/>
      <c r="H8" s="109"/>
      <c r="I8" s="24"/>
      <c r="J8" s="9"/>
      <c r="M8" s="25"/>
      <c r="N8" s="28" t="s">
        <v>16</v>
      </c>
      <c r="O8" s="28" t="s">
        <v>26</v>
      </c>
      <c r="P8" s="28" t="s">
        <v>27</v>
      </c>
      <c r="Q8" s="28" t="s">
        <v>28</v>
      </c>
      <c r="R8" s="28" t="s">
        <v>29</v>
      </c>
      <c r="S8" s="28" t="s">
        <v>30</v>
      </c>
      <c r="T8" s="28" t="s">
        <v>31</v>
      </c>
      <c r="U8" s="28" t="s">
        <v>32</v>
      </c>
      <c r="V8" s="28" t="s">
        <v>33</v>
      </c>
      <c r="W8" s="28" t="s">
        <v>12</v>
      </c>
      <c r="Z8" s="28" t="s">
        <v>16</v>
      </c>
      <c r="AA8" s="1">
        <f>SUM(N9,N14,N19,N24,N29)</f>
        <v>0</v>
      </c>
    </row>
    <row r="9" ht="14.25" customHeight="1">
      <c r="A9" s="16" t="s">
        <v>12</v>
      </c>
      <c r="B9" s="108" t="s">
        <v>492</v>
      </c>
      <c r="C9" s="18"/>
      <c r="D9" s="20"/>
      <c r="E9" s="109">
        <v>3.0</v>
      </c>
      <c r="F9" s="109">
        <v>10.0</v>
      </c>
      <c r="G9" s="109"/>
      <c r="H9" s="109"/>
      <c r="I9" s="24"/>
      <c r="J9" s="9"/>
      <c r="M9" s="34" t="s">
        <v>36</v>
      </c>
      <c r="N9" s="37">
        <f>SUMIF(A8:A17,"Pecho",E8:E17)</f>
        <v>0</v>
      </c>
      <c r="O9" s="37">
        <f>SUMIF(A8:A17,"Espalda",E8:E17)</f>
        <v>0</v>
      </c>
      <c r="P9" s="37">
        <f>SUMIF($A8:$A17,"Hombros",$E8:$E17)</f>
        <v>0</v>
      </c>
      <c r="Q9" s="37">
        <f>SUMIF($A8:$A17,"Bíceps",$E8:$E17)</f>
        <v>0</v>
      </c>
      <c r="R9" s="37">
        <f>SUMIF($A8:$A17,"Tríceps",$E8:$E17)</f>
        <v>0</v>
      </c>
      <c r="S9" s="38">
        <f>SUMIF(A8:A17,"Cuádriceps",E8:E17)</f>
        <v>4</v>
      </c>
      <c r="T9" s="37">
        <f>SUMIF($A8:$A17,"Isquios",$E8:$E17)</f>
        <v>7</v>
      </c>
      <c r="U9" s="37">
        <f>SUMIF($A8:$A17,"Glúteos",$E8:$E17)</f>
        <v>14</v>
      </c>
      <c r="V9" s="37">
        <f>SUMIF($A8:$A17,"Pantorrillas",$E8:$E17)</f>
        <v>0</v>
      </c>
      <c r="W9" s="37">
        <f>SUMIF($A8:$A17,"Otros",$E8:$E17)</f>
        <v>9</v>
      </c>
      <c r="Z9" s="28" t="s">
        <v>26</v>
      </c>
      <c r="AA9" s="1">
        <f>SUM(O9,O14,O19,O24,O29)</f>
        <v>10</v>
      </c>
    </row>
    <row r="10" ht="14.25" customHeight="1">
      <c r="A10" s="16" t="s">
        <v>12</v>
      </c>
      <c r="B10" s="108" t="s">
        <v>208</v>
      </c>
      <c r="C10" s="18"/>
      <c r="D10" s="20"/>
      <c r="E10" s="109">
        <v>3.0</v>
      </c>
      <c r="F10" s="109">
        <v>10.0</v>
      </c>
      <c r="G10" s="109"/>
      <c r="H10" s="109"/>
      <c r="I10" s="24"/>
      <c r="J10" s="9"/>
      <c r="M10" s="34" t="s">
        <v>7</v>
      </c>
      <c r="N10" s="35" t="str">
        <f>AVERAGEIF($A8:$A17,"Pecho",$G8:$G17)</f>
        <v>#DIV/0!</v>
      </c>
      <c r="O10" s="35" t="str">
        <f>AVERAGEIF($A8:$A17,"Espalda",$G8:$G17)</f>
        <v>#DIV/0!</v>
      </c>
      <c r="P10" s="35" t="str">
        <f>AVERAGEIF($A8:$A17,"Hombros",$G8:$G17)</f>
        <v>#DIV/0!</v>
      </c>
      <c r="Q10" s="35" t="str">
        <f>AVERAGEIF($A8:$A17,"Bíceps",$G8:$G17)</f>
        <v>#DIV/0!</v>
      </c>
      <c r="R10" s="35" t="str">
        <f>AVERAGEIF($A8:$A17,"Tríceps",$G8:$G17)</f>
        <v>#DIV/0!</v>
      </c>
      <c r="S10" s="35" t="str">
        <f>AVERAGEIF($A8:$A17,"Cuádriceps",$G8:$G17)</f>
        <v>#DIV/0!</v>
      </c>
      <c r="T10" s="35" t="str">
        <f>AVERAGEIF($A8:$A17,"Isquios",$G8:$G17)</f>
        <v>#DIV/0!</v>
      </c>
      <c r="U10" s="35">
        <f>AVERAGEIF($A8:$A17,"Glúteos",$G8:$G17)</f>
        <v>8</v>
      </c>
      <c r="V10" s="35" t="str">
        <f>AVERAGEIF($A8:$A17,"Pantorrillas",$G8:$G17)</f>
        <v>#DIV/0!</v>
      </c>
      <c r="W10" s="35" t="str">
        <f>AVERAGEIF($A8:$A17,"Otros",$G8:$G17)</f>
        <v>#DIV/0!</v>
      </c>
      <c r="Z10" s="28" t="s">
        <v>27</v>
      </c>
      <c r="AA10" s="1">
        <f>SUM(P9,P14,P19,P24,P29)</f>
        <v>6</v>
      </c>
    </row>
    <row r="11" ht="14.25" customHeight="1">
      <c r="A11" s="16" t="s">
        <v>32</v>
      </c>
      <c r="B11" s="30" t="s">
        <v>658</v>
      </c>
      <c r="C11" s="18"/>
      <c r="D11" s="20"/>
      <c r="E11" s="27">
        <v>4.0</v>
      </c>
      <c r="F11" s="27">
        <v>10.0</v>
      </c>
      <c r="G11" s="27">
        <v>8.0</v>
      </c>
      <c r="H11" s="27" t="s">
        <v>55</v>
      </c>
      <c r="I11" s="24"/>
      <c r="J11" s="9"/>
      <c r="M11" s="25"/>
      <c r="N11" s="25"/>
      <c r="O11" s="25"/>
      <c r="P11" s="25"/>
      <c r="Q11" s="25"/>
      <c r="R11" s="25"/>
      <c r="S11" s="25"/>
      <c r="T11" s="25"/>
      <c r="U11" s="25"/>
      <c r="Z11" s="28" t="s">
        <v>28</v>
      </c>
      <c r="AA11" s="1">
        <f>SUM(Q9,Q14,Q19,Q24,Q29)</f>
        <v>4</v>
      </c>
    </row>
    <row r="12" ht="14.25" customHeight="1">
      <c r="A12" s="16" t="s">
        <v>31</v>
      </c>
      <c r="B12" s="30" t="s">
        <v>659</v>
      </c>
      <c r="C12" s="18"/>
      <c r="D12" s="20"/>
      <c r="E12" s="27">
        <v>4.0</v>
      </c>
      <c r="F12" s="27">
        <v>10.0</v>
      </c>
      <c r="G12" s="27"/>
      <c r="H12" s="27"/>
      <c r="I12" s="24"/>
      <c r="J12" s="9"/>
      <c r="M12" s="11" t="s">
        <v>45</v>
      </c>
      <c r="N12" s="12"/>
      <c r="O12" s="12"/>
      <c r="P12" s="12"/>
      <c r="Q12" s="12"/>
      <c r="R12" s="12"/>
      <c r="S12" s="12"/>
      <c r="T12" s="12"/>
      <c r="U12" s="12"/>
      <c r="V12" s="12"/>
      <c r="W12" s="13"/>
      <c r="Z12" s="28" t="s">
        <v>29</v>
      </c>
      <c r="AA12" s="1">
        <f>SUM(R9,R14,R19,R24,R29)</f>
        <v>4</v>
      </c>
    </row>
    <row r="13" ht="14.25" customHeight="1">
      <c r="A13" s="16" t="s">
        <v>32</v>
      </c>
      <c r="B13" s="108" t="s">
        <v>214</v>
      </c>
      <c r="C13" s="18"/>
      <c r="D13" s="20"/>
      <c r="E13" s="109">
        <v>4.0</v>
      </c>
      <c r="F13" s="109" t="s">
        <v>71</v>
      </c>
      <c r="G13" s="109"/>
      <c r="H13" s="109"/>
      <c r="I13" s="24"/>
      <c r="J13" s="9"/>
      <c r="M13" s="25"/>
      <c r="N13" s="28" t="s">
        <v>16</v>
      </c>
      <c r="O13" s="28" t="s">
        <v>26</v>
      </c>
      <c r="P13" s="28" t="s">
        <v>27</v>
      </c>
      <c r="Q13" s="28" t="s">
        <v>28</v>
      </c>
      <c r="R13" s="28" t="s">
        <v>29</v>
      </c>
      <c r="S13" s="28" t="s">
        <v>30</v>
      </c>
      <c r="T13" s="28" t="s">
        <v>31</v>
      </c>
      <c r="U13" s="28" t="s">
        <v>32</v>
      </c>
      <c r="V13" s="28" t="s">
        <v>33</v>
      </c>
      <c r="W13" s="28" t="s">
        <v>12</v>
      </c>
      <c r="Z13" s="28" t="s">
        <v>30</v>
      </c>
      <c r="AA13" s="1">
        <f>SUM(S9,S14,S19,S24,S29)</f>
        <v>21</v>
      </c>
    </row>
    <row r="14" ht="14.25" customHeight="1">
      <c r="A14" s="16" t="s">
        <v>31</v>
      </c>
      <c r="B14" s="108" t="s">
        <v>556</v>
      </c>
      <c r="C14" s="18"/>
      <c r="D14" s="20"/>
      <c r="E14" s="109">
        <v>3.0</v>
      </c>
      <c r="F14" s="109" t="s">
        <v>499</v>
      </c>
      <c r="G14" s="109"/>
      <c r="H14" s="109"/>
      <c r="I14" s="24"/>
      <c r="J14" s="9"/>
      <c r="M14" s="34" t="s">
        <v>36</v>
      </c>
      <c r="N14" s="35">
        <f>SUMIF($A22:$A31,"Pecho",$E22:$E31)</f>
        <v>0</v>
      </c>
      <c r="O14" s="35">
        <f>SUMIF($A22:$A31,"Espalda",$E22:$E31)</f>
        <v>10</v>
      </c>
      <c r="P14" s="35">
        <f>SUMIF($A22:$A31,"Hombros",$E22:$E31)</f>
        <v>3</v>
      </c>
      <c r="Q14" s="35">
        <f>SUMIF($A22:$A31,"Bíceps",$E22:$E31)</f>
        <v>0</v>
      </c>
      <c r="R14" s="35">
        <f>SUMIF($A22:$A31,"Tríceps",$E22:$E31)</f>
        <v>0</v>
      </c>
      <c r="S14" s="35">
        <f>SUMIF($A22:$A31,"Cuádriceps",$E22:$E31)</f>
        <v>10</v>
      </c>
      <c r="T14" s="35">
        <f>SUMIF($A22:$A31,"Isquios",$E22:$E31)</f>
        <v>0</v>
      </c>
      <c r="U14" s="35">
        <f>SUMIF($A22:$A31,"Glúteos",$E22:$E31)</f>
        <v>0</v>
      </c>
      <c r="V14" s="35">
        <f>SUMIF($A22:$A31,"Pantorrillas",$E22:$E31)</f>
        <v>0</v>
      </c>
      <c r="W14" s="35">
        <f>SUMIF($A22:$A31,"Otros",$E22:$E31)</f>
        <v>8</v>
      </c>
      <c r="Z14" s="28" t="s">
        <v>31</v>
      </c>
      <c r="AA14" s="1">
        <f>SUM(T9,T14,T19,T24,T29)</f>
        <v>11</v>
      </c>
    </row>
    <row r="15" ht="14.25" customHeight="1">
      <c r="A15" s="16" t="s">
        <v>30</v>
      </c>
      <c r="B15" s="30" t="s">
        <v>290</v>
      </c>
      <c r="C15" s="18"/>
      <c r="D15" s="20"/>
      <c r="E15" s="27">
        <v>4.0</v>
      </c>
      <c r="F15" s="27">
        <v>10.0</v>
      </c>
      <c r="G15" s="27"/>
      <c r="H15" s="27"/>
      <c r="I15" s="24"/>
      <c r="J15" s="9"/>
      <c r="M15" s="34" t="s">
        <v>7</v>
      </c>
      <c r="N15" s="35" t="str">
        <f>AVERAGEIF($A22:$A31,"Pecho",$G22:$G31)</f>
        <v>#DIV/0!</v>
      </c>
      <c r="O15" s="35">
        <f>AVERAGEIF($A22:$A31,"Espalda",$G22:$G31)</f>
        <v>8</v>
      </c>
      <c r="P15" s="35" t="str">
        <f>AVERAGEIF($A22:$A31,"Hombros",$G22:$G31)</f>
        <v>#DIV/0!</v>
      </c>
      <c r="Q15" s="35" t="str">
        <f>AVERAGEIF($A22:$A31,"Bíceps",$G22:$G31)</f>
        <v>#DIV/0!</v>
      </c>
      <c r="R15" s="35" t="str">
        <f>AVERAGEIF($A22:$A31,"Tríceps",$G22:$G31)</f>
        <v>#DIV/0!</v>
      </c>
      <c r="S15" s="35" t="str">
        <f>AVERAGEIF($A22:$A31,"Cuádriceps",$G22:$G31)</f>
        <v>#DIV/0!</v>
      </c>
      <c r="T15" s="35" t="str">
        <f>AVERAGEIF($A22:$A31,"Isquios",$G22:$G31)</f>
        <v>#DIV/0!</v>
      </c>
      <c r="U15" s="35" t="str">
        <f>AVERAGEIF($A22:$A31,"Glúteos",$G22:$G31)</f>
        <v>#DIV/0!</v>
      </c>
      <c r="V15" s="35" t="str">
        <f>AVERAGEIF($A22:$A31,"Pantorrillas",$G22:$G31)</f>
        <v>#DIV/0!</v>
      </c>
      <c r="W15" s="35" t="str">
        <f>AVERAGEIF($A22:$A31,"Otros",$G22:$G31)</f>
        <v>#DIV/0!</v>
      </c>
      <c r="Z15" s="28" t="s">
        <v>32</v>
      </c>
      <c r="AA15" s="1">
        <f>SUM(U9,U14,U19,U24,U29)</f>
        <v>14</v>
      </c>
    </row>
    <row r="16" ht="14.25" customHeight="1">
      <c r="A16" s="16" t="s">
        <v>32</v>
      </c>
      <c r="B16" s="30" t="s">
        <v>663</v>
      </c>
      <c r="C16" s="18"/>
      <c r="D16" s="20"/>
      <c r="E16" s="27">
        <v>3.0</v>
      </c>
      <c r="F16" s="27">
        <v>12.0</v>
      </c>
      <c r="G16" s="27"/>
      <c r="H16" s="27"/>
      <c r="I16" s="24"/>
      <c r="J16" s="9"/>
      <c r="M16" s="25"/>
      <c r="N16" s="25"/>
      <c r="O16" s="25"/>
      <c r="P16" s="25"/>
      <c r="Q16" s="25"/>
      <c r="R16" s="25"/>
      <c r="S16" s="25"/>
      <c r="T16" s="25"/>
      <c r="U16" s="25"/>
      <c r="Z16" s="28" t="s">
        <v>33</v>
      </c>
      <c r="AA16" s="1">
        <f>SUM(V9,V14,V19,V24,V29)</f>
        <v>4</v>
      </c>
    </row>
    <row r="17" ht="14.25" customHeight="1">
      <c r="A17" s="16" t="s">
        <v>32</v>
      </c>
      <c r="B17" s="108" t="s">
        <v>664</v>
      </c>
      <c r="C17" s="18"/>
      <c r="D17" s="20"/>
      <c r="E17" s="109">
        <v>3.0</v>
      </c>
      <c r="F17" s="109">
        <v>12.0</v>
      </c>
      <c r="G17" s="109"/>
      <c r="H17" s="109"/>
      <c r="I17" s="24"/>
      <c r="J17" s="9"/>
      <c r="M17" s="11" t="s">
        <v>57</v>
      </c>
      <c r="N17" s="12"/>
      <c r="O17" s="12"/>
      <c r="P17" s="12"/>
      <c r="Q17" s="12"/>
      <c r="R17" s="12"/>
      <c r="S17" s="12"/>
      <c r="T17" s="12"/>
      <c r="U17" s="12"/>
      <c r="V17" s="12"/>
      <c r="W17" s="13"/>
      <c r="Z17" s="28" t="s">
        <v>12</v>
      </c>
      <c r="AA17" s="1">
        <f>SUM(W9,W14,W19,W24,W29)</f>
        <v>26</v>
      </c>
    </row>
    <row r="18" ht="14.25" customHeight="1">
      <c r="B18" s="26"/>
      <c r="C18" s="29"/>
      <c r="D18" s="29"/>
      <c r="M18" s="25"/>
      <c r="N18" s="28" t="s">
        <v>16</v>
      </c>
      <c r="O18" s="28" t="s">
        <v>26</v>
      </c>
      <c r="P18" s="28" t="s">
        <v>27</v>
      </c>
      <c r="Q18" s="28" t="s">
        <v>28</v>
      </c>
      <c r="R18" s="28" t="s">
        <v>29</v>
      </c>
      <c r="S18" s="28" t="s">
        <v>30</v>
      </c>
      <c r="T18" s="28" t="s">
        <v>31</v>
      </c>
      <c r="U18" s="28" t="s">
        <v>32</v>
      </c>
      <c r="V18" s="28" t="s">
        <v>33</v>
      </c>
      <c r="W18" s="28" t="s">
        <v>12</v>
      </c>
    </row>
    <row r="19" ht="14.25" customHeight="1">
      <c r="M19" s="34" t="s">
        <v>36</v>
      </c>
      <c r="N19" s="35">
        <f>SUMIF($A37:$A46,"Pecho",$E37:$E46)</f>
        <v>0</v>
      </c>
      <c r="O19" s="35">
        <f>SUMIF($A37:$A46,"Espalda",$E37:$E46)</f>
        <v>0</v>
      </c>
      <c r="P19" s="35">
        <f>SUMIF($A37:$A46,"Hombros",$E37:$E46)</f>
        <v>3</v>
      </c>
      <c r="Q19" s="35">
        <f>SUMIF($A37:$A46,"Bíceps",$E37:$E46)</f>
        <v>4</v>
      </c>
      <c r="R19" s="35">
        <f>SUMIF($A37:$A46,"Tríceps",$E37:$E46)</f>
        <v>4</v>
      </c>
      <c r="S19" s="35">
        <f>SUMIF($A37:$A46,"Cuádriceps",$E37:$E46)</f>
        <v>7</v>
      </c>
      <c r="T19" s="35">
        <f>SUMIF($A37:$A46,"Isquios",$E37:$E46)</f>
        <v>4</v>
      </c>
      <c r="U19" s="35">
        <f>SUMIF($A37:$A46,"Glúteos",$E37:$E46)</f>
        <v>0</v>
      </c>
      <c r="V19" s="35">
        <f>SUMIF($A37:$A46,"Pantorrillas",$E37:$E46)</f>
        <v>4</v>
      </c>
      <c r="W19" s="35">
        <f>SUMIF($A37:$A46,"Otros",$E37:$E46)</f>
        <v>9</v>
      </c>
    </row>
    <row r="20" ht="14.25" customHeight="1">
      <c r="A20" s="2" t="s">
        <v>45</v>
      </c>
      <c r="B20" s="3"/>
      <c r="C20" s="4"/>
      <c r="J20" s="1"/>
      <c r="M20" s="34" t="s">
        <v>7</v>
      </c>
      <c r="N20" s="35" t="str">
        <f>AVERAGEIF($A37:$A46,"Pecho",$G37:$G46)</f>
        <v>#DIV/0!</v>
      </c>
      <c r="O20" s="35" t="str">
        <f>AVERAGEIF($A37:$A46,"Espalda",$G37:$G46)</f>
        <v>#DIV/0!</v>
      </c>
      <c r="P20" s="35" t="str">
        <f>AVERAGEIF($A37:$A46,"Hombros",$G37:$G46)</f>
        <v>#DIV/0!</v>
      </c>
      <c r="Q20" s="35" t="str">
        <f>AVERAGEIF($A37:$A46,"Bíceps",$G37:$G46)</f>
        <v>#DIV/0!</v>
      </c>
      <c r="R20" s="35" t="str">
        <f>AVERAGEIF($A37:$A46,"Tríceps",$G37:$G46)</f>
        <v>#DIV/0!</v>
      </c>
      <c r="S20" s="35">
        <f>AVERAGEIF($A37:$A46,"Cuádriceps",$G37:$G46)</f>
        <v>8</v>
      </c>
      <c r="T20" s="35" t="str">
        <f>AVERAGEIF($A37:$A46,"Isquios",$G37:$G46)</f>
        <v>#DIV/0!</v>
      </c>
      <c r="U20" s="35" t="str">
        <f>AVERAGEIF($A37:$A46,"Glúteos",$G37:$G46)</f>
        <v>#DIV/0!</v>
      </c>
      <c r="V20" s="35" t="str">
        <f>AVERAGEIF($A37:$A46,"Pantorrillas",$G37:$G46)</f>
        <v>#DIV/0!</v>
      </c>
      <c r="W20" s="35" t="str">
        <f>AVERAGEIF($A37:$A46,"Otros",$G37:$G46)</f>
        <v>#DIV/0!</v>
      </c>
    </row>
    <row r="21" ht="14.25" customHeight="1">
      <c r="A21" s="6" t="s">
        <v>2</v>
      </c>
      <c r="B21" s="10" t="s">
        <v>4</v>
      </c>
      <c r="C21" s="8"/>
      <c r="D21" s="9"/>
      <c r="E21" s="6" t="s">
        <v>5</v>
      </c>
      <c r="F21" s="6" t="s">
        <v>6</v>
      </c>
      <c r="G21" s="6" t="s">
        <v>7</v>
      </c>
      <c r="H21" s="6" t="s">
        <v>8</v>
      </c>
      <c r="I21" s="10" t="s">
        <v>9</v>
      </c>
      <c r="J21" s="9"/>
      <c r="M21" s="25"/>
      <c r="N21" s="25"/>
      <c r="O21" s="25"/>
      <c r="P21" s="25"/>
      <c r="Q21" s="25"/>
      <c r="R21" s="25"/>
      <c r="S21" s="25"/>
      <c r="T21" s="25"/>
      <c r="U21" s="25"/>
    </row>
    <row r="22" ht="14.25" customHeight="1">
      <c r="A22" s="16" t="s">
        <v>12</v>
      </c>
      <c r="B22" s="114" t="s">
        <v>309</v>
      </c>
      <c r="C22" s="18"/>
      <c r="D22" s="20"/>
      <c r="E22" s="115">
        <v>2.0</v>
      </c>
      <c r="F22" s="115">
        <v>10.0</v>
      </c>
      <c r="G22" s="115"/>
      <c r="H22" s="115"/>
      <c r="I22" s="24"/>
      <c r="J22" s="9"/>
      <c r="M22" s="11" t="s">
        <v>66</v>
      </c>
      <c r="N22" s="12"/>
      <c r="O22" s="12"/>
      <c r="P22" s="12"/>
      <c r="Q22" s="12"/>
      <c r="R22" s="12"/>
      <c r="S22" s="12"/>
      <c r="T22" s="12"/>
      <c r="U22" s="12"/>
      <c r="V22" s="12"/>
      <c r="W22" s="13"/>
    </row>
    <row r="23" ht="14.25" customHeight="1">
      <c r="A23" s="16" t="s">
        <v>12</v>
      </c>
      <c r="B23" s="114" t="s">
        <v>680</v>
      </c>
      <c r="C23" s="18"/>
      <c r="D23" s="20"/>
      <c r="E23" s="115">
        <v>3.0</v>
      </c>
      <c r="F23" s="115" t="s">
        <v>289</v>
      </c>
      <c r="G23" s="115"/>
      <c r="H23" s="115"/>
      <c r="I23" s="24"/>
      <c r="J23" s="9"/>
      <c r="M23" s="25"/>
      <c r="N23" s="28" t="s">
        <v>16</v>
      </c>
      <c r="O23" s="28" t="s">
        <v>26</v>
      </c>
      <c r="P23" s="28" t="s">
        <v>27</v>
      </c>
      <c r="Q23" s="28" t="s">
        <v>28</v>
      </c>
      <c r="R23" s="28" t="s">
        <v>29</v>
      </c>
      <c r="S23" s="28" t="s">
        <v>30</v>
      </c>
      <c r="T23" s="28" t="s">
        <v>31</v>
      </c>
      <c r="U23" s="28" t="s">
        <v>32</v>
      </c>
      <c r="V23" s="28" t="s">
        <v>33</v>
      </c>
      <c r="W23" s="28" t="s">
        <v>12</v>
      </c>
    </row>
    <row r="24" ht="14.25" customHeight="1">
      <c r="A24" s="16" t="s">
        <v>12</v>
      </c>
      <c r="B24" s="114" t="s">
        <v>511</v>
      </c>
      <c r="C24" s="18"/>
      <c r="D24" s="20"/>
      <c r="E24" s="115">
        <v>3.0</v>
      </c>
      <c r="F24" s="115">
        <v>10.0</v>
      </c>
      <c r="G24" s="115"/>
      <c r="H24" s="115"/>
      <c r="I24" s="24"/>
      <c r="J24" s="9"/>
      <c r="M24" s="34" t="s">
        <v>36</v>
      </c>
      <c r="N24" s="35">
        <f>SUMIF($A51:$A60,"Pecho",$E51:$E60)</f>
        <v>0</v>
      </c>
      <c r="O24" s="35">
        <f>SUMIF($A51:$A60,"Espalda",$E51:$E60)</f>
        <v>0</v>
      </c>
      <c r="P24" s="35">
        <f>SUMIF($A51:$A60,"Hombros",$E51:$E60)</f>
        <v>0</v>
      </c>
      <c r="Q24" s="35">
        <f>SUMIF($A51:$A60,"Bíceps",$E51:$E60)</f>
        <v>0</v>
      </c>
      <c r="R24" s="35">
        <f>SUMIF($A51:$A60,"Tríceps",$E51:$E60)</f>
        <v>0</v>
      </c>
      <c r="S24" s="35">
        <f>SUMIF($A51:$A60,"Cuádriceps",$E51:$E60)</f>
        <v>0</v>
      </c>
      <c r="T24" s="35">
        <f>SUMIF($A51:$A60,"Isquios",$E51:$E60)</f>
        <v>0</v>
      </c>
      <c r="U24" s="35">
        <f>SUMIF($A51:$A60,"Glúteos",$E51:$E60)</f>
        <v>0</v>
      </c>
      <c r="V24" s="35">
        <f>SUMIF($A51:$A60,"Pantorrillas",$E51:$E60)</f>
        <v>0</v>
      </c>
      <c r="W24" s="35">
        <f>SUMIF($A51:$A60,"Otros",$E51:$E60)</f>
        <v>0</v>
      </c>
    </row>
    <row r="25" ht="14.25" customHeight="1">
      <c r="A25" s="16" t="s">
        <v>26</v>
      </c>
      <c r="B25" s="30" t="s">
        <v>192</v>
      </c>
      <c r="C25" s="18"/>
      <c r="D25" s="20"/>
      <c r="E25" s="115">
        <v>4.0</v>
      </c>
      <c r="F25" s="27">
        <v>10.0</v>
      </c>
      <c r="G25" s="27">
        <v>8.0</v>
      </c>
      <c r="H25" s="27" t="s">
        <v>55</v>
      </c>
      <c r="I25" s="24"/>
      <c r="J25" s="9"/>
      <c r="M25" s="34" t="s">
        <v>7</v>
      </c>
      <c r="N25" s="35" t="str">
        <f>AVERAGEIF($A51:$A60,"Pecho",$G51:$G60)</f>
        <v>#DIV/0!</v>
      </c>
      <c r="O25" s="35" t="str">
        <f>AVERAGEIF($A51:$A60,"Espalda",$G51:$G60)</f>
        <v>#DIV/0!</v>
      </c>
      <c r="P25" s="35" t="str">
        <f>AVERAGEIF($A51:$A60,"Hombros",$G51:$G60)</f>
        <v>#DIV/0!</v>
      </c>
      <c r="Q25" s="35" t="str">
        <f>AVERAGEIF($A51:$A60,"Bíceps",$G51:$G60)</f>
        <v>#DIV/0!</v>
      </c>
      <c r="R25" s="35" t="str">
        <f>AVERAGEIF($A51:$A60,"Tríceps",$G51:$G60)</f>
        <v>#DIV/0!</v>
      </c>
      <c r="S25" s="35" t="str">
        <f>AVERAGEIF($A51:$A60,"Cuádriceps",$G51:$G60)</f>
        <v>#DIV/0!</v>
      </c>
      <c r="T25" s="35" t="str">
        <f>AVERAGEIF($A51:$A60,"Isquios",$G51:$G60)</f>
        <v>#DIV/0!</v>
      </c>
      <c r="U25" s="35" t="str">
        <f>AVERAGEIF($A51:$A60,"Glúteos",$G51:$G60)</f>
        <v>#DIV/0!</v>
      </c>
      <c r="V25" s="35" t="str">
        <f>AVERAGEIF($A51:$A60,"Pantorrillas",$G51:$G60)</f>
        <v>#DIV/0!</v>
      </c>
      <c r="W25" s="35" t="str">
        <f>AVERAGEIF($A51:$A60,"Otros",$G51:$G60)</f>
        <v>#DIV/0!</v>
      </c>
    </row>
    <row r="26" ht="14.25" customHeight="1">
      <c r="A26" s="16" t="s">
        <v>26</v>
      </c>
      <c r="B26" s="30" t="s">
        <v>415</v>
      </c>
      <c r="C26" s="18"/>
      <c r="D26" s="20"/>
      <c r="E26" s="115">
        <v>3.0</v>
      </c>
      <c r="F26" s="27" t="s">
        <v>522</v>
      </c>
      <c r="G26" s="27"/>
      <c r="H26" s="27"/>
      <c r="I26" s="24"/>
      <c r="J26" s="9"/>
      <c r="M26" s="25"/>
      <c r="N26" s="25"/>
      <c r="O26" s="25"/>
      <c r="P26" s="25"/>
      <c r="Q26" s="25"/>
      <c r="R26" s="25"/>
      <c r="S26" s="25"/>
      <c r="T26" s="25"/>
      <c r="U26" s="25"/>
    </row>
    <row r="27" ht="14.25" customHeight="1">
      <c r="A27" s="16" t="s">
        <v>30</v>
      </c>
      <c r="B27" s="108" t="s">
        <v>542</v>
      </c>
      <c r="C27" s="18"/>
      <c r="D27" s="20"/>
      <c r="E27" s="115">
        <v>4.0</v>
      </c>
      <c r="F27" s="109">
        <v>10.0</v>
      </c>
      <c r="G27" s="109"/>
      <c r="H27" s="109"/>
      <c r="I27" s="24"/>
      <c r="J27" s="9"/>
      <c r="M27" s="11" t="s">
        <v>76</v>
      </c>
      <c r="N27" s="12"/>
      <c r="O27" s="12"/>
      <c r="P27" s="12"/>
      <c r="Q27" s="12"/>
      <c r="R27" s="12"/>
      <c r="S27" s="12"/>
      <c r="T27" s="12"/>
      <c r="U27" s="12"/>
      <c r="V27" s="12"/>
      <c r="W27" s="13"/>
    </row>
    <row r="28" ht="14.25" customHeight="1">
      <c r="A28" s="16" t="s">
        <v>30</v>
      </c>
      <c r="B28" s="108" t="s">
        <v>687</v>
      </c>
      <c r="C28" s="18"/>
      <c r="D28" s="20"/>
      <c r="E28" s="115">
        <v>3.0</v>
      </c>
      <c r="F28" s="109">
        <v>10.0</v>
      </c>
      <c r="G28" s="109"/>
      <c r="H28" s="109"/>
      <c r="I28" s="24"/>
      <c r="J28" s="9"/>
      <c r="M28" s="25"/>
      <c r="N28" s="28" t="s">
        <v>16</v>
      </c>
      <c r="O28" s="28" t="s">
        <v>26</v>
      </c>
      <c r="P28" s="28" t="s">
        <v>27</v>
      </c>
      <c r="Q28" s="28" t="s">
        <v>28</v>
      </c>
      <c r="R28" s="28" t="s">
        <v>29</v>
      </c>
      <c r="S28" s="28" t="s">
        <v>30</v>
      </c>
      <c r="T28" s="28" t="s">
        <v>31</v>
      </c>
      <c r="U28" s="28" t="s">
        <v>32</v>
      </c>
      <c r="V28" s="28" t="s">
        <v>33</v>
      </c>
      <c r="W28" s="28" t="s">
        <v>12</v>
      </c>
    </row>
    <row r="29" ht="14.25" customHeight="1">
      <c r="A29" s="16" t="s">
        <v>30</v>
      </c>
      <c r="B29" s="30" t="s">
        <v>689</v>
      </c>
      <c r="C29" s="18"/>
      <c r="D29" s="20"/>
      <c r="E29" s="115">
        <v>3.0</v>
      </c>
      <c r="F29" s="27">
        <v>10.0</v>
      </c>
      <c r="G29" s="27"/>
      <c r="H29" s="27"/>
      <c r="I29" s="24"/>
      <c r="J29" s="9"/>
      <c r="M29" s="34" t="s">
        <v>36</v>
      </c>
      <c r="N29" s="35">
        <f>SUMIF($A65:$A74,"Pecho",$E65:$E74)</f>
        <v>0</v>
      </c>
      <c r="O29" s="35">
        <f>SUMIF($A65:$A74,"Espalda",$E65:$E74)</f>
        <v>0</v>
      </c>
      <c r="P29" s="35">
        <f>SUMIF($A65:$A74,"Hombros",$E65:$E74)</f>
        <v>0</v>
      </c>
      <c r="Q29" s="35">
        <f>SUMIF($A65:$A74,"Bíceps",$E65:$E74)</f>
        <v>0</v>
      </c>
      <c r="R29" s="35">
        <f>SUMIF($A65:$A74,"Tríceps",$E65:$E74)</f>
        <v>0</v>
      </c>
      <c r="S29" s="35">
        <f>SUMIF($A65:$A74,"Cuádriceps",$E65:$E74)</f>
        <v>0</v>
      </c>
      <c r="T29" s="35">
        <f>SUMIF($A65:$A74,"Isquios",$E65:$E74)</f>
        <v>0</v>
      </c>
      <c r="U29" s="35">
        <f>SUMIF($A65:$A74,"Glúteos",$E65:$E74)</f>
        <v>0</v>
      </c>
      <c r="V29" s="35">
        <f>SUMIF($A65:$A74,"Pantorrillas",$E65:$E74)</f>
        <v>0</v>
      </c>
      <c r="W29" s="35">
        <f>SUMIF($A65:$A74,"Otros",$E65:$E74)</f>
        <v>0</v>
      </c>
    </row>
    <row r="30" ht="14.25" customHeight="1">
      <c r="A30" s="16" t="s">
        <v>27</v>
      </c>
      <c r="B30" s="30" t="s">
        <v>533</v>
      </c>
      <c r="C30" s="18"/>
      <c r="D30" s="20"/>
      <c r="E30" s="115">
        <v>3.0</v>
      </c>
      <c r="F30" s="27">
        <v>10.0</v>
      </c>
      <c r="G30" s="27"/>
      <c r="H30" s="27"/>
      <c r="I30" s="24"/>
      <c r="J30" s="9"/>
      <c r="M30" s="34" t="s">
        <v>7</v>
      </c>
      <c r="N30" s="35" t="str">
        <f>AVERAGEIF($A65:$A74,"Pecho",$G65:$G74)</f>
        <v>#DIV/0!</v>
      </c>
      <c r="O30" s="35" t="str">
        <f>AVERAGEIF($A65:$A74,"Espalda",$G65:$G74)</f>
        <v>#DIV/0!</v>
      </c>
      <c r="P30" s="35" t="str">
        <f>AVERAGEIF($A65:$A74,"Hombros",$G65:$G74)</f>
        <v>#DIV/0!</v>
      </c>
      <c r="Q30" s="35" t="str">
        <f>AVERAGEIF($A65:$A74,"Bíceps",$G65:$G74)</f>
        <v>#DIV/0!</v>
      </c>
      <c r="R30" s="35" t="str">
        <f>AVERAGEIF($A65:$A74,"Tríceps",$G65:$G74)</f>
        <v>#DIV/0!</v>
      </c>
      <c r="S30" s="35" t="str">
        <f>AVERAGEIF($A65:$A74,"Cuádriceps",$G65:$G74)</f>
        <v>#DIV/0!</v>
      </c>
      <c r="T30" s="35" t="str">
        <f>AVERAGEIF($A65:$A74,"Isquios",$G65:$G74)</f>
        <v>#DIV/0!</v>
      </c>
      <c r="U30" s="35" t="str">
        <f>AVERAGEIF($A65:$A74,"Glúteos",$G65:$G74)</f>
        <v>#DIV/0!</v>
      </c>
      <c r="V30" s="35" t="str">
        <f>AVERAGEIF($A65:$A74,"Pantorrillas",$G65:$G74)</f>
        <v>#DIV/0!</v>
      </c>
      <c r="W30" s="35" t="str">
        <f>AVERAGEIF($A65:$A74,"Otros",$G65:$G74)</f>
        <v>#DIV/0!</v>
      </c>
    </row>
    <row r="31" ht="14.25" customHeight="1">
      <c r="A31" s="16" t="s">
        <v>26</v>
      </c>
      <c r="B31" s="118" t="s">
        <v>695</v>
      </c>
      <c r="C31" s="8"/>
      <c r="D31" s="9"/>
      <c r="E31" s="115">
        <v>3.0</v>
      </c>
      <c r="F31" s="68" t="s">
        <v>696</v>
      </c>
      <c r="G31" s="68"/>
      <c r="H31" s="68"/>
      <c r="I31" s="24"/>
      <c r="J31" s="9"/>
    </row>
    <row r="32" ht="14.25" customHeight="1">
      <c r="A32" s="1" t="s">
        <v>29</v>
      </c>
      <c r="B32" s="120"/>
      <c r="C32" s="119" t="s">
        <v>697</v>
      </c>
      <c r="D32" s="123"/>
      <c r="E32" s="115">
        <v>3.0</v>
      </c>
      <c r="F32" s="121">
        <v>12.0</v>
      </c>
      <c r="G32" s="121"/>
      <c r="H32" s="121"/>
      <c r="I32" s="25"/>
      <c r="J32" s="1"/>
    </row>
    <row r="33" ht="14.25" customHeight="1">
      <c r="B33" s="26"/>
      <c r="C33" s="29"/>
      <c r="D33" s="29"/>
    </row>
    <row r="34" ht="14.25" customHeight="1"/>
    <row r="35" ht="14.25" customHeight="1">
      <c r="A35" s="2" t="s">
        <v>57</v>
      </c>
      <c r="B35" s="3"/>
      <c r="C35" s="4"/>
      <c r="J35" s="1"/>
    </row>
    <row r="36" ht="14.25" customHeight="1">
      <c r="A36" s="6" t="s">
        <v>2</v>
      </c>
      <c r="B36" s="10" t="s">
        <v>4</v>
      </c>
      <c r="C36" s="8"/>
      <c r="D36" s="9"/>
      <c r="E36" s="6" t="s">
        <v>5</v>
      </c>
      <c r="F36" s="6" t="s">
        <v>6</v>
      </c>
      <c r="G36" s="6" t="s">
        <v>7</v>
      </c>
      <c r="H36" s="6" t="s">
        <v>8</v>
      </c>
      <c r="I36" s="10" t="s">
        <v>9</v>
      </c>
      <c r="J36" s="9"/>
    </row>
    <row r="37" ht="14.25" customHeight="1">
      <c r="A37" s="122" t="s">
        <v>12</v>
      </c>
      <c r="B37" s="114" t="s">
        <v>699</v>
      </c>
      <c r="C37" s="18"/>
      <c r="D37" s="20"/>
      <c r="E37" s="115">
        <v>3.0</v>
      </c>
      <c r="F37" s="115">
        <v>10.0</v>
      </c>
      <c r="G37" s="115"/>
      <c r="H37" s="115"/>
      <c r="I37" s="24"/>
      <c r="J37" s="9"/>
    </row>
    <row r="38" ht="14.25" customHeight="1">
      <c r="A38" s="122" t="s">
        <v>12</v>
      </c>
      <c r="B38" s="114" t="s">
        <v>703</v>
      </c>
      <c r="C38" s="18"/>
      <c r="D38" s="20"/>
      <c r="E38" s="115">
        <v>3.0</v>
      </c>
      <c r="F38" s="115">
        <v>12.0</v>
      </c>
      <c r="G38" s="115"/>
      <c r="H38" s="115"/>
      <c r="I38" s="24"/>
      <c r="J38" s="9"/>
    </row>
    <row r="39" ht="14.25" customHeight="1">
      <c r="A39" s="122" t="s">
        <v>12</v>
      </c>
      <c r="B39" s="114" t="s">
        <v>705</v>
      </c>
      <c r="C39" s="18"/>
      <c r="D39" s="20"/>
      <c r="E39" s="115">
        <v>3.0</v>
      </c>
      <c r="F39" s="115">
        <v>12.0</v>
      </c>
      <c r="G39" s="115"/>
      <c r="H39" s="115"/>
      <c r="I39" s="24"/>
      <c r="J39" s="9"/>
    </row>
    <row r="40" ht="14.25" customHeight="1">
      <c r="A40" s="16" t="s">
        <v>30</v>
      </c>
      <c r="B40" s="30" t="s">
        <v>211</v>
      </c>
      <c r="C40" s="18"/>
      <c r="D40" s="20"/>
      <c r="E40" s="27">
        <v>4.0</v>
      </c>
      <c r="F40" s="27">
        <v>10.0</v>
      </c>
      <c r="G40" s="27">
        <v>8.0</v>
      </c>
      <c r="H40" s="27" t="s">
        <v>55</v>
      </c>
      <c r="I40" s="24"/>
      <c r="J40" s="9"/>
    </row>
    <row r="41" ht="14.25" customHeight="1">
      <c r="A41" s="16" t="s">
        <v>30</v>
      </c>
      <c r="B41" s="30" t="s">
        <v>707</v>
      </c>
      <c r="C41" s="18"/>
      <c r="D41" s="20"/>
      <c r="E41" s="27">
        <v>3.0</v>
      </c>
      <c r="F41" s="27">
        <v>12.0</v>
      </c>
      <c r="G41" s="27"/>
      <c r="H41" s="27"/>
      <c r="I41" s="24"/>
      <c r="J41" s="9"/>
    </row>
    <row r="42" ht="14.25" customHeight="1">
      <c r="A42" s="68" t="s">
        <v>29</v>
      </c>
      <c r="B42" s="108" t="s">
        <v>708</v>
      </c>
      <c r="C42" s="18"/>
      <c r="D42" s="20"/>
      <c r="E42" s="109">
        <v>4.0</v>
      </c>
      <c r="F42" s="109">
        <v>12.0</v>
      </c>
      <c r="G42" s="109"/>
      <c r="H42" s="109"/>
      <c r="I42" s="139"/>
      <c r="J42" s="9"/>
    </row>
    <row r="43" ht="14.25" customHeight="1">
      <c r="A43" s="68" t="s">
        <v>31</v>
      </c>
      <c r="B43" s="108" t="s">
        <v>711</v>
      </c>
      <c r="C43" s="18"/>
      <c r="D43" s="20"/>
      <c r="E43" s="109">
        <v>4.0</v>
      </c>
      <c r="F43" s="109">
        <v>10.0</v>
      </c>
      <c r="G43" s="109"/>
      <c r="H43" s="109"/>
      <c r="I43" s="139"/>
      <c r="J43" s="9"/>
    </row>
    <row r="44" ht="14.25" customHeight="1">
      <c r="A44" s="16" t="s">
        <v>27</v>
      </c>
      <c r="B44" s="30" t="s">
        <v>713</v>
      </c>
      <c r="C44" s="18"/>
      <c r="D44" s="20"/>
      <c r="E44" s="27">
        <v>3.0</v>
      </c>
      <c r="F44" s="27">
        <v>12.0</v>
      </c>
      <c r="G44" s="27"/>
      <c r="H44" s="27"/>
      <c r="I44" s="24"/>
      <c r="J44" s="9"/>
    </row>
    <row r="45" ht="14.25" customHeight="1">
      <c r="A45" s="16" t="s">
        <v>28</v>
      </c>
      <c r="B45" s="30" t="s">
        <v>714</v>
      </c>
      <c r="C45" s="18"/>
      <c r="D45" s="20"/>
      <c r="E45" s="27">
        <v>4.0</v>
      </c>
      <c r="F45" s="27" t="s">
        <v>178</v>
      </c>
      <c r="G45" s="27"/>
      <c r="H45" s="27"/>
      <c r="I45" s="24"/>
      <c r="J45" s="9"/>
    </row>
    <row r="46" ht="14.25" customHeight="1">
      <c r="A46" s="16" t="s">
        <v>33</v>
      </c>
      <c r="B46" s="60" t="s">
        <v>716</v>
      </c>
      <c r="C46" s="8"/>
      <c r="D46" s="9"/>
      <c r="E46" s="27">
        <v>4.0</v>
      </c>
      <c r="F46" s="27">
        <v>12.0</v>
      </c>
      <c r="G46" s="27"/>
      <c r="H46" s="27"/>
      <c r="I46" s="24"/>
      <c r="J46" s="9"/>
    </row>
    <row r="47" ht="14.25" customHeight="1">
      <c r="B47" s="26"/>
      <c r="C47" s="29"/>
      <c r="D47" s="29"/>
    </row>
    <row r="48" ht="14.25" customHeight="1"/>
    <row r="49" ht="14.25" customHeight="1">
      <c r="A49" s="2" t="s">
        <v>66</v>
      </c>
      <c r="B49" s="3"/>
      <c r="C49" s="4"/>
      <c r="J49" s="1"/>
    </row>
    <row r="50" ht="14.25" customHeight="1">
      <c r="A50" s="6" t="s">
        <v>2</v>
      </c>
      <c r="B50" s="10" t="s">
        <v>4</v>
      </c>
      <c r="C50" s="8"/>
      <c r="D50" s="9"/>
      <c r="E50" s="6" t="s">
        <v>5</v>
      </c>
      <c r="F50" s="6" t="s">
        <v>6</v>
      </c>
      <c r="G50" s="6" t="s">
        <v>7</v>
      </c>
      <c r="H50" s="6" t="s">
        <v>8</v>
      </c>
      <c r="I50" s="10" t="s">
        <v>9</v>
      </c>
      <c r="J50" s="9"/>
    </row>
    <row r="51" ht="14.25" customHeight="1">
      <c r="A51" s="16"/>
      <c r="B51" s="26"/>
      <c r="C51" s="29"/>
      <c r="D51" s="29"/>
      <c r="E51" s="16"/>
      <c r="F51" s="16"/>
      <c r="G51" s="16"/>
      <c r="H51" s="16"/>
      <c r="I51" s="24"/>
      <c r="J51" s="9"/>
    </row>
    <row r="52" ht="14.25" customHeight="1">
      <c r="A52" s="16"/>
      <c r="B52" s="26"/>
      <c r="C52" s="29"/>
      <c r="D52" s="29"/>
      <c r="E52" s="16"/>
      <c r="F52" s="16"/>
      <c r="G52" s="16"/>
      <c r="H52" s="16"/>
      <c r="I52" s="24"/>
      <c r="J52" s="9"/>
    </row>
    <row r="53" ht="14.25" customHeight="1">
      <c r="A53" s="16" t="s">
        <v>12</v>
      </c>
      <c r="B53" s="26" t="s">
        <v>329</v>
      </c>
      <c r="C53" s="29"/>
      <c r="D53" s="29"/>
      <c r="E53" s="16"/>
      <c r="F53" s="16">
        <v>10.0</v>
      </c>
      <c r="G53" s="16"/>
      <c r="H53" s="16"/>
      <c r="I53" s="24"/>
      <c r="J53" s="9"/>
    </row>
    <row r="54" ht="14.25" customHeight="1">
      <c r="A54" s="16" t="s">
        <v>31</v>
      </c>
      <c r="B54" s="30" t="s">
        <v>331</v>
      </c>
      <c r="C54" s="18"/>
      <c r="D54" s="20"/>
      <c r="E54" s="27"/>
      <c r="F54" s="27">
        <v>10.0</v>
      </c>
      <c r="G54" s="27"/>
      <c r="H54" s="27"/>
      <c r="I54" s="24"/>
      <c r="J54" s="9"/>
    </row>
    <row r="55" ht="14.25" customHeight="1">
      <c r="A55" s="16" t="s">
        <v>32</v>
      </c>
      <c r="B55" s="30" t="s">
        <v>333</v>
      </c>
      <c r="C55" s="18"/>
      <c r="D55" s="20"/>
      <c r="E55" s="27"/>
      <c r="F55" s="27" t="s">
        <v>278</v>
      </c>
      <c r="G55" s="27"/>
      <c r="H55" s="27"/>
      <c r="I55" s="24"/>
      <c r="J55" s="9"/>
    </row>
    <row r="56" ht="14.25" customHeight="1">
      <c r="A56" s="16" t="s">
        <v>26</v>
      </c>
      <c r="B56" s="30" t="s">
        <v>335</v>
      </c>
      <c r="C56" s="18"/>
      <c r="D56" s="20"/>
      <c r="E56" s="27"/>
      <c r="F56" s="27">
        <v>8.0</v>
      </c>
      <c r="G56" s="27"/>
      <c r="H56" s="27"/>
      <c r="I56" s="24"/>
      <c r="J56" s="9"/>
    </row>
    <row r="57" ht="14.25" customHeight="1">
      <c r="A57" s="16" t="s">
        <v>32</v>
      </c>
      <c r="B57" s="30" t="s">
        <v>338</v>
      </c>
      <c r="C57" s="18"/>
      <c r="D57" s="20"/>
      <c r="E57" s="27"/>
      <c r="F57" s="27">
        <v>8.0</v>
      </c>
      <c r="G57" s="27"/>
      <c r="H57" s="27"/>
      <c r="I57" s="24"/>
      <c r="J57" s="9"/>
    </row>
    <row r="58" ht="14.25" customHeight="1">
      <c r="A58" s="16" t="s">
        <v>26</v>
      </c>
      <c r="B58" s="30" t="s">
        <v>340</v>
      </c>
      <c r="C58" s="18"/>
      <c r="D58" s="20"/>
      <c r="E58" s="27"/>
      <c r="F58" s="27">
        <v>10.0</v>
      </c>
      <c r="G58" s="27"/>
      <c r="H58" s="27"/>
      <c r="I58" s="24"/>
      <c r="J58" s="9"/>
    </row>
    <row r="59" ht="14.25" customHeight="1">
      <c r="A59" s="16" t="s">
        <v>28</v>
      </c>
      <c r="B59" s="30" t="s">
        <v>341</v>
      </c>
      <c r="C59" s="18"/>
      <c r="D59" s="20"/>
      <c r="E59" s="27"/>
      <c r="F59" s="27"/>
      <c r="G59" s="27"/>
      <c r="H59" s="27"/>
      <c r="I59" s="24"/>
      <c r="J59" s="9"/>
    </row>
    <row r="60" ht="14.25" customHeight="1">
      <c r="A60" s="16" t="s">
        <v>33</v>
      </c>
      <c r="B60" s="60" t="s">
        <v>342</v>
      </c>
      <c r="C60" s="8"/>
      <c r="D60" s="9"/>
      <c r="E60" s="27"/>
      <c r="F60" s="27">
        <v>10.0</v>
      </c>
      <c r="G60" s="27"/>
      <c r="H60" s="27"/>
      <c r="I60" s="24"/>
      <c r="J60" s="9"/>
    </row>
    <row r="61" ht="14.25" customHeight="1">
      <c r="B61" s="26"/>
      <c r="C61" s="29"/>
      <c r="D61" s="29"/>
    </row>
    <row r="62" ht="14.25" customHeight="1"/>
    <row r="63" ht="14.25" customHeight="1">
      <c r="A63" s="2" t="s">
        <v>76</v>
      </c>
      <c r="B63" s="3"/>
      <c r="C63" s="4"/>
      <c r="J63" s="1"/>
    </row>
    <row r="64" ht="14.25" customHeight="1">
      <c r="A64" s="6" t="s">
        <v>2</v>
      </c>
      <c r="B64" s="10" t="s">
        <v>4</v>
      </c>
      <c r="C64" s="8"/>
      <c r="D64" s="9"/>
      <c r="E64" s="6" t="s">
        <v>5</v>
      </c>
      <c r="F64" s="6" t="s">
        <v>6</v>
      </c>
      <c r="G64" s="6" t="s">
        <v>7</v>
      </c>
      <c r="H64" s="6" t="s">
        <v>8</v>
      </c>
      <c r="I64" s="10" t="s">
        <v>9</v>
      </c>
      <c r="J64" s="9"/>
    </row>
    <row r="65" ht="14.25" customHeight="1">
      <c r="A65" s="16"/>
      <c r="B65" s="26"/>
      <c r="C65" s="29"/>
      <c r="D65" s="29"/>
      <c r="E65" s="16"/>
      <c r="F65" s="16"/>
      <c r="G65" s="16"/>
      <c r="H65" s="16"/>
      <c r="I65" s="24"/>
      <c r="J65" s="9"/>
    </row>
    <row r="66" ht="14.25" customHeight="1">
      <c r="A66" s="16"/>
      <c r="B66" s="26"/>
      <c r="C66" s="29"/>
      <c r="D66" s="29"/>
      <c r="E66" s="16"/>
      <c r="F66" s="16"/>
      <c r="G66" s="16"/>
      <c r="H66" s="16"/>
      <c r="I66" s="24"/>
      <c r="J66" s="9"/>
    </row>
    <row r="67" ht="14.25" customHeight="1">
      <c r="A67" s="16"/>
      <c r="B67" s="26"/>
      <c r="C67" s="29"/>
      <c r="D67" s="29"/>
      <c r="E67" s="16"/>
      <c r="F67" s="16"/>
      <c r="G67" s="16"/>
      <c r="H67" s="16"/>
      <c r="I67" s="24"/>
      <c r="J67" s="9"/>
    </row>
    <row r="68" ht="14.25" customHeight="1">
      <c r="A68" s="16"/>
      <c r="B68" s="26"/>
      <c r="C68" s="29"/>
      <c r="D68" s="29"/>
      <c r="E68" s="16"/>
      <c r="F68" s="16"/>
      <c r="G68" s="16"/>
      <c r="H68" s="16"/>
      <c r="I68" s="24"/>
      <c r="J68" s="9"/>
    </row>
    <row r="69" ht="14.25" customHeight="1">
      <c r="A69" s="16"/>
      <c r="B69" s="26"/>
      <c r="C69" s="29"/>
      <c r="D69" s="29"/>
      <c r="E69" s="16"/>
      <c r="F69" s="16"/>
      <c r="G69" s="16"/>
      <c r="H69" s="16"/>
      <c r="I69" s="24"/>
      <c r="J69" s="9"/>
    </row>
    <row r="70" ht="14.25" customHeight="1">
      <c r="A70" s="16"/>
      <c r="B70" s="26"/>
      <c r="C70" s="29"/>
      <c r="D70" s="29"/>
      <c r="E70" s="16"/>
      <c r="F70" s="16"/>
      <c r="G70" s="16"/>
      <c r="H70" s="16"/>
      <c r="I70" s="24"/>
      <c r="J70" s="9"/>
    </row>
    <row r="71" ht="14.25" customHeight="1">
      <c r="A71" s="16"/>
      <c r="B71" s="26"/>
      <c r="C71" s="29"/>
      <c r="D71" s="29"/>
      <c r="E71" s="16"/>
      <c r="F71" s="16"/>
      <c r="G71" s="16"/>
      <c r="H71" s="16"/>
      <c r="I71" s="24"/>
      <c r="J71" s="9"/>
    </row>
    <row r="72" ht="14.25" customHeight="1">
      <c r="A72" s="16"/>
      <c r="B72" s="26"/>
      <c r="C72" s="29"/>
      <c r="D72" s="29"/>
      <c r="E72" s="16"/>
      <c r="F72" s="16"/>
      <c r="G72" s="16"/>
      <c r="H72" s="16"/>
      <c r="I72" s="24"/>
      <c r="J72" s="9"/>
    </row>
    <row r="73" ht="14.25" customHeight="1">
      <c r="A73" s="16"/>
      <c r="B73" s="26"/>
      <c r="C73" s="29"/>
      <c r="D73" s="29"/>
      <c r="E73" s="16"/>
      <c r="F73" s="16"/>
      <c r="G73" s="16"/>
      <c r="H73" s="16"/>
      <c r="I73" s="24"/>
      <c r="J73" s="9"/>
    </row>
    <row r="74" ht="14.25" customHeight="1">
      <c r="A74" s="16"/>
      <c r="B74" s="58"/>
      <c r="C74" s="8"/>
      <c r="D74" s="9"/>
      <c r="E74" s="16"/>
      <c r="F74" s="16"/>
      <c r="G74" s="16"/>
      <c r="H74" s="16"/>
      <c r="I74" s="24"/>
      <c r="J74" s="9"/>
    </row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5">
    <mergeCell ref="I26:J26"/>
    <mergeCell ref="I27:J27"/>
    <mergeCell ref="I11:J11"/>
    <mergeCell ref="I13:J13"/>
    <mergeCell ref="I21:J21"/>
    <mergeCell ref="I22:J22"/>
    <mergeCell ref="I23:J23"/>
    <mergeCell ref="I24:J24"/>
    <mergeCell ref="I25:J25"/>
    <mergeCell ref="B26:D26"/>
    <mergeCell ref="B27:D27"/>
    <mergeCell ref="M27:W27"/>
    <mergeCell ref="I28:J28"/>
    <mergeCell ref="B28:D28"/>
    <mergeCell ref="B29:D29"/>
    <mergeCell ref="I29:J29"/>
    <mergeCell ref="B30:D30"/>
    <mergeCell ref="I30:J30"/>
    <mergeCell ref="B31:D31"/>
    <mergeCell ref="I31:J31"/>
    <mergeCell ref="A6:C6"/>
    <mergeCell ref="B7:D7"/>
    <mergeCell ref="I7:J7"/>
    <mergeCell ref="M7:W7"/>
    <mergeCell ref="Z7:AB7"/>
    <mergeCell ref="B8:D8"/>
    <mergeCell ref="B9:D9"/>
    <mergeCell ref="I12:J12"/>
    <mergeCell ref="M12:W12"/>
    <mergeCell ref="I8:J8"/>
    <mergeCell ref="I9:J9"/>
    <mergeCell ref="B10:D10"/>
    <mergeCell ref="I10:J10"/>
    <mergeCell ref="B11:D11"/>
    <mergeCell ref="B12:D12"/>
    <mergeCell ref="B13:D13"/>
    <mergeCell ref="I17:J17"/>
    <mergeCell ref="M17:W17"/>
    <mergeCell ref="M22:W22"/>
    <mergeCell ref="B14:D14"/>
    <mergeCell ref="I14:J14"/>
    <mergeCell ref="B15:D15"/>
    <mergeCell ref="I15:J15"/>
    <mergeCell ref="B16:D16"/>
    <mergeCell ref="I16:J16"/>
    <mergeCell ref="B17:D17"/>
    <mergeCell ref="B18:D18"/>
    <mergeCell ref="A20:C20"/>
    <mergeCell ref="B21:D21"/>
    <mergeCell ref="B22:D22"/>
    <mergeCell ref="B23:D23"/>
    <mergeCell ref="B24:D24"/>
    <mergeCell ref="B25:D25"/>
    <mergeCell ref="I39:J39"/>
    <mergeCell ref="I40:J40"/>
    <mergeCell ref="A49:C49"/>
    <mergeCell ref="B50:D50"/>
    <mergeCell ref="I50:J50"/>
    <mergeCell ref="B51:D51"/>
    <mergeCell ref="I51:J51"/>
    <mergeCell ref="B52:D52"/>
    <mergeCell ref="B53:D53"/>
    <mergeCell ref="B54:D54"/>
    <mergeCell ref="I54:J54"/>
    <mergeCell ref="B55:D55"/>
    <mergeCell ref="I55:J55"/>
    <mergeCell ref="B56:D56"/>
    <mergeCell ref="I56:J56"/>
    <mergeCell ref="I57:J57"/>
    <mergeCell ref="I68:J68"/>
    <mergeCell ref="I69:J69"/>
    <mergeCell ref="I58:J58"/>
    <mergeCell ref="I59:J59"/>
    <mergeCell ref="I60:J60"/>
    <mergeCell ref="I64:J64"/>
    <mergeCell ref="I65:J65"/>
    <mergeCell ref="I66:J66"/>
    <mergeCell ref="I67:J67"/>
    <mergeCell ref="B33:D33"/>
    <mergeCell ref="A35:C35"/>
    <mergeCell ref="B36:D36"/>
    <mergeCell ref="I36:J36"/>
    <mergeCell ref="B37:D37"/>
    <mergeCell ref="I37:J37"/>
    <mergeCell ref="I38:J38"/>
    <mergeCell ref="I42:J42"/>
    <mergeCell ref="I43:J43"/>
    <mergeCell ref="B38:D38"/>
    <mergeCell ref="B39:D39"/>
    <mergeCell ref="B40:D40"/>
    <mergeCell ref="B41:D41"/>
    <mergeCell ref="I41:J41"/>
    <mergeCell ref="B42:D42"/>
    <mergeCell ref="B43:D43"/>
    <mergeCell ref="B44:D44"/>
    <mergeCell ref="I44:J44"/>
    <mergeCell ref="B45:D45"/>
    <mergeCell ref="I45:J45"/>
    <mergeCell ref="B46:D46"/>
    <mergeCell ref="I46:J46"/>
    <mergeCell ref="B47:D47"/>
    <mergeCell ref="I52:J52"/>
    <mergeCell ref="I53:J53"/>
    <mergeCell ref="I70:J70"/>
    <mergeCell ref="I71:J71"/>
    <mergeCell ref="I72:J72"/>
    <mergeCell ref="I73:J73"/>
    <mergeCell ref="I74:J74"/>
    <mergeCell ref="B57:D57"/>
    <mergeCell ref="B58:D58"/>
    <mergeCell ref="B59:D59"/>
    <mergeCell ref="B60:D60"/>
    <mergeCell ref="B61:D61"/>
    <mergeCell ref="A63:C63"/>
    <mergeCell ref="B64:D64"/>
    <mergeCell ref="B72:D72"/>
    <mergeCell ref="B73:D73"/>
    <mergeCell ref="B74:D74"/>
    <mergeCell ref="B65:D65"/>
    <mergeCell ref="B66:D66"/>
    <mergeCell ref="B67:D67"/>
    <mergeCell ref="B68:D68"/>
    <mergeCell ref="B69:D69"/>
    <mergeCell ref="B70:D70"/>
    <mergeCell ref="B71:D71"/>
  </mergeCells>
  <dataValidations>
    <dataValidation type="list" allowBlank="1" showErrorMessage="1" sqref="A8:A17 A22:A32 A37:A46 A51:A60 A65:A74">
      <formula1>Datos!$D$2:$D$11</formula1>
    </dataValidation>
    <dataValidation type="list" allowBlank="1" showErrorMessage="1" sqref="J5">
      <formula1>Datos!$B$2:$B$12</formula1>
    </dataValidation>
    <dataValidation type="list" allowBlank="1" showErrorMessage="1" sqref="J6 J20 J35 J49 J63">
      <formula1>Datos!$D$2:$D$14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10.71"/>
    <col customWidth="1" min="24" max="24" width="7.86"/>
    <col customWidth="1" min="25" max="25" width="15.43"/>
    <col customWidth="1" min="26" max="28" width="10.71"/>
  </cols>
  <sheetData>
    <row r="1" ht="14.25" customHeight="1"/>
    <row r="2" ht="14.25" customHeight="1"/>
    <row r="3" ht="14.25" customHeight="1"/>
    <row r="4" ht="14.25" customHeight="1"/>
    <row r="5" ht="14.25" customHeight="1">
      <c r="J5" s="1"/>
    </row>
    <row r="6" ht="14.25" customHeight="1">
      <c r="A6" s="2" t="s">
        <v>0</v>
      </c>
      <c r="B6" s="3"/>
      <c r="C6" s="4"/>
      <c r="G6" s="82">
        <v>0.0</v>
      </c>
      <c r="J6" s="1"/>
    </row>
    <row r="7" ht="14.25" customHeight="1">
      <c r="A7" s="6" t="s">
        <v>2</v>
      </c>
      <c r="B7" s="10" t="s">
        <v>4</v>
      </c>
      <c r="C7" s="8"/>
      <c r="D7" s="9"/>
      <c r="E7" s="6" t="s">
        <v>5</v>
      </c>
      <c r="F7" s="6" t="s">
        <v>6</v>
      </c>
      <c r="G7" s="6" t="s">
        <v>7</v>
      </c>
      <c r="H7" s="6" t="s">
        <v>8</v>
      </c>
      <c r="I7" s="10" t="s">
        <v>9</v>
      </c>
      <c r="J7" s="9"/>
      <c r="M7" s="11" t="s">
        <v>0</v>
      </c>
      <c r="N7" s="12"/>
      <c r="O7" s="12"/>
      <c r="P7" s="12"/>
      <c r="Q7" s="12"/>
      <c r="R7" s="12"/>
      <c r="S7" s="12"/>
      <c r="T7" s="12"/>
      <c r="U7" s="12"/>
      <c r="V7" s="12"/>
      <c r="W7" s="13"/>
      <c r="Y7" s="1"/>
      <c r="Z7" s="14" t="s">
        <v>10</v>
      </c>
      <c r="AA7" s="12"/>
      <c r="AB7" s="13"/>
    </row>
    <row r="8" ht="14.25" customHeight="1">
      <c r="A8" s="181" t="s">
        <v>12</v>
      </c>
      <c r="B8" s="182" t="s">
        <v>660</v>
      </c>
      <c r="C8" s="18"/>
      <c r="D8" s="20"/>
      <c r="E8" s="181">
        <v>3.0</v>
      </c>
      <c r="F8" s="181">
        <v>10.0</v>
      </c>
      <c r="G8" s="181"/>
      <c r="H8" s="181" t="s">
        <v>547</v>
      </c>
      <c r="I8" s="183"/>
      <c r="J8" s="9"/>
      <c r="M8" s="25"/>
      <c r="N8" s="28" t="s">
        <v>16</v>
      </c>
      <c r="O8" s="28" t="s">
        <v>26</v>
      </c>
      <c r="P8" s="28" t="s">
        <v>27</v>
      </c>
      <c r="Q8" s="28" t="s">
        <v>28</v>
      </c>
      <c r="R8" s="28" t="s">
        <v>29</v>
      </c>
      <c r="S8" s="28" t="s">
        <v>30</v>
      </c>
      <c r="T8" s="28" t="s">
        <v>31</v>
      </c>
      <c r="U8" s="28" t="s">
        <v>32</v>
      </c>
      <c r="V8" s="28" t="s">
        <v>33</v>
      </c>
      <c r="W8" s="28" t="s">
        <v>12</v>
      </c>
      <c r="Z8" s="28" t="s">
        <v>16</v>
      </c>
      <c r="AA8" s="1">
        <f>SUM(N9,N14,N20,N25,N30)</f>
        <v>11</v>
      </c>
    </row>
    <row r="9" ht="14.25" customHeight="1">
      <c r="A9" s="181" t="s">
        <v>12</v>
      </c>
      <c r="B9" s="182" t="s">
        <v>661</v>
      </c>
      <c r="C9" s="18"/>
      <c r="D9" s="20"/>
      <c r="E9" s="181">
        <v>3.0</v>
      </c>
      <c r="F9" s="181">
        <v>10.0</v>
      </c>
      <c r="G9" s="181"/>
      <c r="H9" s="181"/>
      <c r="I9" s="183"/>
      <c r="J9" s="9"/>
      <c r="M9" s="34" t="s">
        <v>36</v>
      </c>
      <c r="N9" s="37">
        <f>SUMIF(A8:A18,"Pecho",E8:E18)</f>
        <v>0</v>
      </c>
      <c r="O9" s="37">
        <f>SUMIF(A8:A18,"Espalda",E8:E18)</f>
        <v>7</v>
      </c>
      <c r="P9" s="37">
        <f>SUMIF($A8:$A18,"Hombros",$E8:$E18)</f>
        <v>3</v>
      </c>
      <c r="Q9" s="37">
        <f>SUMIF($A8:$A18,"Bíceps",$E8:$E18)</f>
        <v>0</v>
      </c>
      <c r="R9" s="37">
        <f>SUMIF($A8:$A18,"Tríceps",$E8:$E18)</f>
        <v>0</v>
      </c>
      <c r="S9" s="38">
        <f>SUMIF(A8:A18,"Cuádriceps",E8:E18)</f>
        <v>8</v>
      </c>
      <c r="T9" s="37">
        <f>SUMIF($A8:$A18,"Isquios",$E8:$E18)</f>
        <v>3</v>
      </c>
      <c r="U9" s="37">
        <f>SUMIF($A8:$A18,"Glúteos",$E8:$E18)</f>
        <v>7</v>
      </c>
      <c r="V9" s="37">
        <f>SUMIF($A8:$A18,"Pantorrillas",$E8:$E18)</f>
        <v>0</v>
      </c>
      <c r="W9" s="37">
        <f>SUMIF($A8:$A18,"Otros",$E8:$E18)</f>
        <v>9</v>
      </c>
      <c r="Z9" s="28" t="s">
        <v>26</v>
      </c>
      <c r="AA9" s="1">
        <f>SUM(O9,O14,O20,O25,O30)</f>
        <v>14</v>
      </c>
    </row>
    <row r="10" ht="14.25" customHeight="1">
      <c r="A10" s="181" t="s">
        <v>12</v>
      </c>
      <c r="B10" s="182" t="s">
        <v>662</v>
      </c>
      <c r="C10" s="18"/>
      <c r="D10" s="20"/>
      <c r="E10" s="181">
        <v>3.0</v>
      </c>
      <c r="F10" s="181">
        <v>10.0</v>
      </c>
      <c r="G10" s="181"/>
      <c r="H10" s="181"/>
      <c r="I10" s="183"/>
      <c r="J10" s="9"/>
      <c r="M10" s="34" t="s">
        <v>7</v>
      </c>
      <c r="N10" s="35" t="str">
        <f>AVERAGEIF($A8:$A18,"Pecho",$G8:$G18)</f>
        <v>#DIV/0!</v>
      </c>
      <c r="O10" s="35">
        <f>AVERAGEIF($A8:$A18,"Espalda",$G8:$G18)</f>
        <v>7.5</v>
      </c>
      <c r="P10" s="35">
        <f>AVERAGEIF($A8:$A18,"Hombros",$G8:$G18)</f>
        <v>7</v>
      </c>
      <c r="Q10" s="35" t="str">
        <f>AVERAGEIF($A8:$A18,"Bíceps",$G8:$G18)</f>
        <v>#DIV/0!</v>
      </c>
      <c r="R10" s="35" t="str">
        <f>AVERAGEIF($A8:$A18,"Tríceps",$G8:$G18)</f>
        <v>#DIV/0!</v>
      </c>
      <c r="S10" s="35">
        <f>AVERAGEIF($A8:$A18,"Cuádriceps",$G8:$G18)</f>
        <v>7</v>
      </c>
      <c r="T10" s="35">
        <f>AVERAGEIF($A8:$A18,"Isquios",$G8:$G18)</f>
        <v>7</v>
      </c>
      <c r="U10" s="35">
        <f>AVERAGEIF($A8:$A18,"Glúteos",$G8:$G18)</f>
        <v>7.5</v>
      </c>
      <c r="V10" s="35" t="str">
        <f>AVERAGEIF($A8:$A18,"Pantorrillas",$G8:$G18)</f>
        <v>#DIV/0!</v>
      </c>
      <c r="W10" s="35" t="str">
        <f>AVERAGEIF($A8:$A18,"Otros",$G8:$G18)</f>
        <v>#DIV/0!</v>
      </c>
      <c r="Z10" s="28" t="s">
        <v>27</v>
      </c>
      <c r="AA10" s="1">
        <f>SUM(P9,P14,P20,P25,P30)</f>
        <v>7</v>
      </c>
    </row>
    <row r="11" ht="14.25" customHeight="1">
      <c r="A11" s="27" t="s">
        <v>30</v>
      </c>
      <c r="B11" s="30" t="s">
        <v>666</v>
      </c>
      <c r="C11" s="18"/>
      <c r="D11" s="20"/>
      <c r="E11" s="27">
        <v>4.0</v>
      </c>
      <c r="F11" s="27" t="s">
        <v>108</v>
      </c>
      <c r="G11" s="27" t="s">
        <v>41</v>
      </c>
      <c r="H11" s="27" t="s">
        <v>55</v>
      </c>
      <c r="I11" s="33" t="s">
        <v>667</v>
      </c>
      <c r="J11" s="9"/>
      <c r="M11" s="25"/>
      <c r="N11" s="25"/>
      <c r="O11" s="25"/>
      <c r="P11" s="25"/>
      <c r="Q11" s="25"/>
      <c r="R11" s="25"/>
      <c r="S11" s="25"/>
      <c r="T11" s="25"/>
      <c r="U11" s="25"/>
      <c r="Z11" s="28" t="s">
        <v>28</v>
      </c>
      <c r="AA11" s="1">
        <f>SUM(Q9,Q14,Q20,Q25,Q30)</f>
        <v>3</v>
      </c>
    </row>
    <row r="12" ht="14.25" customHeight="1">
      <c r="A12" s="27" t="s">
        <v>30</v>
      </c>
      <c r="B12" s="30" t="s">
        <v>668</v>
      </c>
      <c r="C12" s="18"/>
      <c r="D12" s="20"/>
      <c r="E12" s="27">
        <v>4.0</v>
      </c>
      <c r="F12" s="27" t="s">
        <v>669</v>
      </c>
      <c r="G12" s="27">
        <v>7.0</v>
      </c>
      <c r="H12" s="27"/>
      <c r="I12" s="33"/>
      <c r="J12" s="9"/>
      <c r="M12" s="11" t="s">
        <v>45</v>
      </c>
      <c r="N12" s="12"/>
      <c r="O12" s="12"/>
      <c r="P12" s="12"/>
      <c r="Q12" s="12"/>
      <c r="R12" s="12"/>
      <c r="S12" s="12"/>
      <c r="T12" s="12"/>
      <c r="U12" s="12"/>
      <c r="V12" s="12"/>
      <c r="W12" s="13"/>
      <c r="Z12" s="28" t="s">
        <v>29</v>
      </c>
      <c r="AA12" s="1">
        <f>SUM(R9,R14,R20,R25,R30)</f>
        <v>6</v>
      </c>
    </row>
    <row r="13" ht="14.25" customHeight="1">
      <c r="A13" s="111" t="s">
        <v>26</v>
      </c>
      <c r="B13" s="110" t="s">
        <v>670</v>
      </c>
      <c r="C13" s="18"/>
      <c r="D13" s="20"/>
      <c r="E13" s="111">
        <v>4.0</v>
      </c>
      <c r="F13" s="187" t="s">
        <v>672</v>
      </c>
      <c r="G13" s="111">
        <v>8.0</v>
      </c>
      <c r="H13" s="111" t="s">
        <v>564</v>
      </c>
      <c r="I13" s="24"/>
      <c r="J13" s="9"/>
      <c r="M13" s="25"/>
      <c r="N13" s="28" t="s">
        <v>16</v>
      </c>
      <c r="O13" s="28" t="s">
        <v>26</v>
      </c>
      <c r="P13" s="28" t="s">
        <v>27</v>
      </c>
      <c r="Q13" s="28" t="s">
        <v>28</v>
      </c>
      <c r="R13" s="28" t="s">
        <v>29</v>
      </c>
      <c r="S13" s="28" t="s">
        <v>30</v>
      </c>
      <c r="T13" s="28" t="s">
        <v>31</v>
      </c>
      <c r="U13" s="28" t="s">
        <v>32</v>
      </c>
      <c r="V13" s="28" t="s">
        <v>33</v>
      </c>
      <c r="W13" s="28" t="s">
        <v>12</v>
      </c>
      <c r="Z13" s="28" t="s">
        <v>30</v>
      </c>
      <c r="AA13" s="1">
        <f>SUM(S9,S14,S20,S25,S30)</f>
        <v>8</v>
      </c>
    </row>
    <row r="14" ht="14.25" customHeight="1">
      <c r="A14" s="111" t="s">
        <v>26</v>
      </c>
      <c r="B14" s="110" t="s">
        <v>192</v>
      </c>
      <c r="C14" s="18"/>
      <c r="D14" s="20"/>
      <c r="E14" s="111">
        <v>3.0</v>
      </c>
      <c r="F14" s="111">
        <v>10.0</v>
      </c>
      <c r="G14" s="111">
        <v>7.0</v>
      </c>
      <c r="H14" s="111"/>
      <c r="I14" s="24"/>
      <c r="J14" s="9"/>
      <c r="M14" s="34" t="s">
        <v>36</v>
      </c>
      <c r="N14" s="35">
        <f>SUMIF($A23:$A32,"Pecho",$E23:$E32)</f>
        <v>4</v>
      </c>
      <c r="O14" s="35">
        <f>SUMIF($A23:$A32,"Espalda",$E23:$E32)</f>
        <v>0</v>
      </c>
      <c r="P14" s="35">
        <f>SUMIF($A23:$A32,"Hombros",$E23:$E32)</f>
        <v>0</v>
      </c>
      <c r="Q14" s="35">
        <f>SUMIF($A23:$A32,"Bíceps",$E23:$E32)</f>
        <v>0</v>
      </c>
      <c r="R14" s="35">
        <f>SUMIF($A23:$A32,"Tríceps",$E23:$E32)</f>
        <v>3</v>
      </c>
      <c r="S14" s="35">
        <f>SUMIF($A23:$A32,"Cuádriceps",$E23:$E32)</f>
        <v>0</v>
      </c>
      <c r="T14" s="35">
        <f>SUMIF($A23:$A32,"Isquios",$E23:$E32)</f>
        <v>8</v>
      </c>
      <c r="U14" s="35">
        <f>SUMIF($A23:$A32,"Glúteos",$E23:$E32)</f>
        <v>8</v>
      </c>
      <c r="V14" s="35">
        <f>SUMIF($A23:$A32,"Pantorrillas",$E23:$E32)</f>
        <v>0</v>
      </c>
      <c r="W14" s="35">
        <f>SUMIF($A23:$A32,"Otros",$E23:$E32)</f>
        <v>12</v>
      </c>
      <c r="Z14" s="28" t="s">
        <v>31</v>
      </c>
      <c r="AA14" s="1">
        <f>SUM(T9,T14,T20,T25,T30)</f>
        <v>11</v>
      </c>
    </row>
    <row r="15" ht="14.25" customHeight="1">
      <c r="A15" s="27" t="s">
        <v>32</v>
      </c>
      <c r="B15" s="30" t="s">
        <v>677</v>
      </c>
      <c r="C15" s="18"/>
      <c r="D15" s="20"/>
      <c r="E15" s="27">
        <v>4.0</v>
      </c>
      <c r="F15" s="27">
        <v>10.0</v>
      </c>
      <c r="G15" s="27">
        <v>8.0</v>
      </c>
      <c r="H15" s="27" t="s">
        <v>678</v>
      </c>
      <c r="I15" s="33"/>
      <c r="J15" s="9"/>
      <c r="M15" s="34" t="s">
        <v>7</v>
      </c>
      <c r="N15" s="35">
        <f>AVERAGEIF($A23:$A32,"Pecho",$G23:$G32)</f>
        <v>8</v>
      </c>
      <c r="O15" s="35" t="str">
        <f>AVERAGEIF($A23:$A32,"Espalda",$G23:$G32)</f>
        <v>#DIV/0!</v>
      </c>
      <c r="P15" s="35" t="str">
        <f>AVERAGEIF($A23:$A32,"Hombros",$G23:$G32)</f>
        <v>#DIV/0!</v>
      </c>
      <c r="Q15" s="35" t="str">
        <f>AVERAGEIF($A23:$A32,"Bíceps",$G23:$G32)</f>
        <v>#DIV/0!</v>
      </c>
      <c r="R15" s="35">
        <f>AVERAGEIF($A23:$A32,"Tríceps",$G23:$G32)</f>
        <v>7</v>
      </c>
      <c r="S15" s="35" t="str">
        <f>AVERAGEIF($A23:$A32,"Cuádriceps",$G23:$G32)</f>
        <v>#DIV/0!</v>
      </c>
      <c r="T15" s="35">
        <f>AVERAGEIF($A23:$A32,"Isquios",$G23:$G32)</f>
        <v>7</v>
      </c>
      <c r="U15" s="35">
        <f>AVERAGEIF($A23:$A32,"Glúteos",$G23:$G32)</f>
        <v>7</v>
      </c>
      <c r="V15" s="35" t="str">
        <f>AVERAGEIF($A23:$A32,"Pantorrillas",$G23:$G32)</f>
        <v>#DIV/0!</v>
      </c>
      <c r="W15" s="35">
        <f>AVERAGEIF($A23:$A32,"Otros",$G23:$G32)</f>
        <v>8</v>
      </c>
      <c r="Z15" s="28" t="s">
        <v>32</v>
      </c>
      <c r="AA15" s="1">
        <f>SUM(U9,U14,U20,U25,U30)</f>
        <v>15</v>
      </c>
    </row>
    <row r="16" ht="14.25" customHeight="1">
      <c r="A16" s="27" t="s">
        <v>32</v>
      </c>
      <c r="B16" s="30" t="s">
        <v>682</v>
      </c>
      <c r="C16" s="18"/>
      <c r="D16" s="20"/>
      <c r="E16" s="27">
        <v>3.0</v>
      </c>
      <c r="F16" s="27">
        <v>12.0</v>
      </c>
      <c r="G16" s="27">
        <v>7.0</v>
      </c>
      <c r="H16" s="27"/>
      <c r="I16" s="33"/>
      <c r="J16" s="9"/>
      <c r="M16" s="25"/>
      <c r="N16" s="25"/>
      <c r="O16" s="25"/>
      <c r="P16" s="25"/>
      <c r="Q16" s="25"/>
      <c r="R16" s="25"/>
      <c r="S16" s="25"/>
      <c r="T16" s="25"/>
      <c r="U16" s="25"/>
      <c r="Z16" s="28" t="s">
        <v>33</v>
      </c>
      <c r="AA16" s="1">
        <f>SUM(V9,V14,V20,V25,V30)</f>
        <v>0</v>
      </c>
    </row>
    <row r="17" ht="14.25" customHeight="1">
      <c r="A17" s="181" t="s">
        <v>27</v>
      </c>
      <c r="B17" s="188" t="s">
        <v>683</v>
      </c>
      <c r="C17" s="8"/>
      <c r="D17" s="9"/>
      <c r="E17" s="181">
        <v>3.0</v>
      </c>
      <c r="F17" s="181">
        <v>12.0</v>
      </c>
      <c r="G17" s="181">
        <v>7.0</v>
      </c>
      <c r="H17" s="181"/>
      <c r="I17" s="189"/>
      <c r="J17" s="190"/>
      <c r="M17" s="25"/>
      <c r="N17" s="25"/>
      <c r="O17" s="25"/>
      <c r="P17" s="25"/>
      <c r="Q17" s="25"/>
      <c r="R17" s="25"/>
      <c r="S17" s="25"/>
      <c r="T17" s="25"/>
      <c r="U17" s="25"/>
      <c r="Z17" s="28"/>
      <c r="AA17" s="1"/>
    </row>
    <row r="18" ht="14.25" customHeight="1">
      <c r="A18" s="181" t="s">
        <v>31</v>
      </c>
      <c r="B18" s="182" t="s">
        <v>122</v>
      </c>
      <c r="C18" s="18"/>
      <c r="D18" s="20"/>
      <c r="E18" s="181">
        <v>3.0</v>
      </c>
      <c r="F18" s="181">
        <v>15.0</v>
      </c>
      <c r="G18" s="181">
        <v>7.0</v>
      </c>
      <c r="H18" s="181"/>
      <c r="I18" s="183"/>
      <c r="J18" s="9"/>
      <c r="M18" s="11" t="s">
        <v>57</v>
      </c>
      <c r="N18" s="12"/>
      <c r="O18" s="12"/>
      <c r="P18" s="12"/>
      <c r="Q18" s="12"/>
      <c r="R18" s="12"/>
      <c r="S18" s="12"/>
      <c r="T18" s="12"/>
      <c r="U18" s="12"/>
      <c r="V18" s="12"/>
      <c r="W18" s="13"/>
      <c r="Z18" s="28" t="s">
        <v>12</v>
      </c>
      <c r="AA18" s="1">
        <f>SUM(W9,W14,W20,W25,W30)</f>
        <v>28</v>
      </c>
    </row>
    <row r="19" ht="14.25" customHeight="1">
      <c r="B19" s="26"/>
      <c r="C19" s="29"/>
      <c r="D19" s="29"/>
      <c r="M19" s="25"/>
      <c r="N19" s="28" t="s">
        <v>16</v>
      </c>
      <c r="O19" s="28" t="s">
        <v>26</v>
      </c>
      <c r="P19" s="28" t="s">
        <v>27</v>
      </c>
      <c r="Q19" s="28" t="s">
        <v>28</v>
      </c>
      <c r="R19" s="28" t="s">
        <v>29</v>
      </c>
      <c r="S19" s="28" t="s">
        <v>30</v>
      </c>
      <c r="T19" s="28" t="s">
        <v>31</v>
      </c>
      <c r="U19" s="28" t="s">
        <v>32</v>
      </c>
      <c r="V19" s="28" t="s">
        <v>33</v>
      </c>
      <c r="W19" s="28" t="s">
        <v>12</v>
      </c>
    </row>
    <row r="20" ht="14.25" customHeight="1">
      <c r="M20" s="34" t="s">
        <v>36</v>
      </c>
      <c r="N20" s="35">
        <f>SUMIF($A38:$A47,"Pecho",$E38:$E47)</f>
        <v>7</v>
      </c>
      <c r="O20" s="35">
        <f>SUMIF($A38:$A47,"Espalda",$E38:$E47)</f>
        <v>7</v>
      </c>
      <c r="P20" s="35">
        <f>SUMIF($A38:$A47,"Hombros",$E38:$E47)</f>
        <v>4</v>
      </c>
      <c r="Q20" s="35">
        <f>SUMIF($A38:$A47,"Bíceps",$E38:$E47)</f>
        <v>3</v>
      </c>
      <c r="R20" s="35">
        <f>SUMIF($A38:$A47,"Tríceps",$E38:$E47)</f>
        <v>3</v>
      </c>
      <c r="S20" s="35">
        <f>SUMIF($A38:$A47,"Cuádriceps",$E38:$E47)</f>
        <v>0</v>
      </c>
      <c r="T20" s="35">
        <f>SUMIF($A38:$A47,"Isquios",$E38:$E47)</f>
        <v>0</v>
      </c>
      <c r="U20" s="35">
        <f>SUMIF($A38:$A47,"Glúteos",$E38:$E47)</f>
        <v>0</v>
      </c>
      <c r="V20" s="35">
        <f>SUMIF($A38:$A47,"Pantorrillas",$E38:$E47)</f>
        <v>0</v>
      </c>
      <c r="W20" s="35">
        <f>SUMIF($A38:$A47,"Otros",$E38:$E47)</f>
        <v>7</v>
      </c>
    </row>
    <row r="21" ht="14.25" customHeight="1">
      <c r="A21" s="2" t="s">
        <v>45</v>
      </c>
      <c r="B21" s="3"/>
      <c r="C21" s="4"/>
      <c r="J21" s="1"/>
      <c r="M21" s="34" t="s">
        <v>7</v>
      </c>
      <c r="N21" s="35">
        <f>AVERAGEIF($A38:$A47,"Pecho",$G38:$G47)</f>
        <v>8</v>
      </c>
      <c r="O21" s="35" t="str">
        <f>AVERAGEIF($A38:$A47,"Espalda",$G38:$G47)</f>
        <v>#DIV/0!</v>
      </c>
      <c r="P21" s="35" t="str">
        <f>AVERAGEIF($A38:$A47,"Hombros",$G38:$G47)</f>
        <v>#DIV/0!</v>
      </c>
      <c r="Q21" s="35" t="str">
        <f>AVERAGEIF($A38:$A47,"Bíceps",$G38:$G47)</f>
        <v>#DIV/0!</v>
      </c>
      <c r="R21" s="35" t="str">
        <f>AVERAGEIF($A38:$A47,"Tríceps",$G38:$G47)</f>
        <v>#DIV/0!</v>
      </c>
      <c r="S21" s="35" t="str">
        <f>AVERAGEIF($A38:$A47,"Cuádriceps",$G38:$G47)</f>
        <v>#DIV/0!</v>
      </c>
      <c r="T21" s="35" t="str">
        <f>AVERAGEIF($A38:$A47,"Isquios",$G38:$G47)</f>
        <v>#DIV/0!</v>
      </c>
      <c r="U21" s="35" t="str">
        <f>AVERAGEIF($A38:$A47,"Glúteos",$G38:$G47)</f>
        <v>#DIV/0!</v>
      </c>
      <c r="V21" s="35" t="str">
        <f>AVERAGEIF($A38:$A47,"Pantorrillas",$G38:$G47)</f>
        <v>#DIV/0!</v>
      </c>
      <c r="W21" s="35" t="str">
        <f>AVERAGEIF($A38:$A47,"Otros",$G38:$G47)</f>
        <v>#DIV/0!</v>
      </c>
    </row>
    <row r="22" ht="14.25" customHeight="1">
      <c r="A22" s="6" t="s">
        <v>2</v>
      </c>
      <c r="B22" s="10" t="s">
        <v>4</v>
      </c>
      <c r="C22" s="8"/>
      <c r="D22" s="9"/>
      <c r="E22" s="6" t="s">
        <v>5</v>
      </c>
      <c r="F22" s="6" t="s">
        <v>6</v>
      </c>
      <c r="G22" s="6" t="s">
        <v>7</v>
      </c>
      <c r="H22" s="6" t="s">
        <v>8</v>
      </c>
      <c r="I22" s="10" t="s">
        <v>9</v>
      </c>
      <c r="J22" s="9"/>
      <c r="M22" s="25"/>
      <c r="N22" s="25"/>
      <c r="O22" s="25"/>
      <c r="P22" s="25"/>
      <c r="Q22" s="25"/>
      <c r="R22" s="25"/>
      <c r="S22" s="25"/>
      <c r="T22" s="25"/>
      <c r="U22" s="25"/>
    </row>
    <row r="23" ht="14.25" customHeight="1">
      <c r="A23" s="181" t="s">
        <v>12</v>
      </c>
      <c r="B23" s="182" t="s">
        <v>691</v>
      </c>
      <c r="C23" s="18"/>
      <c r="D23" s="20"/>
      <c r="E23" s="181">
        <v>3.0</v>
      </c>
      <c r="F23" s="181">
        <v>10.0</v>
      </c>
      <c r="G23" s="181"/>
      <c r="H23" s="181" t="s">
        <v>572</v>
      </c>
      <c r="I23" s="183"/>
      <c r="J23" s="9"/>
      <c r="M23" s="11" t="s">
        <v>66</v>
      </c>
      <c r="N23" s="12"/>
      <c r="O23" s="12"/>
      <c r="P23" s="12"/>
      <c r="Q23" s="12"/>
      <c r="R23" s="12"/>
      <c r="S23" s="12"/>
      <c r="T23" s="12"/>
      <c r="U23" s="12"/>
      <c r="V23" s="12"/>
      <c r="W23" s="13"/>
    </row>
    <row r="24" ht="14.25" customHeight="1">
      <c r="A24" s="181" t="s">
        <v>12</v>
      </c>
      <c r="B24" s="182" t="s">
        <v>692</v>
      </c>
      <c r="C24" s="18"/>
      <c r="D24" s="20"/>
      <c r="E24" s="181">
        <v>3.0</v>
      </c>
      <c r="F24" s="181">
        <v>12.0</v>
      </c>
      <c r="G24" s="181"/>
      <c r="H24" s="181"/>
      <c r="I24" s="183"/>
      <c r="J24" s="9"/>
      <c r="M24" s="25"/>
      <c r="N24" s="28" t="s">
        <v>16</v>
      </c>
      <c r="O24" s="28" t="s">
        <v>26</v>
      </c>
      <c r="P24" s="28" t="s">
        <v>27</v>
      </c>
      <c r="Q24" s="28" t="s">
        <v>28</v>
      </c>
      <c r="R24" s="28" t="s">
        <v>29</v>
      </c>
      <c r="S24" s="28" t="s">
        <v>30</v>
      </c>
      <c r="T24" s="28" t="s">
        <v>31</v>
      </c>
      <c r="U24" s="28" t="s">
        <v>32</v>
      </c>
      <c r="V24" s="28" t="s">
        <v>33</v>
      </c>
      <c r="W24" s="28" t="s">
        <v>12</v>
      </c>
    </row>
    <row r="25" ht="14.25" customHeight="1">
      <c r="A25" s="181" t="s">
        <v>12</v>
      </c>
      <c r="B25" s="182" t="s">
        <v>694</v>
      </c>
      <c r="C25" s="18"/>
      <c r="D25" s="20"/>
      <c r="E25" s="181">
        <v>3.0</v>
      </c>
      <c r="F25" s="181">
        <v>10.0</v>
      </c>
      <c r="G25" s="181"/>
      <c r="H25" s="181"/>
      <c r="I25" s="183"/>
      <c r="J25" s="9"/>
      <c r="M25" s="34" t="s">
        <v>36</v>
      </c>
      <c r="N25" s="35">
        <f>SUMIF($A52:$A61,"Pecho",$E52:$E61)</f>
        <v>0</v>
      </c>
      <c r="O25" s="35">
        <f>SUMIF($A52:$A61,"Espalda",$E52:$E61)</f>
        <v>0</v>
      </c>
      <c r="P25" s="35">
        <f>SUMIF($A52:$A61,"Hombros",$E52:$E61)</f>
        <v>0</v>
      </c>
      <c r="Q25" s="35">
        <f>SUMIF($A52:$A61,"Bíceps",$E52:$E61)</f>
        <v>0</v>
      </c>
      <c r="R25" s="35">
        <f>SUMIF($A52:$A61,"Tríceps",$E52:$E61)</f>
        <v>0</v>
      </c>
      <c r="S25" s="35">
        <f>SUMIF($A52:$A61,"Cuádriceps",$E52:$E61)</f>
        <v>0</v>
      </c>
      <c r="T25" s="35">
        <f>SUMIF($A52:$A61,"Isquios",$E52:$E61)</f>
        <v>0</v>
      </c>
      <c r="U25" s="35">
        <f>SUMIF($A52:$A61,"Glúteos",$E52:$E61)</f>
        <v>0</v>
      </c>
      <c r="V25" s="35">
        <f>SUMIF($A52:$A61,"Pantorrillas",$E52:$E61)</f>
        <v>0</v>
      </c>
      <c r="W25" s="35">
        <f>SUMIF($A52:$A61,"Otros",$E52:$E61)</f>
        <v>0</v>
      </c>
    </row>
    <row r="26" ht="14.25" customHeight="1">
      <c r="A26" s="27" t="s">
        <v>31</v>
      </c>
      <c r="B26" s="30" t="s">
        <v>701</v>
      </c>
      <c r="C26" s="18"/>
      <c r="D26" s="20"/>
      <c r="E26" s="27">
        <v>4.0</v>
      </c>
      <c r="F26" s="27">
        <v>10.0</v>
      </c>
      <c r="G26" s="27">
        <v>7.0</v>
      </c>
      <c r="H26" s="27" t="s">
        <v>55</v>
      </c>
      <c r="I26" s="33" t="s">
        <v>702</v>
      </c>
      <c r="J26" s="9"/>
      <c r="M26" s="34" t="s">
        <v>7</v>
      </c>
      <c r="N26" s="35" t="str">
        <f>AVERAGEIF($A52:$A61,"Pecho",$G52:$G61)</f>
        <v>#DIV/0!</v>
      </c>
      <c r="O26" s="35" t="str">
        <f>AVERAGEIF($A52:$A61,"Espalda",$G52:$G61)</f>
        <v>#DIV/0!</v>
      </c>
      <c r="P26" s="35" t="str">
        <f>AVERAGEIF($A52:$A61,"Hombros",$G52:$G61)</f>
        <v>#DIV/0!</v>
      </c>
      <c r="Q26" s="35" t="str">
        <f>AVERAGEIF($A52:$A61,"Bíceps",$G52:$G61)</f>
        <v>#DIV/0!</v>
      </c>
      <c r="R26" s="35" t="str">
        <f>AVERAGEIF($A52:$A61,"Tríceps",$G52:$G61)</f>
        <v>#DIV/0!</v>
      </c>
      <c r="S26" s="35" t="str">
        <f>AVERAGEIF($A52:$A61,"Cuádriceps",$G52:$G61)</f>
        <v>#DIV/0!</v>
      </c>
      <c r="T26" s="35" t="str">
        <f>AVERAGEIF($A52:$A61,"Isquios",$G52:$G61)</f>
        <v>#DIV/0!</v>
      </c>
      <c r="U26" s="35" t="str">
        <f>AVERAGEIF($A52:$A61,"Glúteos",$G52:$G61)</f>
        <v>#DIV/0!</v>
      </c>
      <c r="V26" s="35" t="str">
        <f>AVERAGEIF($A52:$A61,"Pantorrillas",$G52:$G61)</f>
        <v>#DIV/0!</v>
      </c>
      <c r="W26" s="35" t="str">
        <f>AVERAGEIF($A52:$A61,"Otros",$G52:$G61)</f>
        <v>#DIV/0!</v>
      </c>
    </row>
    <row r="27" ht="14.25" customHeight="1">
      <c r="A27" s="27" t="s">
        <v>32</v>
      </c>
      <c r="B27" s="30" t="s">
        <v>107</v>
      </c>
      <c r="C27" s="18"/>
      <c r="D27" s="20"/>
      <c r="E27" s="27">
        <v>4.0</v>
      </c>
      <c r="F27" s="27" t="s">
        <v>53</v>
      </c>
      <c r="G27" s="112" t="s">
        <v>41</v>
      </c>
      <c r="H27" s="27"/>
      <c r="I27" s="33" t="s">
        <v>710</v>
      </c>
      <c r="J27" s="9"/>
      <c r="M27" s="25"/>
      <c r="N27" s="25"/>
      <c r="O27" s="25"/>
      <c r="P27" s="25"/>
      <c r="Q27" s="25"/>
      <c r="R27" s="25"/>
      <c r="S27" s="25"/>
      <c r="T27" s="25"/>
      <c r="U27" s="25"/>
    </row>
    <row r="28" ht="14.25" customHeight="1">
      <c r="A28" s="111" t="s">
        <v>16</v>
      </c>
      <c r="B28" s="110" t="s">
        <v>712</v>
      </c>
      <c r="C28" s="18"/>
      <c r="D28" s="20"/>
      <c r="E28" s="111">
        <v>4.0</v>
      </c>
      <c r="F28" s="111">
        <v>10.0</v>
      </c>
      <c r="G28" s="111">
        <v>8.0</v>
      </c>
      <c r="H28" s="111" t="s">
        <v>575</v>
      </c>
      <c r="I28" s="24"/>
      <c r="J28" s="9"/>
      <c r="M28" s="11" t="s">
        <v>76</v>
      </c>
      <c r="N28" s="12"/>
      <c r="O28" s="12"/>
      <c r="P28" s="12"/>
      <c r="Q28" s="12"/>
      <c r="R28" s="12"/>
      <c r="S28" s="12"/>
      <c r="T28" s="12"/>
      <c r="U28" s="12"/>
      <c r="V28" s="12"/>
      <c r="W28" s="13"/>
    </row>
    <row r="29" ht="14.25" customHeight="1">
      <c r="A29" s="111" t="s">
        <v>29</v>
      </c>
      <c r="B29" s="110" t="s">
        <v>715</v>
      </c>
      <c r="C29" s="18"/>
      <c r="D29" s="20"/>
      <c r="E29" s="111">
        <v>3.0</v>
      </c>
      <c r="F29" s="111">
        <v>12.0</v>
      </c>
      <c r="G29" s="111">
        <v>7.0</v>
      </c>
      <c r="H29" s="111"/>
      <c r="I29" s="24"/>
      <c r="J29" s="9"/>
      <c r="M29" s="25"/>
      <c r="N29" s="28" t="s">
        <v>16</v>
      </c>
      <c r="O29" s="28" t="s">
        <v>26</v>
      </c>
      <c r="P29" s="28" t="s">
        <v>27</v>
      </c>
      <c r="Q29" s="28" t="s">
        <v>28</v>
      </c>
      <c r="R29" s="28" t="s">
        <v>29</v>
      </c>
      <c r="S29" s="28" t="s">
        <v>30</v>
      </c>
      <c r="T29" s="28" t="s">
        <v>31</v>
      </c>
      <c r="U29" s="28" t="s">
        <v>32</v>
      </c>
      <c r="V29" s="28" t="s">
        <v>33</v>
      </c>
      <c r="W29" s="28" t="s">
        <v>12</v>
      </c>
    </row>
    <row r="30" ht="14.25" customHeight="1">
      <c r="A30" s="27" t="s">
        <v>31</v>
      </c>
      <c r="B30" s="30" t="s">
        <v>717</v>
      </c>
      <c r="C30" s="18"/>
      <c r="D30" s="20"/>
      <c r="E30" s="27">
        <v>4.0</v>
      </c>
      <c r="F30" s="27" t="s">
        <v>143</v>
      </c>
      <c r="G30" s="27"/>
      <c r="H30" s="27" t="s">
        <v>578</v>
      </c>
      <c r="I30" s="33"/>
      <c r="J30" s="9"/>
      <c r="M30" s="34" t="s">
        <v>36</v>
      </c>
      <c r="N30" s="35">
        <f>SUMIF($A66:$A75,"Pecho",$E66:$E75)</f>
        <v>0</v>
      </c>
      <c r="O30" s="35">
        <f>SUMIF($A66:$A75,"Espalda",$E66:$E75)</f>
        <v>0</v>
      </c>
      <c r="P30" s="35">
        <f>SUMIF($A66:$A75,"Hombros",$E66:$E75)</f>
        <v>0</v>
      </c>
      <c r="Q30" s="35">
        <f>SUMIF($A66:$A75,"Bíceps",$E66:$E75)</f>
        <v>0</v>
      </c>
      <c r="R30" s="35">
        <f>SUMIF($A66:$A75,"Tríceps",$E66:$E75)</f>
        <v>0</v>
      </c>
      <c r="S30" s="35">
        <f>SUMIF($A66:$A75,"Cuádriceps",$E66:$E75)</f>
        <v>0</v>
      </c>
      <c r="T30" s="35">
        <f>SUMIF($A66:$A75,"Isquios",$E66:$E75)</f>
        <v>0</v>
      </c>
      <c r="U30" s="35">
        <f>SUMIF($A66:$A75,"Glúteos",$E66:$E75)</f>
        <v>0</v>
      </c>
      <c r="V30" s="35">
        <f>SUMIF($A66:$A75,"Pantorrillas",$E66:$E75)</f>
        <v>0</v>
      </c>
      <c r="W30" s="35">
        <f>SUMIF($A66:$A75,"Otros",$E66:$E75)</f>
        <v>0</v>
      </c>
    </row>
    <row r="31" ht="14.25" customHeight="1">
      <c r="A31" s="27" t="s">
        <v>113</v>
      </c>
      <c r="B31" s="30" t="s">
        <v>719</v>
      </c>
      <c r="C31" s="18"/>
      <c r="D31" s="20"/>
      <c r="E31" s="27">
        <v>3.0</v>
      </c>
      <c r="F31" s="27" t="s">
        <v>720</v>
      </c>
      <c r="G31" s="27">
        <v>8.0</v>
      </c>
      <c r="H31" s="27"/>
      <c r="I31" s="33" t="s">
        <v>721</v>
      </c>
      <c r="J31" s="9"/>
      <c r="M31" s="34" t="s">
        <v>7</v>
      </c>
      <c r="N31" s="35" t="str">
        <f>AVERAGEIF($A66:$A75,"Pecho",$G66:$G75)</f>
        <v>#DIV/0!</v>
      </c>
      <c r="O31" s="35" t="str">
        <f>AVERAGEIF($A66:$A75,"Espalda",$G66:$G75)</f>
        <v>#DIV/0!</v>
      </c>
      <c r="P31" s="35" t="str">
        <f>AVERAGEIF($A66:$A75,"Hombros",$G66:$G75)</f>
        <v>#DIV/0!</v>
      </c>
      <c r="Q31" s="35" t="str">
        <f>AVERAGEIF($A66:$A75,"Bíceps",$G66:$G75)</f>
        <v>#DIV/0!</v>
      </c>
      <c r="R31" s="35" t="str">
        <f>AVERAGEIF($A66:$A75,"Tríceps",$G66:$G75)</f>
        <v>#DIV/0!</v>
      </c>
      <c r="S31" s="35" t="str">
        <f>AVERAGEIF($A66:$A75,"Cuádriceps",$G66:$G75)</f>
        <v>#DIV/0!</v>
      </c>
      <c r="T31" s="35" t="str">
        <f>AVERAGEIF($A66:$A75,"Isquios",$G66:$G75)</f>
        <v>#DIV/0!</v>
      </c>
      <c r="U31" s="35" t="str">
        <f>AVERAGEIF($A66:$A75,"Glúteos",$G66:$G75)</f>
        <v>#DIV/0!</v>
      </c>
      <c r="V31" s="35" t="str">
        <f>AVERAGEIF($A66:$A75,"Pantorrillas",$G66:$G75)</f>
        <v>#DIV/0!</v>
      </c>
      <c r="W31" s="35" t="str">
        <f>AVERAGEIF($A66:$A75,"Otros",$G66:$G75)</f>
        <v>#DIV/0!</v>
      </c>
    </row>
    <row r="32" ht="14.25" customHeight="1">
      <c r="A32" s="194" t="s">
        <v>32</v>
      </c>
      <c r="B32" s="195" t="s">
        <v>724</v>
      </c>
      <c r="C32" s="18"/>
      <c r="D32" s="163"/>
      <c r="E32" s="194">
        <v>4.0</v>
      </c>
      <c r="F32" s="194">
        <v>12.0</v>
      </c>
      <c r="G32" s="194">
        <v>7.0</v>
      </c>
      <c r="H32" s="194"/>
      <c r="I32" s="30"/>
      <c r="J32" s="163"/>
    </row>
    <row r="33" ht="14.25" customHeight="1">
      <c r="A33" s="111" t="s">
        <v>29</v>
      </c>
      <c r="B33" s="140" t="s">
        <v>725</v>
      </c>
      <c r="C33" s="8"/>
      <c r="D33" s="9"/>
      <c r="E33" s="111">
        <v>3.0</v>
      </c>
      <c r="F33" s="111">
        <v>12.0</v>
      </c>
      <c r="G33" s="111"/>
      <c r="H33" s="111"/>
      <c r="I33" s="35"/>
      <c r="J33" s="16"/>
    </row>
    <row r="34" ht="14.25" customHeight="1">
      <c r="A34" s="1"/>
      <c r="B34" s="25"/>
      <c r="E34" s="1"/>
      <c r="F34" s="1"/>
      <c r="G34" s="1"/>
      <c r="H34" s="1"/>
      <c r="I34" s="1"/>
      <c r="J34" s="1"/>
    </row>
    <row r="35" ht="14.25" customHeight="1"/>
    <row r="36" ht="14.25" customHeight="1">
      <c r="A36" s="2" t="s">
        <v>57</v>
      </c>
      <c r="B36" s="3"/>
      <c r="C36" s="4"/>
      <c r="J36" s="1"/>
    </row>
    <row r="37" ht="14.25" customHeight="1">
      <c r="A37" s="6" t="s">
        <v>2</v>
      </c>
      <c r="B37" s="10" t="s">
        <v>4</v>
      </c>
      <c r="C37" s="8"/>
      <c r="D37" s="9"/>
      <c r="E37" s="6" t="s">
        <v>5</v>
      </c>
      <c r="F37" s="6" t="s">
        <v>6</v>
      </c>
      <c r="G37" s="6" t="s">
        <v>7</v>
      </c>
      <c r="H37" s="6" t="s">
        <v>8</v>
      </c>
      <c r="I37" s="10" t="s">
        <v>9</v>
      </c>
      <c r="J37" s="9"/>
    </row>
    <row r="38" ht="14.25" customHeight="1">
      <c r="A38" s="181" t="s">
        <v>12</v>
      </c>
      <c r="B38" s="182" t="s">
        <v>551</v>
      </c>
      <c r="C38" s="18"/>
      <c r="D38" s="20"/>
      <c r="E38" s="181">
        <v>2.0</v>
      </c>
      <c r="F38" s="181">
        <v>10.0</v>
      </c>
      <c r="G38" s="181"/>
      <c r="H38" s="181" t="s">
        <v>585</v>
      </c>
      <c r="I38" s="183"/>
      <c r="J38" s="9"/>
    </row>
    <row r="39" ht="14.25" customHeight="1">
      <c r="A39" s="181" t="s">
        <v>12</v>
      </c>
      <c r="B39" s="182" t="s">
        <v>632</v>
      </c>
      <c r="C39" s="18"/>
      <c r="D39" s="20"/>
      <c r="E39" s="181">
        <v>2.0</v>
      </c>
      <c r="F39" s="181">
        <v>12.0</v>
      </c>
      <c r="G39" s="181"/>
      <c r="H39" s="181"/>
      <c r="I39" s="183"/>
      <c r="J39" s="9"/>
    </row>
    <row r="40" ht="14.25" customHeight="1">
      <c r="A40" s="181" t="s">
        <v>12</v>
      </c>
      <c r="B40" s="182" t="s">
        <v>633</v>
      </c>
      <c r="C40" s="18"/>
      <c r="D40" s="20"/>
      <c r="E40" s="181">
        <v>3.0</v>
      </c>
      <c r="F40" s="181">
        <v>12.0</v>
      </c>
      <c r="G40" s="181"/>
      <c r="H40" s="181"/>
      <c r="I40" s="183"/>
      <c r="J40" s="9"/>
    </row>
    <row r="41" ht="14.25" customHeight="1">
      <c r="A41" s="27" t="s">
        <v>16</v>
      </c>
      <c r="B41" s="30" t="s">
        <v>140</v>
      </c>
      <c r="C41" s="18"/>
      <c r="D41" s="20"/>
      <c r="E41" s="27">
        <v>4.0</v>
      </c>
      <c r="F41" s="27">
        <v>10.0</v>
      </c>
      <c r="G41" s="27">
        <v>8.0</v>
      </c>
      <c r="H41" s="27" t="s">
        <v>141</v>
      </c>
      <c r="I41" s="33"/>
      <c r="J41" s="9"/>
    </row>
    <row r="42" ht="14.25" customHeight="1">
      <c r="A42" s="27" t="s">
        <v>16</v>
      </c>
      <c r="B42" s="30" t="s">
        <v>727</v>
      </c>
      <c r="C42" s="18"/>
      <c r="D42" s="20"/>
      <c r="E42" s="27">
        <v>3.0</v>
      </c>
      <c r="F42" s="27">
        <v>12.0</v>
      </c>
      <c r="G42" s="27"/>
      <c r="H42" s="27"/>
      <c r="I42" s="33"/>
      <c r="J42" s="9"/>
    </row>
    <row r="43" ht="14.25" customHeight="1">
      <c r="A43" s="111" t="s">
        <v>26</v>
      </c>
      <c r="B43" s="110" t="s">
        <v>728</v>
      </c>
      <c r="C43" s="18"/>
      <c r="D43" s="20"/>
      <c r="E43" s="111">
        <v>3.0</v>
      </c>
      <c r="F43" s="111">
        <v>12.0</v>
      </c>
      <c r="G43" s="111"/>
      <c r="H43" s="111" t="s">
        <v>591</v>
      </c>
      <c r="I43" s="139"/>
      <c r="J43" s="9"/>
    </row>
    <row r="44" ht="14.25" customHeight="1">
      <c r="A44" s="111" t="s">
        <v>26</v>
      </c>
      <c r="B44" s="110" t="s">
        <v>409</v>
      </c>
      <c r="C44" s="18"/>
      <c r="D44" s="20"/>
      <c r="E44" s="111">
        <v>4.0</v>
      </c>
      <c r="F44" s="111">
        <v>10.0</v>
      </c>
      <c r="G44" s="111"/>
      <c r="H44" s="111"/>
      <c r="I44" s="139"/>
      <c r="J44" s="9"/>
    </row>
    <row r="45" ht="14.25" customHeight="1">
      <c r="A45" s="27" t="s">
        <v>27</v>
      </c>
      <c r="B45" s="30" t="s">
        <v>159</v>
      </c>
      <c r="C45" s="18"/>
      <c r="D45" s="20"/>
      <c r="E45" s="27">
        <v>4.0</v>
      </c>
      <c r="F45" s="27">
        <v>10.0</v>
      </c>
      <c r="G45" s="27"/>
      <c r="H45" s="27"/>
      <c r="I45" s="33"/>
      <c r="J45" s="9"/>
    </row>
    <row r="46" ht="14.25" customHeight="1">
      <c r="A46" s="197" t="s">
        <v>29</v>
      </c>
      <c r="B46" s="198" t="s">
        <v>732</v>
      </c>
      <c r="C46" s="18"/>
      <c r="D46" s="20"/>
      <c r="E46" s="197">
        <v>3.0</v>
      </c>
      <c r="F46" s="197">
        <v>12.0</v>
      </c>
      <c r="G46" s="197"/>
      <c r="H46" s="197" t="s">
        <v>598</v>
      </c>
      <c r="I46" s="199"/>
      <c r="J46" s="9"/>
    </row>
    <row r="47" ht="14.25" customHeight="1">
      <c r="A47" s="197" t="s">
        <v>28</v>
      </c>
      <c r="B47" s="200" t="s">
        <v>733</v>
      </c>
      <c r="C47" s="8"/>
      <c r="D47" s="9"/>
      <c r="E47" s="197">
        <v>3.0</v>
      </c>
      <c r="F47" s="197">
        <v>20.0</v>
      </c>
      <c r="G47" s="197"/>
      <c r="H47" s="197"/>
      <c r="I47" s="199"/>
      <c r="J47" s="9"/>
    </row>
    <row r="48" ht="14.25" customHeight="1">
      <c r="B48" s="26"/>
      <c r="C48" s="29"/>
      <c r="D48" s="29"/>
    </row>
    <row r="49" ht="14.25" customHeight="1"/>
    <row r="50" ht="14.25" customHeight="1">
      <c r="A50" s="2" t="s">
        <v>66</v>
      </c>
      <c r="B50" s="3"/>
      <c r="C50" s="4"/>
      <c r="J50" s="1"/>
    </row>
    <row r="51" ht="14.25" customHeight="1">
      <c r="A51" s="6" t="s">
        <v>2</v>
      </c>
      <c r="B51" s="10" t="s">
        <v>4</v>
      </c>
      <c r="C51" s="8"/>
      <c r="D51" s="9"/>
      <c r="E51" s="6" t="s">
        <v>5</v>
      </c>
      <c r="F51" s="6" t="s">
        <v>6</v>
      </c>
      <c r="G51" s="6" t="s">
        <v>7</v>
      </c>
      <c r="H51" s="6" t="s">
        <v>8</v>
      </c>
      <c r="I51" s="10" t="s">
        <v>9</v>
      </c>
      <c r="J51" s="9"/>
    </row>
    <row r="52" ht="14.25" customHeight="1">
      <c r="A52" s="16"/>
      <c r="B52" s="26"/>
      <c r="C52" s="29"/>
      <c r="D52" s="29"/>
      <c r="E52" s="16"/>
      <c r="F52" s="16"/>
      <c r="G52" s="16"/>
      <c r="H52" s="16"/>
      <c r="I52" s="24"/>
      <c r="J52" s="9"/>
    </row>
    <row r="53" ht="14.25" customHeight="1">
      <c r="A53" s="16"/>
      <c r="B53" s="26"/>
      <c r="C53" s="29"/>
      <c r="D53" s="29"/>
      <c r="E53" s="16"/>
      <c r="F53" s="16"/>
      <c r="G53" s="16"/>
      <c r="H53" s="16"/>
      <c r="I53" s="24"/>
      <c r="J53" s="9"/>
    </row>
    <row r="54" ht="14.25" customHeight="1">
      <c r="A54" s="16" t="s">
        <v>12</v>
      </c>
      <c r="B54" s="26" t="s">
        <v>329</v>
      </c>
      <c r="C54" s="29"/>
      <c r="D54" s="29"/>
      <c r="E54" s="16"/>
      <c r="F54" s="16">
        <v>10.0</v>
      </c>
      <c r="G54" s="16"/>
      <c r="H54" s="16"/>
      <c r="I54" s="24"/>
      <c r="J54" s="9"/>
    </row>
    <row r="55" ht="14.25" customHeight="1">
      <c r="A55" s="16" t="s">
        <v>31</v>
      </c>
      <c r="B55" s="30" t="s">
        <v>331</v>
      </c>
      <c r="C55" s="18"/>
      <c r="D55" s="20"/>
      <c r="E55" s="27"/>
      <c r="F55" s="27">
        <v>10.0</v>
      </c>
      <c r="G55" s="27"/>
      <c r="H55" s="27"/>
      <c r="I55" s="24"/>
      <c r="J55" s="9"/>
    </row>
    <row r="56" ht="14.25" customHeight="1">
      <c r="A56" s="16" t="s">
        <v>32</v>
      </c>
      <c r="B56" s="30" t="s">
        <v>333</v>
      </c>
      <c r="C56" s="18"/>
      <c r="D56" s="20"/>
      <c r="E56" s="27"/>
      <c r="F56" s="27" t="s">
        <v>278</v>
      </c>
      <c r="G56" s="27"/>
      <c r="H56" s="27"/>
      <c r="I56" s="24"/>
      <c r="J56" s="9"/>
    </row>
    <row r="57" ht="14.25" customHeight="1">
      <c r="A57" s="16" t="s">
        <v>26</v>
      </c>
      <c r="B57" s="30" t="s">
        <v>335</v>
      </c>
      <c r="C57" s="18"/>
      <c r="D57" s="20"/>
      <c r="E57" s="27"/>
      <c r="F57" s="27">
        <v>8.0</v>
      </c>
      <c r="G57" s="27"/>
      <c r="H57" s="27"/>
      <c r="I57" s="24"/>
      <c r="J57" s="9"/>
    </row>
    <row r="58" ht="14.25" customHeight="1">
      <c r="A58" s="16" t="s">
        <v>32</v>
      </c>
      <c r="B58" s="30" t="s">
        <v>338</v>
      </c>
      <c r="C58" s="18"/>
      <c r="D58" s="20"/>
      <c r="E58" s="27"/>
      <c r="F58" s="27">
        <v>8.0</v>
      </c>
      <c r="G58" s="27"/>
      <c r="H58" s="27"/>
      <c r="I58" s="24"/>
      <c r="J58" s="9"/>
    </row>
    <row r="59" ht="14.25" customHeight="1">
      <c r="A59" s="16" t="s">
        <v>26</v>
      </c>
      <c r="B59" s="30" t="s">
        <v>340</v>
      </c>
      <c r="C59" s="18"/>
      <c r="D59" s="20"/>
      <c r="E59" s="27"/>
      <c r="F59" s="27">
        <v>10.0</v>
      </c>
      <c r="G59" s="27"/>
      <c r="H59" s="27"/>
      <c r="I59" s="24"/>
      <c r="J59" s="9"/>
    </row>
    <row r="60" ht="14.25" customHeight="1">
      <c r="A60" s="16" t="s">
        <v>28</v>
      </c>
      <c r="B60" s="30" t="s">
        <v>341</v>
      </c>
      <c r="C60" s="18"/>
      <c r="D60" s="20"/>
      <c r="E60" s="27"/>
      <c r="F60" s="27"/>
      <c r="G60" s="27"/>
      <c r="H60" s="27"/>
      <c r="I60" s="24"/>
      <c r="J60" s="9"/>
    </row>
    <row r="61" ht="14.25" customHeight="1">
      <c r="A61" s="16" t="s">
        <v>33</v>
      </c>
      <c r="B61" s="60" t="s">
        <v>342</v>
      </c>
      <c r="C61" s="8"/>
      <c r="D61" s="9"/>
      <c r="E61" s="27"/>
      <c r="F61" s="27">
        <v>10.0</v>
      </c>
      <c r="G61" s="27"/>
      <c r="H61" s="27"/>
      <c r="I61" s="24"/>
      <c r="J61" s="9"/>
    </row>
    <row r="62" ht="14.25" customHeight="1">
      <c r="B62" s="26"/>
      <c r="C62" s="29"/>
      <c r="D62" s="29"/>
    </row>
    <row r="63" ht="14.25" customHeight="1"/>
    <row r="64" ht="14.25" customHeight="1">
      <c r="A64" s="2" t="s">
        <v>76</v>
      </c>
      <c r="B64" s="3"/>
      <c r="C64" s="4"/>
      <c r="J64" s="1"/>
    </row>
    <row r="65" ht="14.25" customHeight="1">
      <c r="A65" s="6" t="s">
        <v>2</v>
      </c>
      <c r="B65" s="10" t="s">
        <v>4</v>
      </c>
      <c r="C65" s="8"/>
      <c r="D65" s="9"/>
      <c r="E65" s="6" t="s">
        <v>5</v>
      </c>
      <c r="F65" s="6" t="s">
        <v>6</v>
      </c>
      <c r="G65" s="6" t="s">
        <v>7</v>
      </c>
      <c r="H65" s="6" t="s">
        <v>8</v>
      </c>
      <c r="I65" s="10" t="s">
        <v>9</v>
      </c>
      <c r="J65" s="9"/>
    </row>
    <row r="66" ht="14.25" customHeight="1">
      <c r="A66" s="16"/>
      <c r="B66" s="26"/>
      <c r="C66" s="29"/>
      <c r="D66" s="29"/>
      <c r="E66" s="16"/>
      <c r="F66" s="16"/>
      <c r="G66" s="16"/>
      <c r="H66" s="16"/>
      <c r="I66" s="24"/>
      <c r="J66" s="9"/>
    </row>
    <row r="67" ht="14.25" customHeight="1">
      <c r="A67" s="16"/>
      <c r="B67" s="26"/>
      <c r="C67" s="29"/>
      <c r="D67" s="29"/>
      <c r="E67" s="16"/>
      <c r="F67" s="16"/>
      <c r="G67" s="16"/>
      <c r="H67" s="16"/>
      <c r="I67" s="24"/>
      <c r="J67" s="9"/>
    </row>
    <row r="68" ht="14.25" customHeight="1">
      <c r="A68" s="16"/>
      <c r="B68" s="26"/>
      <c r="C68" s="29"/>
      <c r="D68" s="29"/>
      <c r="E68" s="16"/>
      <c r="F68" s="16"/>
      <c r="G68" s="16"/>
      <c r="H68" s="16"/>
      <c r="I68" s="24"/>
      <c r="J68" s="9"/>
    </row>
    <row r="69" ht="14.25" customHeight="1">
      <c r="A69" s="16"/>
      <c r="B69" s="26"/>
      <c r="C69" s="29"/>
      <c r="D69" s="29"/>
      <c r="E69" s="16"/>
      <c r="F69" s="16"/>
      <c r="G69" s="16"/>
      <c r="H69" s="16"/>
      <c r="I69" s="24"/>
      <c r="J69" s="9"/>
    </row>
    <row r="70" ht="14.25" customHeight="1">
      <c r="A70" s="16"/>
      <c r="B70" s="26"/>
      <c r="C70" s="29"/>
      <c r="D70" s="29"/>
      <c r="E70" s="16"/>
      <c r="F70" s="16"/>
      <c r="G70" s="16"/>
      <c r="H70" s="16"/>
      <c r="I70" s="24"/>
      <c r="J70" s="9"/>
    </row>
    <row r="71" ht="14.25" customHeight="1">
      <c r="A71" s="16"/>
      <c r="B71" s="26"/>
      <c r="C71" s="29"/>
      <c r="D71" s="29"/>
      <c r="E71" s="16"/>
      <c r="F71" s="16"/>
      <c r="G71" s="16"/>
      <c r="H71" s="16"/>
      <c r="I71" s="24"/>
      <c r="J71" s="9"/>
    </row>
    <row r="72" ht="14.25" customHeight="1">
      <c r="A72" s="16"/>
      <c r="B72" s="26"/>
      <c r="C72" s="29"/>
      <c r="D72" s="29"/>
      <c r="E72" s="16"/>
      <c r="F72" s="16"/>
      <c r="G72" s="16"/>
      <c r="H72" s="16"/>
      <c r="I72" s="24"/>
      <c r="J72" s="9"/>
    </row>
    <row r="73" ht="14.25" customHeight="1">
      <c r="A73" s="16"/>
      <c r="B73" s="26"/>
      <c r="C73" s="29"/>
      <c r="D73" s="29"/>
      <c r="E73" s="16"/>
      <c r="F73" s="16"/>
      <c r="G73" s="16"/>
      <c r="H73" s="16"/>
      <c r="I73" s="24"/>
      <c r="J73" s="9"/>
    </row>
    <row r="74" ht="14.25" customHeight="1">
      <c r="A74" s="16"/>
      <c r="B74" s="26"/>
      <c r="C74" s="29"/>
      <c r="D74" s="29"/>
      <c r="E74" s="16"/>
      <c r="F74" s="16"/>
      <c r="G74" s="16"/>
      <c r="H74" s="16"/>
      <c r="I74" s="24"/>
      <c r="J74" s="9"/>
    </row>
    <row r="75" ht="14.25" customHeight="1">
      <c r="A75" s="16"/>
      <c r="B75" s="58"/>
      <c r="C75" s="8"/>
      <c r="D75" s="9"/>
      <c r="E75" s="16"/>
      <c r="F75" s="16"/>
      <c r="G75" s="16"/>
      <c r="H75" s="16"/>
      <c r="I75" s="24"/>
      <c r="J75" s="9"/>
    </row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7">
    <mergeCell ref="I27:J27"/>
    <mergeCell ref="I28:J28"/>
    <mergeCell ref="I11:J11"/>
    <mergeCell ref="I13:J13"/>
    <mergeCell ref="I22:J22"/>
    <mergeCell ref="I23:J23"/>
    <mergeCell ref="I24:J24"/>
    <mergeCell ref="I25:J25"/>
    <mergeCell ref="I26:J26"/>
    <mergeCell ref="A6:C6"/>
    <mergeCell ref="B7:D7"/>
    <mergeCell ref="I7:J7"/>
    <mergeCell ref="M7:W7"/>
    <mergeCell ref="Z7:AB7"/>
    <mergeCell ref="B8:D8"/>
    <mergeCell ref="B9:D9"/>
    <mergeCell ref="I12:J12"/>
    <mergeCell ref="M12:W12"/>
    <mergeCell ref="I8:J8"/>
    <mergeCell ref="I9:J9"/>
    <mergeCell ref="B10:D10"/>
    <mergeCell ref="I10:J10"/>
    <mergeCell ref="B11:D11"/>
    <mergeCell ref="B12:D12"/>
    <mergeCell ref="B13:D13"/>
    <mergeCell ref="I16:J16"/>
    <mergeCell ref="I18:J18"/>
    <mergeCell ref="M18:W18"/>
    <mergeCell ref="M23:W23"/>
    <mergeCell ref="B14:D14"/>
    <mergeCell ref="I14:J14"/>
    <mergeCell ref="B15:D15"/>
    <mergeCell ref="I15:J15"/>
    <mergeCell ref="B16:D16"/>
    <mergeCell ref="B17:D17"/>
    <mergeCell ref="B18:D18"/>
    <mergeCell ref="B27:D27"/>
    <mergeCell ref="B28:D28"/>
    <mergeCell ref="M28:W28"/>
    <mergeCell ref="I29:J29"/>
    <mergeCell ref="B19:D19"/>
    <mergeCell ref="A21:C21"/>
    <mergeCell ref="B22:D22"/>
    <mergeCell ref="B23:D23"/>
    <mergeCell ref="B24:D24"/>
    <mergeCell ref="B25:D25"/>
    <mergeCell ref="B26:D26"/>
    <mergeCell ref="B51:D51"/>
    <mergeCell ref="B52:D52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62:D62"/>
    <mergeCell ref="A64:C64"/>
    <mergeCell ref="B65:D65"/>
    <mergeCell ref="B73:D73"/>
    <mergeCell ref="B74:D74"/>
    <mergeCell ref="B75:D75"/>
    <mergeCell ref="B66:D66"/>
    <mergeCell ref="B67:D67"/>
    <mergeCell ref="B68:D68"/>
    <mergeCell ref="B69:D69"/>
    <mergeCell ref="B70:D70"/>
    <mergeCell ref="B71:D71"/>
    <mergeCell ref="B72:D72"/>
    <mergeCell ref="I71:J71"/>
    <mergeCell ref="I72:J72"/>
    <mergeCell ref="I73:J73"/>
    <mergeCell ref="I74:J74"/>
    <mergeCell ref="I75:J75"/>
    <mergeCell ref="I61:J61"/>
    <mergeCell ref="I65:J65"/>
    <mergeCell ref="I66:J66"/>
    <mergeCell ref="I67:J67"/>
    <mergeCell ref="I68:J68"/>
    <mergeCell ref="I69:J69"/>
    <mergeCell ref="I70:J70"/>
    <mergeCell ref="B29:D29"/>
    <mergeCell ref="B30:D30"/>
    <mergeCell ref="I30:J30"/>
    <mergeCell ref="B31:D31"/>
    <mergeCell ref="I31:J31"/>
    <mergeCell ref="B32:D32"/>
    <mergeCell ref="I32:J32"/>
    <mergeCell ref="I38:J38"/>
    <mergeCell ref="I39:J39"/>
    <mergeCell ref="B33:D33"/>
    <mergeCell ref="B34:D34"/>
    <mergeCell ref="A36:C36"/>
    <mergeCell ref="B37:D37"/>
    <mergeCell ref="I37:J37"/>
    <mergeCell ref="B38:D38"/>
    <mergeCell ref="B39:D39"/>
    <mergeCell ref="B40:D40"/>
    <mergeCell ref="I40:J40"/>
    <mergeCell ref="B41:D41"/>
    <mergeCell ref="I41:J41"/>
    <mergeCell ref="B42:D42"/>
    <mergeCell ref="I42:J42"/>
    <mergeCell ref="I43:J43"/>
    <mergeCell ref="B43:D43"/>
    <mergeCell ref="B44:D44"/>
    <mergeCell ref="B45:D45"/>
    <mergeCell ref="B46:D46"/>
    <mergeCell ref="B47:D47"/>
    <mergeCell ref="B48:D48"/>
    <mergeCell ref="A50:C50"/>
    <mergeCell ref="I44:J44"/>
    <mergeCell ref="I45:J45"/>
    <mergeCell ref="I46:J46"/>
    <mergeCell ref="I47:J47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60:J60"/>
  </mergeCells>
  <dataValidations>
    <dataValidation type="list" allowBlank="1" showErrorMessage="1" sqref="A8:A18 A23:A33 A38:A47 A52:A61 A66:A75">
      <formula1>Datos!$D$2:$D$11</formula1>
    </dataValidation>
    <dataValidation type="list" allowBlank="1" showErrorMessage="1" sqref="J5">
      <formula1>Datos!$B$2:$B$12</formula1>
    </dataValidation>
    <dataValidation type="list" allowBlank="1" showErrorMessage="1" sqref="J6 J21 J36 J50 J64">
      <formula1>Datos!$D$2:$D$14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10.71"/>
    <col customWidth="1" min="24" max="24" width="7.86"/>
    <col customWidth="1" min="25" max="25" width="15.43"/>
    <col customWidth="1" min="26" max="28" width="10.71"/>
  </cols>
  <sheetData>
    <row r="1" ht="14.25" customHeight="1"/>
    <row r="2" ht="14.25" customHeight="1"/>
    <row r="3" ht="14.25" customHeight="1"/>
    <row r="4" ht="14.25" customHeight="1"/>
    <row r="5" ht="14.25" customHeight="1">
      <c r="J5" s="1"/>
    </row>
    <row r="6" ht="14.25" customHeight="1">
      <c r="A6" s="2" t="s">
        <v>1</v>
      </c>
      <c r="B6" s="3"/>
      <c r="C6" s="4"/>
      <c r="J6" s="1"/>
    </row>
    <row r="7" ht="14.25" customHeight="1">
      <c r="A7" s="5" t="s">
        <v>2</v>
      </c>
      <c r="B7" s="7" t="s">
        <v>4</v>
      </c>
      <c r="C7" s="8"/>
      <c r="D7" s="9"/>
      <c r="E7" s="5" t="s">
        <v>5</v>
      </c>
      <c r="F7" s="5" t="s">
        <v>6</v>
      </c>
      <c r="G7" s="5" t="s">
        <v>7</v>
      </c>
      <c r="H7" s="5" t="s">
        <v>8</v>
      </c>
      <c r="I7" s="7" t="s">
        <v>9</v>
      </c>
      <c r="J7" s="9"/>
      <c r="M7" s="11" t="s">
        <v>0</v>
      </c>
      <c r="N7" s="12"/>
      <c r="O7" s="12"/>
      <c r="P7" s="12"/>
      <c r="Q7" s="12"/>
      <c r="R7" s="12"/>
      <c r="S7" s="12"/>
      <c r="T7" s="12"/>
      <c r="U7" s="12"/>
      <c r="V7" s="12"/>
      <c r="W7" s="13"/>
      <c r="Y7" s="1"/>
      <c r="Z7" s="14" t="s">
        <v>10</v>
      </c>
      <c r="AA7" s="12"/>
      <c r="AB7" s="13"/>
    </row>
    <row r="8" ht="14.25" customHeight="1">
      <c r="A8" s="184" t="s">
        <v>12</v>
      </c>
      <c r="B8" s="185" t="s">
        <v>13</v>
      </c>
      <c r="C8" s="18"/>
      <c r="D8" s="20"/>
      <c r="E8" s="184">
        <v>2.0</v>
      </c>
      <c r="F8" s="184">
        <v>10.0</v>
      </c>
      <c r="G8" s="184"/>
      <c r="H8" s="184"/>
      <c r="I8" s="186" t="s">
        <v>15</v>
      </c>
      <c r="J8" s="9"/>
      <c r="M8" s="25"/>
      <c r="N8" s="28" t="s">
        <v>16</v>
      </c>
      <c r="O8" s="28" t="s">
        <v>26</v>
      </c>
      <c r="P8" s="28" t="s">
        <v>27</v>
      </c>
      <c r="Q8" s="28" t="s">
        <v>28</v>
      </c>
      <c r="R8" s="28" t="s">
        <v>29</v>
      </c>
      <c r="S8" s="28" t="s">
        <v>30</v>
      </c>
      <c r="T8" s="28" t="s">
        <v>31</v>
      </c>
      <c r="U8" s="28" t="s">
        <v>32</v>
      </c>
      <c r="V8" s="28" t="s">
        <v>33</v>
      </c>
      <c r="W8" s="28" t="s">
        <v>12</v>
      </c>
      <c r="Z8" s="28" t="s">
        <v>16</v>
      </c>
      <c r="AA8" s="1">
        <f>SUM(N9,N14,N20,N25,N30)</f>
        <v>14</v>
      </c>
    </row>
    <row r="9" ht="14.25" customHeight="1">
      <c r="A9" s="53" t="s">
        <v>12</v>
      </c>
      <c r="B9" s="54" t="s">
        <v>665</v>
      </c>
      <c r="C9" s="18"/>
      <c r="D9" s="20"/>
      <c r="E9" s="53">
        <v>3.0</v>
      </c>
      <c r="F9" s="53">
        <v>12.0</v>
      </c>
      <c r="G9" s="53"/>
      <c r="H9" s="53"/>
      <c r="I9" s="55"/>
      <c r="J9" s="9"/>
      <c r="M9" s="34" t="s">
        <v>36</v>
      </c>
      <c r="N9" s="37">
        <f>SUMIF(A8:A18,"Pecho",E8:E18)</f>
        <v>10</v>
      </c>
      <c r="O9" s="37">
        <f>SUMIF(A8:A18,"Espalda",E8:E18)</f>
        <v>0</v>
      </c>
      <c r="P9" s="37">
        <f>SUMIF($A8:$A18,"Hombros",$E8:$E18)</f>
        <v>7</v>
      </c>
      <c r="Q9" s="37">
        <f>SUMIF($A8:$A18,"Bíceps",$E8:$E18)</f>
        <v>3</v>
      </c>
      <c r="R9" s="37">
        <f>SUMIF($A8:$A18,"Tríceps",$E8:$E18)</f>
        <v>4</v>
      </c>
      <c r="S9" s="38">
        <f>SUMIF(A8:A18,"Cuádriceps",E8:E18)</f>
        <v>0</v>
      </c>
      <c r="T9" s="37">
        <f>SUMIF($A8:$A18,"Isquios",$E8:$E18)</f>
        <v>0</v>
      </c>
      <c r="U9" s="37">
        <f>SUMIF($A8:$A18,"Glúteos",$E8:$E18)</f>
        <v>0</v>
      </c>
      <c r="V9" s="37">
        <f>SUMIF($A8:$A18,"Pantorrillas",$E8:$E18)</f>
        <v>0</v>
      </c>
      <c r="W9" s="37">
        <f>SUMIF($A8:$A18,"Otros",$E8:$E18)</f>
        <v>8</v>
      </c>
      <c r="Z9" s="28" t="s">
        <v>26</v>
      </c>
      <c r="AA9" s="1">
        <f>SUM(O9,O14,O20,O25,O30)</f>
        <v>11</v>
      </c>
    </row>
    <row r="10" ht="14.25" customHeight="1">
      <c r="A10" s="53" t="s">
        <v>12</v>
      </c>
      <c r="B10" s="54" t="s">
        <v>673</v>
      </c>
      <c r="C10" s="18"/>
      <c r="D10" s="20"/>
      <c r="E10" s="53">
        <v>3.0</v>
      </c>
      <c r="F10" s="53">
        <v>10.0</v>
      </c>
      <c r="G10" s="53"/>
      <c r="H10" s="53"/>
      <c r="I10" s="55"/>
      <c r="J10" s="9"/>
      <c r="M10" s="34" t="s">
        <v>7</v>
      </c>
      <c r="N10" s="35">
        <f>AVERAGEIF($A8:$A18,"Pecho",$G8:$G18)</f>
        <v>8</v>
      </c>
      <c r="O10" s="35" t="str">
        <f>AVERAGEIF($A8:$A18,"Espalda",$G8:$G18)</f>
        <v>#DIV/0!</v>
      </c>
      <c r="P10" s="35">
        <f>AVERAGEIF($A8:$A18,"Hombros",$G8:$G18)</f>
        <v>8</v>
      </c>
      <c r="Q10" s="35">
        <f>AVERAGEIF($A8:$A18,"Bíceps",$G8:$G18)</f>
        <v>10</v>
      </c>
      <c r="R10" s="35" t="str">
        <f>AVERAGEIF($A8:$A18,"Tríceps",$G8:$G18)</f>
        <v>#DIV/0!</v>
      </c>
      <c r="S10" s="35" t="str">
        <f>AVERAGEIF($A8:$A18,"Cuádriceps",$G8:$G18)</f>
        <v>#DIV/0!</v>
      </c>
      <c r="T10" s="35" t="str">
        <f>AVERAGEIF($A8:$A18,"Isquios",$G8:$G18)</f>
        <v>#DIV/0!</v>
      </c>
      <c r="U10" s="35" t="str">
        <f>AVERAGEIF($A8:$A18,"Glúteos",$G8:$G18)</f>
        <v>#DIV/0!</v>
      </c>
      <c r="V10" s="35" t="str">
        <f>AVERAGEIF($A8:$A18,"Pantorrillas",$G8:$G18)</f>
        <v>#DIV/0!</v>
      </c>
      <c r="W10" s="35" t="str">
        <f>AVERAGEIF($A8:$A18,"Otros",$G8:$G18)</f>
        <v>#DIV/0!</v>
      </c>
      <c r="Z10" s="28" t="s">
        <v>27</v>
      </c>
      <c r="AA10" s="1">
        <f>SUM(P9,P14,P20,P25,P30)</f>
        <v>10</v>
      </c>
    </row>
    <row r="11" ht="14.25" customHeight="1">
      <c r="A11" s="49" t="s">
        <v>16</v>
      </c>
      <c r="B11" s="50" t="s">
        <v>52</v>
      </c>
      <c r="C11" s="18"/>
      <c r="D11" s="20"/>
      <c r="E11" s="49">
        <v>4.0</v>
      </c>
      <c r="F11" s="49" t="s">
        <v>674</v>
      </c>
      <c r="G11" s="49">
        <v>8.0</v>
      </c>
      <c r="H11" s="49" t="s">
        <v>55</v>
      </c>
      <c r="I11" s="51"/>
      <c r="J11" s="9"/>
      <c r="M11" s="25"/>
      <c r="N11" s="25"/>
      <c r="O11" s="25"/>
      <c r="P11" s="25"/>
      <c r="Q11" s="25"/>
      <c r="R11" s="25"/>
      <c r="S11" s="25"/>
      <c r="T11" s="25"/>
      <c r="U11" s="25"/>
      <c r="Z11" s="28" t="s">
        <v>28</v>
      </c>
      <c r="AA11" s="1">
        <f>SUM(Q9,Q14,Q20,Q25,Q30)</f>
        <v>6</v>
      </c>
    </row>
    <row r="12" ht="14.25" customHeight="1">
      <c r="A12" s="53" t="s">
        <v>27</v>
      </c>
      <c r="B12" s="54" t="s">
        <v>676</v>
      </c>
      <c r="C12" s="18"/>
      <c r="D12" s="20"/>
      <c r="E12" s="53">
        <v>4.0</v>
      </c>
      <c r="F12" s="53">
        <v>10.0</v>
      </c>
      <c r="G12" s="53">
        <v>8.0</v>
      </c>
      <c r="H12" s="53"/>
      <c r="I12" s="55" t="s">
        <v>58</v>
      </c>
      <c r="J12" s="9"/>
      <c r="M12" s="11" t="s">
        <v>45</v>
      </c>
      <c r="N12" s="12"/>
      <c r="O12" s="12"/>
      <c r="P12" s="12"/>
      <c r="Q12" s="12"/>
      <c r="R12" s="12"/>
      <c r="S12" s="12"/>
      <c r="T12" s="12"/>
      <c r="U12" s="12"/>
      <c r="V12" s="12"/>
      <c r="W12" s="13"/>
      <c r="Z12" s="28" t="s">
        <v>29</v>
      </c>
      <c r="AA12" s="1">
        <f>SUM(R9,R14,R20,R25,R30)</f>
        <v>4</v>
      </c>
    </row>
    <row r="13" ht="14.25" customHeight="1">
      <c r="A13" s="53" t="s">
        <v>29</v>
      </c>
      <c r="B13" s="54" t="s">
        <v>85</v>
      </c>
      <c r="C13" s="18"/>
      <c r="D13" s="20"/>
      <c r="E13" s="53">
        <v>4.0</v>
      </c>
      <c r="F13" s="53">
        <v>10.0</v>
      </c>
      <c r="G13" s="53"/>
      <c r="H13" s="53"/>
      <c r="I13" s="55"/>
      <c r="J13" s="9"/>
      <c r="M13" s="25"/>
      <c r="N13" s="28" t="s">
        <v>16</v>
      </c>
      <c r="O13" s="28" t="s">
        <v>26</v>
      </c>
      <c r="P13" s="28" t="s">
        <v>27</v>
      </c>
      <c r="Q13" s="28" t="s">
        <v>28</v>
      </c>
      <c r="R13" s="28" t="s">
        <v>29</v>
      </c>
      <c r="S13" s="28" t="s">
        <v>30</v>
      </c>
      <c r="T13" s="28" t="s">
        <v>31</v>
      </c>
      <c r="U13" s="28" t="s">
        <v>32</v>
      </c>
      <c r="V13" s="28" t="s">
        <v>33</v>
      </c>
      <c r="W13" s="28" t="s">
        <v>12</v>
      </c>
      <c r="Z13" s="28" t="s">
        <v>30</v>
      </c>
      <c r="AA13" s="1">
        <f>SUM(S9,S14,S20,S25,S30)</f>
        <v>16</v>
      </c>
    </row>
    <row r="14" ht="14.25" customHeight="1">
      <c r="A14" s="49" t="s">
        <v>27</v>
      </c>
      <c r="B14" s="50" t="s">
        <v>451</v>
      </c>
      <c r="C14" s="18"/>
      <c r="D14" s="20"/>
      <c r="E14" s="49">
        <v>3.0</v>
      </c>
      <c r="F14" s="49" t="s">
        <v>178</v>
      </c>
      <c r="G14" s="49">
        <v>8.0</v>
      </c>
      <c r="H14" s="49"/>
      <c r="I14" s="51"/>
      <c r="J14" s="9"/>
      <c r="M14" s="34" t="s">
        <v>36</v>
      </c>
      <c r="N14" s="35">
        <f>SUMIF($A23:$A33,"Pecho",$E23:$E33)</f>
        <v>0</v>
      </c>
      <c r="O14" s="35">
        <f>SUMIF($A23:$A33,"Espalda",$E23:$E33)</f>
        <v>0</v>
      </c>
      <c r="P14" s="35">
        <f>SUMIF($A23:$A33,"Hombros",$E23:$E33)</f>
        <v>0</v>
      </c>
      <c r="Q14" s="35">
        <f>SUMIF($A23:$A33,"Bíceps",$E23:$E33)</f>
        <v>0</v>
      </c>
      <c r="R14" s="35">
        <f>SUMIF($A23:$A33,"Tríceps",$E23:$E33)</f>
        <v>0</v>
      </c>
      <c r="S14" s="35">
        <f>SUMIF($A23:$A33,"Cuádriceps",$E23:$E33)</f>
        <v>10</v>
      </c>
      <c r="T14" s="35">
        <f>SUMIF($A23:$A33,"Isquios",$E23:$E33)</f>
        <v>3</v>
      </c>
      <c r="U14" s="35">
        <f>SUMIF($A23:$A33,"Glúteos",$E23:$E33)</f>
        <v>4</v>
      </c>
      <c r="V14" s="35">
        <f>SUMIF($A23:$A33,"Pantorrillas",$E23:$E33)</f>
        <v>3</v>
      </c>
      <c r="W14" s="35">
        <f>SUMIF($A23:$A33,"Otros",$E23:$E33)</f>
        <v>13</v>
      </c>
      <c r="Z14" s="28" t="s">
        <v>31</v>
      </c>
      <c r="AA14" s="1">
        <f>SUM(T9,T14,T20,T25,T30)</f>
        <v>10</v>
      </c>
    </row>
    <row r="15" ht="14.25" customHeight="1">
      <c r="A15" s="49" t="s">
        <v>16</v>
      </c>
      <c r="B15" s="50" t="s">
        <v>685</v>
      </c>
      <c r="C15" s="18"/>
      <c r="D15" s="20"/>
      <c r="E15" s="49">
        <v>3.0</v>
      </c>
      <c r="F15" s="49">
        <v>12.0</v>
      </c>
      <c r="G15" s="49">
        <v>8.0</v>
      </c>
      <c r="H15" s="49"/>
      <c r="I15" s="51" t="s">
        <v>72</v>
      </c>
      <c r="J15" s="9"/>
      <c r="M15" s="34" t="s">
        <v>7</v>
      </c>
      <c r="N15" s="35" t="str">
        <f>AVERAGEIF($A23:$A33,"Pecho",$G23:$G33)</f>
        <v>#DIV/0!</v>
      </c>
      <c r="O15" s="35" t="str">
        <f>AVERAGEIF($A23:$A33,"Espalda",$G23:$G33)</f>
        <v>#DIV/0!</v>
      </c>
      <c r="P15" s="35" t="str">
        <f>AVERAGEIF($A23:$A33,"Hombros",$G23:$G33)</f>
        <v>#DIV/0!</v>
      </c>
      <c r="Q15" s="35" t="str">
        <f>AVERAGEIF($A23:$A33,"Bíceps",$G23:$G33)</f>
        <v>#DIV/0!</v>
      </c>
      <c r="R15" s="35" t="str">
        <f>AVERAGEIF($A23:$A33,"Tríceps",$G23:$G33)</f>
        <v>#DIV/0!</v>
      </c>
      <c r="S15" s="35">
        <f>AVERAGEIF($A23:$A33,"Cuádriceps",$G23:$G33)</f>
        <v>8</v>
      </c>
      <c r="T15" s="35" t="str">
        <f>AVERAGEIF($A23:$A33,"Isquios",$G23:$G33)</f>
        <v>#DIV/0!</v>
      </c>
      <c r="U15" s="35" t="str">
        <f>AVERAGEIF($A23:$A33,"Glúteos",$G23:$G33)</f>
        <v>#DIV/0!</v>
      </c>
      <c r="V15" s="35">
        <f>AVERAGEIF($A23:$A33,"Pantorrillas",$G23:$G33)</f>
        <v>8</v>
      </c>
      <c r="W15" s="35" t="str">
        <f>AVERAGEIF($A23:$A33,"Otros",$G23:$G33)</f>
        <v>#DIV/0!</v>
      </c>
      <c r="Z15" s="28" t="s">
        <v>32</v>
      </c>
      <c r="AA15" s="1">
        <f>SUM(U9,U14,U20,U25,U30)</f>
        <v>7</v>
      </c>
    </row>
    <row r="16" ht="14.25" customHeight="1">
      <c r="A16" s="53" t="s">
        <v>16</v>
      </c>
      <c r="B16" s="54" t="s">
        <v>525</v>
      </c>
      <c r="C16" s="18"/>
      <c r="D16" s="20"/>
      <c r="E16" s="53">
        <v>3.0</v>
      </c>
      <c r="F16" s="130" t="s">
        <v>686</v>
      </c>
      <c r="G16" s="53">
        <v>8.0</v>
      </c>
      <c r="H16" s="53"/>
      <c r="I16" s="55" t="s">
        <v>81</v>
      </c>
      <c r="J16" s="9"/>
      <c r="M16" s="25"/>
      <c r="N16" s="25"/>
      <c r="O16" s="25"/>
      <c r="P16" s="25"/>
      <c r="Q16" s="25"/>
      <c r="R16" s="25"/>
      <c r="S16" s="25"/>
      <c r="T16" s="25"/>
      <c r="U16" s="25"/>
      <c r="Z16" s="28" t="s">
        <v>33</v>
      </c>
      <c r="AA16" s="1">
        <f>SUM(V9,V14,V20,V25,V30)</f>
        <v>6</v>
      </c>
    </row>
    <row r="17" ht="14.25" customHeight="1">
      <c r="A17" s="53" t="s">
        <v>28</v>
      </c>
      <c r="B17" s="56" t="s">
        <v>182</v>
      </c>
      <c r="C17" s="8"/>
      <c r="D17" s="9"/>
      <c r="E17" s="53">
        <v>3.0</v>
      </c>
      <c r="F17" s="53"/>
      <c r="G17" s="53">
        <v>10.0</v>
      </c>
      <c r="H17" s="53"/>
      <c r="I17" s="57"/>
      <c r="J17" s="59"/>
      <c r="M17" s="25"/>
      <c r="N17" s="25"/>
      <c r="O17" s="25"/>
      <c r="P17" s="25"/>
      <c r="Q17" s="25"/>
      <c r="R17" s="25"/>
      <c r="S17" s="25"/>
      <c r="T17" s="25"/>
      <c r="U17" s="25"/>
      <c r="Z17" s="28"/>
      <c r="AA17" s="1"/>
    </row>
    <row r="18" ht="14.25" customHeight="1">
      <c r="A18" s="53"/>
      <c r="B18" s="54"/>
      <c r="C18" s="18"/>
      <c r="D18" s="20"/>
      <c r="E18" s="53"/>
      <c r="F18" s="53"/>
      <c r="G18" s="53"/>
      <c r="H18" s="53"/>
      <c r="I18" s="55"/>
      <c r="J18" s="9"/>
      <c r="M18" s="11" t="s">
        <v>57</v>
      </c>
      <c r="N18" s="12"/>
      <c r="O18" s="12"/>
      <c r="P18" s="12"/>
      <c r="Q18" s="12"/>
      <c r="R18" s="12"/>
      <c r="S18" s="12"/>
      <c r="T18" s="12"/>
      <c r="U18" s="12"/>
      <c r="V18" s="12"/>
      <c r="W18" s="13"/>
      <c r="Z18" s="28" t="s">
        <v>12</v>
      </c>
      <c r="AA18" s="1">
        <f>SUM(W9,W14,W20,W25,W30)</f>
        <v>35</v>
      </c>
    </row>
    <row r="19" ht="14.25" customHeight="1">
      <c r="B19" s="26"/>
      <c r="C19" s="29"/>
      <c r="D19" s="29"/>
      <c r="M19" s="25"/>
      <c r="N19" s="28" t="s">
        <v>16</v>
      </c>
      <c r="O19" s="28" t="s">
        <v>26</v>
      </c>
      <c r="P19" s="28" t="s">
        <v>27</v>
      </c>
      <c r="Q19" s="28" t="s">
        <v>28</v>
      </c>
      <c r="R19" s="28" t="s">
        <v>29</v>
      </c>
      <c r="S19" s="28" t="s">
        <v>30</v>
      </c>
      <c r="T19" s="28" t="s">
        <v>31</v>
      </c>
      <c r="U19" s="28" t="s">
        <v>32</v>
      </c>
      <c r="V19" s="28" t="s">
        <v>33</v>
      </c>
      <c r="W19" s="28" t="s">
        <v>12</v>
      </c>
    </row>
    <row r="20" ht="14.25" customHeight="1">
      <c r="M20" s="34" t="s">
        <v>36</v>
      </c>
      <c r="N20" s="35">
        <f>SUMIF($A38:$A47,"Pecho",$E38:$E47)</f>
        <v>0</v>
      </c>
      <c r="O20" s="35">
        <f>SUMIF($A38:$A47,"Espalda",$E38:$E47)</f>
        <v>7</v>
      </c>
      <c r="P20" s="35">
        <f>SUMIF($A38:$A47,"Hombros",$E38:$E47)</f>
        <v>0</v>
      </c>
      <c r="Q20" s="35">
        <f>SUMIF($A38:$A47,"Bíceps",$E38:$E47)</f>
        <v>0</v>
      </c>
      <c r="R20" s="35">
        <f>SUMIF($A38:$A47,"Tríceps",$E38:$E47)</f>
        <v>0</v>
      </c>
      <c r="S20" s="35">
        <f>SUMIF($A38:$A47,"Cuádriceps",$E38:$E47)</f>
        <v>3</v>
      </c>
      <c r="T20" s="35">
        <f>SUMIF($A38:$A47,"Isquios",$E38:$E47)</f>
        <v>4</v>
      </c>
      <c r="U20" s="35">
        <f>SUMIF($A38:$A47,"Glúteos",$E38:$E47)</f>
        <v>3</v>
      </c>
      <c r="V20" s="35">
        <f>SUMIF($A38:$A47,"Pantorrillas",$E38:$E47)</f>
        <v>0</v>
      </c>
      <c r="W20" s="35">
        <f>SUMIF($A38:$A47,"Otros",$E38:$E47)</f>
        <v>14</v>
      </c>
    </row>
    <row r="21" ht="14.25" customHeight="1">
      <c r="A21" s="2" t="s">
        <v>97</v>
      </c>
      <c r="B21" s="3"/>
      <c r="C21" s="4"/>
      <c r="J21" s="1"/>
      <c r="M21" s="34" t="s">
        <v>7</v>
      </c>
      <c r="N21" s="35" t="str">
        <f>AVERAGEIF($A38:$A47,"Pecho",$G38:$G47)</f>
        <v>#DIV/0!</v>
      </c>
      <c r="O21" s="35">
        <f>AVERAGEIF($A38:$A47,"Espalda",$G38:$G47)</f>
        <v>8</v>
      </c>
      <c r="P21" s="35" t="str">
        <f>AVERAGEIF($A38:$A47,"Hombros",$G38:$G47)</f>
        <v>#DIV/0!</v>
      </c>
      <c r="Q21" s="35" t="str">
        <f>AVERAGEIF($A38:$A47,"Bíceps",$G38:$G47)</f>
        <v>#DIV/0!</v>
      </c>
      <c r="R21" s="35" t="str">
        <f>AVERAGEIF($A38:$A47,"Tríceps",$G38:$G47)</f>
        <v>#DIV/0!</v>
      </c>
      <c r="S21" s="35" t="str">
        <f>AVERAGEIF($A38:$A47,"Cuádriceps",$G38:$G47)</f>
        <v>#DIV/0!</v>
      </c>
      <c r="T21" s="35">
        <f>AVERAGEIF($A38:$A47,"Isquios",$G38:$G47)</f>
        <v>8</v>
      </c>
      <c r="U21" s="35" t="str">
        <f>AVERAGEIF($A38:$A47,"Glúteos",$G38:$G47)</f>
        <v>#DIV/0!</v>
      </c>
      <c r="V21" s="35" t="str">
        <f>AVERAGEIF($A38:$A47,"Pantorrillas",$G38:$G47)</f>
        <v>#DIV/0!</v>
      </c>
      <c r="W21" s="35" t="str">
        <f>AVERAGEIF($A38:$A47,"Otros",$G38:$G47)</f>
        <v>#DIV/0!</v>
      </c>
    </row>
    <row r="22" ht="14.25" customHeight="1">
      <c r="A22" s="147" t="s">
        <v>2</v>
      </c>
      <c r="B22" s="148" t="s">
        <v>4</v>
      </c>
      <c r="C22" s="8"/>
      <c r="D22" s="9"/>
      <c r="E22" s="147" t="s">
        <v>5</v>
      </c>
      <c r="F22" s="147" t="s">
        <v>6</v>
      </c>
      <c r="G22" s="147" t="s">
        <v>7</v>
      </c>
      <c r="H22" s="147" t="s">
        <v>8</v>
      </c>
      <c r="I22" s="148" t="s">
        <v>9</v>
      </c>
      <c r="J22" s="9"/>
      <c r="M22" s="25"/>
      <c r="N22" s="25"/>
      <c r="O22" s="25"/>
      <c r="P22" s="25"/>
      <c r="Q22" s="25"/>
      <c r="R22" s="25"/>
      <c r="S22" s="25"/>
      <c r="T22" s="25"/>
      <c r="U22" s="25"/>
    </row>
    <row r="23" ht="14.25" customHeight="1">
      <c r="A23" s="53" t="s">
        <v>12</v>
      </c>
      <c r="B23" s="54" t="s">
        <v>99</v>
      </c>
      <c r="C23" s="18"/>
      <c r="D23" s="20"/>
      <c r="E23" s="53">
        <v>2.0</v>
      </c>
      <c r="F23" s="53">
        <v>10.0</v>
      </c>
      <c r="G23" s="53"/>
      <c r="H23" s="53"/>
      <c r="I23" s="55"/>
      <c r="J23" s="9"/>
      <c r="M23" s="11" t="s">
        <v>66</v>
      </c>
      <c r="N23" s="12"/>
      <c r="O23" s="12"/>
      <c r="P23" s="12"/>
      <c r="Q23" s="12"/>
      <c r="R23" s="12"/>
      <c r="S23" s="12"/>
      <c r="T23" s="12"/>
      <c r="U23" s="12"/>
      <c r="V23" s="12"/>
      <c r="W23" s="13"/>
    </row>
    <row r="24" ht="14.25" customHeight="1">
      <c r="A24" s="53" t="s">
        <v>12</v>
      </c>
      <c r="B24" s="54" t="s">
        <v>100</v>
      </c>
      <c r="C24" s="18"/>
      <c r="D24" s="20"/>
      <c r="E24" s="53">
        <v>2.0</v>
      </c>
      <c r="F24" s="53">
        <v>12.0</v>
      </c>
      <c r="G24" s="53"/>
      <c r="H24" s="53"/>
      <c r="I24" s="55"/>
      <c r="J24" s="9"/>
      <c r="M24" s="25"/>
      <c r="N24" s="28" t="s">
        <v>16</v>
      </c>
      <c r="O24" s="28" t="s">
        <v>26</v>
      </c>
      <c r="P24" s="28" t="s">
        <v>27</v>
      </c>
      <c r="Q24" s="28" t="s">
        <v>28</v>
      </c>
      <c r="R24" s="28" t="s">
        <v>29</v>
      </c>
      <c r="S24" s="28" t="s">
        <v>30</v>
      </c>
      <c r="T24" s="28" t="s">
        <v>31</v>
      </c>
      <c r="U24" s="28" t="s">
        <v>32</v>
      </c>
      <c r="V24" s="28" t="s">
        <v>33</v>
      </c>
      <c r="W24" s="28" t="s">
        <v>12</v>
      </c>
    </row>
    <row r="25" ht="14.25" customHeight="1">
      <c r="A25" s="53" t="s">
        <v>12</v>
      </c>
      <c r="B25" s="54" t="s">
        <v>101</v>
      </c>
      <c r="C25" s="18"/>
      <c r="D25" s="20"/>
      <c r="E25" s="53">
        <v>3.0</v>
      </c>
      <c r="F25" s="53">
        <v>10.0</v>
      </c>
      <c r="G25" s="53"/>
      <c r="H25" s="53"/>
      <c r="I25" s="55"/>
      <c r="J25" s="9"/>
      <c r="M25" s="34" t="s">
        <v>36</v>
      </c>
      <c r="N25" s="35">
        <f>SUMIF($A52:$A61,"Pecho",$E52:$E61)</f>
        <v>4</v>
      </c>
      <c r="O25" s="35">
        <f>SUMIF($A52:$A61,"Espalda",$E52:$E61)</f>
        <v>4</v>
      </c>
      <c r="P25" s="35">
        <f>SUMIF($A52:$A61,"Hombros",$E52:$E61)</f>
        <v>3</v>
      </c>
      <c r="Q25" s="35">
        <f>SUMIF($A52:$A61,"Bíceps",$E52:$E61)</f>
        <v>3</v>
      </c>
      <c r="R25" s="35">
        <f>SUMIF($A52:$A61,"Tríceps",$E52:$E61)</f>
        <v>0</v>
      </c>
      <c r="S25" s="35">
        <f>SUMIF($A52:$A61,"Cuádriceps",$E52:$E61)</f>
        <v>3</v>
      </c>
      <c r="T25" s="35">
        <f>SUMIF($A52:$A61,"Isquios",$E52:$E61)</f>
        <v>3</v>
      </c>
      <c r="U25" s="35">
        <f>SUMIF($A52:$A61,"Glúteos",$E52:$E61)</f>
        <v>0</v>
      </c>
      <c r="V25" s="35">
        <f>SUMIF($A52:$A61,"Pantorrillas",$E52:$E61)</f>
        <v>3</v>
      </c>
      <c r="W25" s="35">
        <f>SUMIF($A52:$A61,"Otros",$E52:$E61)</f>
        <v>0</v>
      </c>
    </row>
    <row r="26" ht="14.25" customHeight="1">
      <c r="A26" s="27" t="s">
        <v>30</v>
      </c>
      <c r="B26" s="30" t="s">
        <v>102</v>
      </c>
      <c r="C26" s="18"/>
      <c r="D26" s="20"/>
      <c r="E26" s="27">
        <v>4.0</v>
      </c>
      <c r="F26" s="27">
        <v>8.0</v>
      </c>
      <c r="G26" s="27">
        <v>8.0</v>
      </c>
      <c r="H26" s="27" t="s">
        <v>55</v>
      </c>
      <c r="I26" s="33"/>
      <c r="J26" s="9"/>
      <c r="M26" s="34" t="s">
        <v>7</v>
      </c>
      <c r="N26" s="35">
        <f>AVERAGEIF($A52:$A61,"Pecho",$G52:$G61)</f>
        <v>7</v>
      </c>
      <c r="O26" s="35">
        <f>AVERAGEIF($A52:$A61,"Espalda",$G52:$G61)</f>
        <v>8</v>
      </c>
      <c r="P26" s="35">
        <f>AVERAGEIF($A52:$A61,"Hombros",$G52:$G61)</f>
        <v>6</v>
      </c>
      <c r="Q26" s="35">
        <f>AVERAGEIF($A52:$A61,"Bíceps",$G52:$G61)</f>
        <v>6</v>
      </c>
      <c r="R26" s="35" t="str">
        <f>AVERAGEIF($A52:$A61,"Tríceps",$G52:$G61)</f>
        <v>#DIV/0!</v>
      </c>
      <c r="S26" s="35">
        <f>AVERAGEIF($A52:$A61,"Cuádriceps",$G52:$G61)</f>
        <v>6</v>
      </c>
      <c r="T26" s="35">
        <f>AVERAGEIF($A52:$A61,"Isquios",$G52:$G61)</f>
        <v>7</v>
      </c>
      <c r="U26" s="35" t="str">
        <f>AVERAGEIF($A52:$A61,"Glúteos",$G52:$G61)</f>
        <v>#DIV/0!</v>
      </c>
      <c r="V26" s="35">
        <f>AVERAGEIF($A52:$A61,"Pantorrillas",$G52:$G61)</f>
        <v>7</v>
      </c>
      <c r="W26" s="35" t="str">
        <f>AVERAGEIF($A52:$A61,"Otros",$G52:$G61)</f>
        <v>#DIV/0!</v>
      </c>
    </row>
    <row r="27" ht="14.25" customHeight="1">
      <c r="A27" s="27" t="s">
        <v>33</v>
      </c>
      <c r="B27" s="30" t="s">
        <v>718</v>
      </c>
      <c r="C27" s="18"/>
      <c r="D27" s="20"/>
      <c r="E27" s="27">
        <v>3.0</v>
      </c>
      <c r="F27" s="27">
        <v>5.0</v>
      </c>
      <c r="G27" s="27">
        <v>8.0</v>
      </c>
      <c r="H27" s="27"/>
      <c r="I27" s="33"/>
      <c r="J27" s="9"/>
      <c r="M27" s="25"/>
      <c r="N27" s="25"/>
      <c r="O27" s="25"/>
      <c r="P27" s="25"/>
      <c r="Q27" s="25"/>
      <c r="R27" s="25"/>
      <c r="S27" s="25"/>
      <c r="T27" s="25"/>
      <c r="U27" s="25"/>
    </row>
    <row r="28" ht="14.25" customHeight="1">
      <c r="A28" s="53" t="s">
        <v>32</v>
      </c>
      <c r="B28" s="54" t="s">
        <v>107</v>
      </c>
      <c r="C28" s="18"/>
      <c r="D28" s="20"/>
      <c r="E28" s="53">
        <v>4.0</v>
      </c>
      <c r="F28" s="53" t="s">
        <v>108</v>
      </c>
      <c r="G28" s="53"/>
      <c r="H28" s="53"/>
      <c r="I28" s="55"/>
      <c r="J28" s="9"/>
      <c r="M28" s="11" t="s">
        <v>76</v>
      </c>
      <c r="N28" s="12"/>
      <c r="O28" s="12"/>
      <c r="P28" s="12"/>
      <c r="Q28" s="12"/>
      <c r="R28" s="12"/>
      <c r="S28" s="12"/>
      <c r="T28" s="12"/>
      <c r="U28" s="12"/>
      <c r="V28" s="12"/>
      <c r="W28" s="13"/>
    </row>
    <row r="29" ht="14.25" customHeight="1">
      <c r="A29" s="27" t="s">
        <v>31</v>
      </c>
      <c r="B29" s="30" t="s">
        <v>722</v>
      </c>
      <c r="C29" s="18"/>
      <c r="D29" s="20"/>
      <c r="E29" s="27">
        <v>3.0</v>
      </c>
      <c r="F29" s="27">
        <v>6.0</v>
      </c>
      <c r="G29" s="27"/>
      <c r="H29" s="27"/>
      <c r="I29" s="33"/>
      <c r="J29" s="9"/>
      <c r="M29" s="25"/>
      <c r="N29" s="28" t="s">
        <v>16</v>
      </c>
      <c r="O29" s="28" t="s">
        <v>26</v>
      </c>
      <c r="P29" s="28" t="s">
        <v>27</v>
      </c>
      <c r="Q29" s="28" t="s">
        <v>28</v>
      </c>
      <c r="R29" s="28" t="s">
        <v>29</v>
      </c>
      <c r="S29" s="28" t="s">
        <v>30</v>
      </c>
      <c r="T29" s="28" t="s">
        <v>31</v>
      </c>
      <c r="U29" s="28" t="s">
        <v>32</v>
      </c>
      <c r="V29" s="28" t="s">
        <v>33</v>
      </c>
      <c r="W29" s="28" t="s">
        <v>12</v>
      </c>
    </row>
    <row r="30" ht="14.25" customHeight="1">
      <c r="A30" s="27" t="s">
        <v>30</v>
      </c>
      <c r="B30" s="30" t="s">
        <v>723</v>
      </c>
      <c r="C30" s="18"/>
      <c r="D30" s="20"/>
      <c r="E30" s="27">
        <v>3.0</v>
      </c>
      <c r="F30" s="27">
        <v>12.0</v>
      </c>
      <c r="G30" s="27"/>
      <c r="H30" s="27"/>
      <c r="I30" s="33"/>
      <c r="J30" s="9"/>
      <c r="M30" s="34" t="s">
        <v>36</v>
      </c>
      <c r="N30" s="35">
        <f>SUMIF($A66:$A75,"Pecho",$E66:$E75)</f>
        <v>0</v>
      </c>
      <c r="O30" s="35">
        <f>SUMIF($A66:$A75,"Espalda",$E66:$E75)</f>
        <v>0</v>
      </c>
      <c r="P30" s="35">
        <f>SUMIF($A66:$A75,"Hombros",$E66:$E75)</f>
        <v>0</v>
      </c>
      <c r="Q30" s="35">
        <f>SUMIF($A66:$A75,"Bíceps",$E66:$E75)</f>
        <v>0</v>
      </c>
      <c r="R30" s="35">
        <f>SUMIF($A66:$A75,"Tríceps",$E66:$E75)</f>
        <v>0</v>
      </c>
      <c r="S30" s="35">
        <f>SUMIF($A66:$A75,"Cuádriceps",$E66:$E75)</f>
        <v>0</v>
      </c>
      <c r="T30" s="35">
        <f>SUMIF($A66:$A75,"Isquios",$E66:$E75)</f>
        <v>0</v>
      </c>
      <c r="U30" s="35">
        <f>SUMIF($A66:$A75,"Glúteos",$E66:$E75)</f>
        <v>0</v>
      </c>
      <c r="V30" s="35">
        <f>SUMIF($A66:$A75,"Pantorrillas",$E66:$E75)</f>
        <v>0</v>
      </c>
      <c r="W30" s="35">
        <f>SUMIF($A66:$A75,"Otros",$E66:$E75)</f>
        <v>0</v>
      </c>
    </row>
    <row r="31" ht="14.25" customHeight="1">
      <c r="A31" s="53" t="s">
        <v>30</v>
      </c>
      <c r="B31" s="56" t="s">
        <v>79</v>
      </c>
      <c r="C31" s="8"/>
      <c r="D31" s="9"/>
      <c r="E31" s="53">
        <v>3.0</v>
      </c>
      <c r="F31" s="53" t="s">
        <v>726</v>
      </c>
      <c r="G31" s="53"/>
      <c r="H31" s="53"/>
      <c r="I31" s="55"/>
      <c r="J31" s="9"/>
      <c r="M31" s="34" t="s">
        <v>7</v>
      </c>
      <c r="N31" s="35">
        <f>AVERAGEIF($A66:$A75,"Pecho",$G66:$G75)</f>
        <v>6</v>
      </c>
      <c r="O31" s="35" t="str">
        <f>AVERAGEIF($A66:$A75,"Espalda",$G66:$G75)</f>
        <v>#DIV/0!</v>
      </c>
      <c r="P31" s="35" t="str">
        <f>AVERAGEIF($A66:$A75,"Hombros",$G66:$G75)</f>
        <v>#DIV/0!</v>
      </c>
      <c r="Q31" s="35">
        <f>AVERAGEIF($A66:$A75,"Bíceps",$G66:$G75)</f>
        <v>7</v>
      </c>
      <c r="R31" s="35" t="str">
        <f>AVERAGEIF($A66:$A75,"Tríceps",$G66:$G75)</f>
        <v>#DIV/0!</v>
      </c>
      <c r="S31" s="35" t="str">
        <f>AVERAGEIF($A66:$A75,"Cuádriceps",$G66:$G75)</f>
        <v>#DIV/0!</v>
      </c>
      <c r="T31" s="35">
        <f>AVERAGEIF($A66:$A75,"Isquios",$G66:$G75)</f>
        <v>6</v>
      </c>
      <c r="U31" s="35" t="str">
        <f>AVERAGEIF($A66:$A75,"Glúteos",$G66:$G75)</f>
        <v>#DIV/0!</v>
      </c>
      <c r="V31" s="35">
        <f>AVERAGEIF($A66:$A75,"Pantorrillas",$G66:$G75)</f>
        <v>7</v>
      </c>
      <c r="W31" s="35" t="str">
        <f>AVERAGEIF($A66:$A75,"Otros",$G66:$G75)</f>
        <v>#DIV/0!</v>
      </c>
    </row>
    <row r="32" ht="14.25" customHeight="1">
      <c r="A32" s="27" t="s">
        <v>113</v>
      </c>
      <c r="B32" s="196" t="s">
        <v>729</v>
      </c>
      <c r="C32" s="8"/>
      <c r="D32" s="9"/>
      <c r="E32" s="27">
        <v>3.0</v>
      </c>
      <c r="F32" s="27">
        <v>20.0</v>
      </c>
      <c r="G32" s="27"/>
      <c r="H32" s="27"/>
      <c r="I32" s="153"/>
      <c r="J32" s="154"/>
      <c r="M32" s="65"/>
      <c r="N32" s="25"/>
      <c r="O32" s="25"/>
      <c r="P32" s="25"/>
      <c r="Q32" s="25"/>
      <c r="R32" s="25"/>
      <c r="S32" s="25"/>
      <c r="T32" s="25"/>
      <c r="U32" s="25"/>
      <c r="V32" s="25"/>
      <c r="W32" s="25"/>
    </row>
    <row r="33" ht="14.25" customHeight="1">
      <c r="A33" s="27" t="s">
        <v>113</v>
      </c>
      <c r="B33" s="60" t="s">
        <v>730</v>
      </c>
      <c r="C33" s="8"/>
      <c r="D33" s="9"/>
      <c r="E33" s="27">
        <v>3.0</v>
      </c>
      <c r="F33" s="27" t="s">
        <v>731</v>
      </c>
      <c r="G33" s="27"/>
      <c r="H33" s="27"/>
      <c r="I33" s="33"/>
      <c r="J33" s="9"/>
    </row>
    <row r="34" ht="14.25" customHeight="1">
      <c r="B34" s="26"/>
      <c r="C34" s="29"/>
      <c r="D34" s="29"/>
    </row>
    <row r="35" ht="14.25" customHeight="1"/>
    <row r="36" ht="14.25" customHeight="1">
      <c r="A36" s="2" t="s">
        <v>117</v>
      </c>
      <c r="B36" s="3"/>
      <c r="C36" s="4"/>
      <c r="J36" s="1"/>
    </row>
    <row r="37" ht="14.25" customHeight="1">
      <c r="A37" s="5" t="s">
        <v>2</v>
      </c>
      <c r="B37" s="7" t="s">
        <v>4</v>
      </c>
      <c r="C37" s="8"/>
      <c r="D37" s="9"/>
      <c r="E37" s="5" t="s">
        <v>5</v>
      </c>
      <c r="F37" s="5" t="s">
        <v>6</v>
      </c>
      <c r="G37" s="5" t="s">
        <v>7</v>
      </c>
      <c r="H37" s="5" t="s">
        <v>8</v>
      </c>
      <c r="I37" s="7" t="s">
        <v>9</v>
      </c>
      <c r="J37" s="9"/>
    </row>
    <row r="38" ht="14.25" customHeight="1">
      <c r="A38" s="53" t="s">
        <v>12</v>
      </c>
      <c r="B38" s="54" t="s">
        <v>13</v>
      </c>
      <c r="C38" s="18"/>
      <c r="D38" s="20"/>
      <c r="E38" s="53">
        <v>2.0</v>
      </c>
      <c r="F38" s="53">
        <v>10.0</v>
      </c>
      <c r="G38" s="53"/>
      <c r="H38" s="53"/>
      <c r="I38" s="55"/>
      <c r="J38" s="9"/>
    </row>
    <row r="39" ht="14.25" customHeight="1">
      <c r="A39" s="53" t="s">
        <v>12</v>
      </c>
      <c r="B39" s="54" t="s">
        <v>734</v>
      </c>
      <c r="C39" s="18"/>
      <c r="D39" s="20"/>
      <c r="E39" s="53">
        <v>3.0</v>
      </c>
      <c r="F39" s="53">
        <v>12.0</v>
      </c>
      <c r="G39" s="53"/>
      <c r="H39" s="53"/>
      <c r="I39" s="55"/>
      <c r="J39" s="9"/>
    </row>
    <row r="40" ht="14.25" customHeight="1">
      <c r="A40" s="53" t="s">
        <v>12</v>
      </c>
      <c r="B40" s="54" t="s">
        <v>735</v>
      </c>
      <c r="C40" s="18"/>
      <c r="D40" s="20"/>
      <c r="E40" s="53">
        <v>3.0</v>
      </c>
      <c r="F40" s="53" t="s">
        <v>736</v>
      </c>
      <c r="G40" s="53"/>
      <c r="H40" s="53"/>
      <c r="I40" s="55"/>
      <c r="J40" s="9"/>
    </row>
    <row r="41" ht="14.25" customHeight="1">
      <c r="A41" s="49" t="s">
        <v>31</v>
      </c>
      <c r="B41" s="50" t="s">
        <v>701</v>
      </c>
      <c r="C41" s="18"/>
      <c r="D41" s="20"/>
      <c r="E41" s="49">
        <v>4.0</v>
      </c>
      <c r="F41" s="49">
        <v>8.0</v>
      </c>
      <c r="G41" s="49">
        <v>8.0</v>
      </c>
      <c r="H41" s="49" t="s">
        <v>55</v>
      </c>
      <c r="I41" s="51"/>
      <c r="J41" s="9"/>
    </row>
    <row r="42" ht="14.25" customHeight="1">
      <c r="A42" s="49" t="s">
        <v>26</v>
      </c>
      <c r="B42" s="50" t="s">
        <v>737</v>
      </c>
      <c r="C42" s="18"/>
      <c r="D42" s="20"/>
      <c r="E42" s="49">
        <v>3.0</v>
      </c>
      <c r="F42" s="49">
        <v>10.0</v>
      </c>
      <c r="G42" s="49">
        <v>8.0</v>
      </c>
      <c r="H42" s="49"/>
      <c r="I42" s="51"/>
      <c r="J42" s="9"/>
    </row>
    <row r="43" ht="14.25" customHeight="1">
      <c r="A43" s="53" t="s">
        <v>30</v>
      </c>
      <c r="B43" s="54" t="s">
        <v>738</v>
      </c>
      <c r="C43" s="18"/>
      <c r="D43" s="20"/>
      <c r="E43" s="53">
        <v>3.0</v>
      </c>
      <c r="F43" s="53">
        <v>8.0</v>
      </c>
      <c r="G43" s="53"/>
      <c r="H43" s="53"/>
      <c r="I43" s="55"/>
      <c r="J43" s="9"/>
    </row>
    <row r="44" ht="14.25" customHeight="1">
      <c r="A44" s="53" t="s">
        <v>26</v>
      </c>
      <c r="B44" s="54" t="s">
        <v>739</v>
      </c>
      <c r="C44" s="18"/>
      <c r="D44" s="20"/>
      <c r="E44" s="53">
        <v>4.0</v>
      </c>
      <c r="F44" s="53">
        <v>10.0</v>
      </c>
      <c r="G44" s="53"/>
      <c r="H44" s="53"/>
      <c r="I44" s="55"/>
      <c r="J44" s="9"/>
    </row>
    <row r="45" ht="14.25" customHeight="1">
      <c r="A45" s="27" t="s">
        <v>113</v>
      </c>
      <c r="B45" s="30" t="s">
        <v>740</v>
      </c>
      <c r="C45" s="18"/>
      <c r="D45" s="20"/>
      <c r="E45" s="27">
        <v>3.0</v>
      </c>
      <c r="F45" s="27">
        <v>10.0</v>
      </c>
      <c r="G45" s="27"/>
      <c r="H45" s="27" t="s">
        <v>741</v>
      </c>
      <c r="I45" s="33"/>
      <c r="J45" s="9"/>
    </row>
    <row r="46" ht="14.25" customHeight="1">
      <c r="A46" s="27" t="s">
        <v>32</v>
      </c>
      <c r="B46" s="30" t="s">
        <v>742</v>
      </c>
      <c r="C46" s="18"/>
      <c r="D46" s="20"/>
      <c r="E46" s="27">
        <v>3.0</v>
      </c>
      <c r="F46" s="27">
        <v>12.0</v>
      </c>
      <c r="G46" s="27"/>
      <c r="H46" s="27" t="s">
        <v>743</v>
      </c>
      <c r="I46" s="33"/>
      <c r="J46" s="9"/>
    </row>
    <row r="47" ht="14.25" customHeight="1">
      <c r="A47" s="27" t="s">
        <v>113</v>
      </c>
      <c r="B47" s="60" t="s">
        <v>145</v>
      </c>
      <c r="C47" s="8"/>
      <c r="D47" s="9"/>
      <c r="E47" s="27">
        <v>3.0</v>
      </c>
      <c r="F47" s="27">
        <v>12.0</v>
      </c>
      <c r="G47" s="27"/>
      <c r="H47" s="27"/>
      <c r="I47" s="33"/>
      <c r="J47" s="9"/>
    </row>
    <row r="48" ht="14.25" customHeight="1">
      <c r="B48" s="26"/>
      <c r="C48" s="29"/>
      <c r="D48" s="29"/>
    </row>
    <row r="49" ht="14.25" customHeight="1"/>
    <row r="50" ht="14.25" customHeight="1">
      <c r="A50" s="2" t="s">
        <v>66</v>
      </c>
      <c r="B50" s="3"/>
      <c r="C50" s="4"/>
      <c r="J50" s="1"/>
    </row>
    <row r="51" ht="14.25" customHeight="1">
      <c r="A51" s="5" t="s">
        <v>2</v>
      </c>
      <c r="B51" s="7" t="s">
        <v>4</v>
      </c>
      <c r="C51" s="8"/>
      <c r="D51" s="9"/>
      <c r="E51" s="5" t="s">
        <v>5</v>
      </c>
      <c r="F51" s="5" t="s">
        <v>6</v>
      </c>
      <c r="G51" s="5" t="s">
        <v>7</v>
      </c>
      <c r="H51" s="5" t="s">
        <v>8</v>
      </c>
      <c r="I51" s="7" t="s">
        <v>9</v>
      </c>
      <c r="J51" s="9"/>
    </row>
    <row r="52" ht="14.25" customHeight="1">
      <c r="A52" s="68" t="s">
        <v>113</v>
      </c>
      <c r="B52" s="69" t="s">
        <v>134</v>
      </c>
      <c r="C52" s="18"/>
      <c r="D52" s="20"/>
      <c r="E52" s="68"/>
      <c r="F52" s="68"/>
      <c r="G52" s="68"/>
      <c r="H52" s="68"/>
      <c r="I52" s="71"/>
      <c r="J52" s="9"/>
    </row>
    <row r="53" ht="14.25" customHeight="1">
      <c r="A53" s="68" t="s">
        <v>113</v>
      </c>
      <c r="B53" s="69" t="s">
        <v>529</v>
      </c>
      <c r="C53" s="18"/>
      <c r="D53" s="20"/>
      <c r="E53" s="68"/>
      <c r="F53" s="68"/>
      <c r="G53" s="68"/>
      <c r="H53" s="68"/>
      <c r="I53" s="71"/>
      <c r="J53" s="9"/>
    </row>
    <row r="54" ht="14.25" customHeight="1">
      <c r="A54" s="68" t="s">
        <v>12</v>
      </c>
      <c r="B54" s="69" t="s">
        <v>530</v>
      </c>
      <c r="C54" s="18"/>
      <c r="D54" s="20"/>
      <c r="E54" s="68"/>
      <c r="F54" s="68">
        <v>10.0</v>
      </c>
      <c r="G54" s="68"/>
      <c r="H54" s="68"/>
      <c r="I54" s="71"/>
      <c r="J54" s="9"/>
    </row>
    <row r="55" ht="14.25" customHeight="1">
      <c r="A55" s="49" t="s">
        <v>16</v>
      </c>
      <c r="B55" s="50" t="s">
        <v>744</v>
      </c>
      <c r="C55" s="18"/>
      <c r="D55" s="20"/>
      <c r="E55" s="49">
        <v>4.0</v>
      </c>
      <c r="F55" s="49">
        <v>10.0</v>
      </c>
      <c r="G55" s="49">
        <v>7.0</v>
      </c>
      <c r="H55" s="49"/>
      <c r="I55" s="51"/>
      <c r="J55" s="9"/>
    </row>
    <row r="56" ht="14.25" customHeight="1">
      <c r="A56" s="49" t="s">
        <v>26</v>
      </c>
      <c r="B56" s="50" t="s">
        <v>745</v>
      </c>
      <c r="C56" s="18"/>
      <c r="D56" s="20"/>
      <c r="E56" s="49">
        <v>4.0</v>
      </c>
      <c r="F56" s="49" t="s">
        <v>71</v>
      </c>
      <c r="G56" s="49">
        <v>8.0</v>
      </c>
      <c r="H56" s="49"/>
      <c r="I56" s="51"/>
      <c r="J56" s="9"/>
    </row>
    <row r="57" ht="14.25" customHeight="1">
      <c r="A57" s="49" t="s">
        <v>28</v>
      </c>
      <c r="B57" s="50" t="s">
        <v>83</v>
      </c>
      <c r="C57" s="18"/>
      <c r="D57" s="20"/>
      <c r="E57" s="49">
        <v>3.0</v>
      </c>
      <c r="F57" s="49">
        <v>10.0</v>
      </c>
      <c r="G57" s="49">
        <v>6.0</v>
      </c>
      <c r="H57" s="49"/>
      <c r="I57" s="51"/>
      <c r="J57" s="9"/>
    </row>
    <row r="58" ht="14.25" customHeight="1">
      <c r="A58" s="68" t="s">
        <v>27</v>
      </c>
      <c r="B58" s="69" t="s">
        <v>535</v>
      </c>
      <c r="C58" s="18"/>
      <c r="D58" s="20"/>
      <c r="E58" s="68">
        <v>3.0</v>
      </c>
      <c r="F58" s="68">
        <v>10.0</v>
      </c>
      <c r="G58" s="68">
        <v>6.0</v>
      </c>
      <c r="H58" s="68"/>
      <c r="I58" s="71"/>
      <c r="J58" s="9"/>
    </row>
    <row r="59" ht="14.25" customHeight="1">
      <c r="A59" s="27" t="s">
        <v>30</v>
      </c>
      <c r="B59" s="30" t="s">
        <v>746</v>
      </c>
      <c r="C59" s="18"/>
      <c r="D59" s="20"/>
      <c r="E59" s="27">
        <v>3.0</v>
      </c>
      <c r="F59" s="27"/>
      <c r="G59" s="27">
        <v>6.0</v>
      </c>
      <c r="H59" s="27"/>
      <c r="I59" s="33"/>
      <c r="J59" s="9"/>
    </row>
    <row r="60" ht="14.25" customHeight="1">
      <c r="A60" s="27" t="s">
        <v>31</v>
      </c>
      <c r="B60" s="30" t="s">
        <v>747</v>
      </c>
      <c r="C60" s="18"/>
      <c r="D60" s="20"/>
      <c r="E60" s="27">
        <v>3.0</v>
      </c>
      <c r="F60" s="27">
        <v>10.0</v>
      </c>
      <c r="G60" s="27">
        <v>7.0</v>
      </c>
      <c r="H60" s="27"/>
      <c r="I60" s="33"/>
      <c r="J60" s="9"/>
    </row>
    <row r="61" ht="14.25" customHeight="1">
      <c r="A61" s="27" t="s">
        <v>33</v>
      </c>
      <c r="B61" s="60" t="s">
        <v>748</v>
      </c>
      <c r="C61" s="8"/>
      <c r="D61" s="9"/>
      <c r="E61" s="27">
        <v>3.0</v>
      </c>
      <c r="F61" s="27">
        <v>6.0</v>
      </c>
      <c r="G61" s="27">
        <v>7.0</v>
      </c>
      <c r="H61" s="27"/>
      <c r="I61" s="33"/>
      <c r="J61" s="9"/>
    </row>
    <row r="62" ht="14.25" customHeight="1">
      <c r="B62" s="26"/>
      <c r="C62" s="29"/>
      <c r="D62" s="29"/>
    </row>
    <row r="63" ht="14.25" customHeight="1"/>
    <row r="64" ht="14.25" customHeight="1">
      <c r="A64" s="2" t="s">
        <v>76</v>
      </c>
      <c r="B64" s="3"/>
      <c r="C64" s="4"/>
      <c r="D64" s="82" t="s">
        <v>161</v>
      </c>
      <c r="J64" s="1"/>
    </row>
    <row r="65" ht="14.25" customHeight="1">
      <c r="A65" s="5" t="s">
        <v>2</v>
      </c>
      <c r="B65" s="7" t="s">
        <v>4</v>
      </c>
      <c r="C65" s="8"/>
      <c r="D65" s="9"/>
      <c r="E65" s="5" t="s">
        <v>5</v>
      </c>
      <c r="F65" s="5" t="s">
        <v>6</v>
      </c>
      <c r="G65" s="5" t="s">
        <v>7</v>
      </c>
      <c r="H65" s="5" t="s">
        <v>8</v>
      </c>
      <c r="I65" s="7" t="s">
        <v>9</v>
      </c>
      <c r="J65" s="9"/>
    </row>
    <row r="66" ht="14.25" customHeight="1">
      <c r="A66" s="83" t="s">
        <v>113</v>
      </c>
      <c r="B66" s="85" t="s">
        <v>163</v>
      </c>
      <c r="C66" s="18"/>
      <c r="D66" s="20"/>
      <c r="E66" s="83"/>
      <c r="F66" s="83">
        <v>10.0</v>
      </c>
      <c r="G66" s="83"/>
      <c r="H66" s="83"/>
      <c r="I66" s="86"/>
      <c r="J66" s="9"/>
    </row>
    <row r="67" ht="14.25" customHeight="1">
      <c r="A67" s="83" t="s">
        <v>113</v>
      </c>
      <c r="B67" s="85" t="s">
        <v>166</v>
      </c>
      <c r="C67" s="18"/>
      <c r="D67" s="20"/>
      <c r="E67" s="83"/>
      <c r="F67" s="83"/>
      <c r="G67" s="83"/>
      <c r="H67" s="83"/>
      <c r="I67" s="86"/>
      <c r="J67" s="9"/>
    </row>
    <row r="68" ht="14.25" customHeight="1">
      <c r="A68" s="83" t="s">
        <v>113</v>
      </c>
      <c r="B68" s="85" t="s">
        <v>549</v>
      </c>
      <c r="C68" s="18"/>
      <c r="D68" s="20"/>
      <c r="E68" s="83"/>
      <c r="F68" s="83"/>
      <c r="G68" s="83"/>
      <c r="H68" s="83"/>
      <c r="I68" s="86"/>
      <c r="J68" s="9"/>
    </row>
    <row r="69" ht="14.25" customHeight="1">
      <c r="A69" s="49" t="s">
        <v>31</v>
      </c>
      <c r="B69" s="50" t="s">
        <v>173</v>
      </c>
      <c r="C69" s="18"/>
      <c r="D69" s="20"/>
      <c r="E69" s="49"/>
      <c r="F69" s="49">
        <v>8.0</v>
      </c>
      <c r="G69" s="49">
        <v>6.0</v>
      </c>
      <c r="H69" s="49"/>
      <c r="I69" s="51"/>
      <c r="J69" s="9"/>
    </row>
    <row r="70" ht="14.25" customHeight="1">
      <c r="A70" s="49" t="s">
        <v>31</v>
      </c>
      <c r="B70" s="50" t="s">
        <v>176</v>
      </c>
      <c r="C70" s="18"/>
      <c r="D70" s="20"/>
      <c r="E70" s="49"/>
      <c r="F70" s="49">
        <v>6.0</v>
      </c>
      <c r="G70" s="49">
        <v>6.0</v>
      </c>
      <c r="H70" s="49"/>
      <c r="I70" s="51"/>
      <c r="J70" s="9"/>
    </row>
    <row r="71" ht="14.25" customHeight="1">
      <c r="A71" s="68" t="s">
        <v>16</v>
      </c>
      <c r="B71" s="69" t="s">
        <v>179</v>
      </c>
      <c r="C71" s="18"/>
      <c r="D71" s="20"/>
      <c r="E71" s="68"/>
      <c r="F71" s="68">
        <v>10.0</v>
      </c>
      <c r="G71" s="68">
        <v>6.0</v>
      </c>
      <c r="H71" s="68"/>
      <c r="I71" s="71"/>
      <c r="J71" s="9"/>
    </row>
    <row r="72" ht="14.25" customHeight="1">
      <c r="A72" s="68" t="s">
        <v>16</v>
      </c>
      <c r="B72" s="69" t="s">
        <v>554</v>
      </c>
      <c r="C72" s="18"/>
      <c r="D72" s="20"/>
      <c r="E72" s="68"/>
      <c r="F72" s="68">
        <v>10.0</v>
      </c>
      <c r="G72" s="68">
        <v>6.0</v>
      </c>
      <c r="H72" s="68"/>
      <c r="I72" s="71"/>
      <c r="J72" s="9"/>
    </row>
    <row r="73" ht="14.25" customHeight="1">
      <c r="A73" s="49" t="s">
        <v>28</v>
      </c>
      <c r="B73" s="50" t="s">
        <v>182</v>
      </c>
      <c r="C73" s="18"/>
      <c r="D73" s="20"/>
      <c r="E73" s="49"/>
      <c r="F73" s="49">
        <v>10.0</v>
      </c>
      <c r="G73" s="49">
        <v>7.0</v>
      </c>
      <c r="H73" s="49"/>
      <c r="I73" s="51"/>
      <c r="J73" s="9"/>
    </row>
    <row r="74" ht="14.25" customHeight="1">
      <c r="A74" s="49" t="s">
        <v>33</v>
      </c>
      <c r="B74" s="50" t="s">
        <v>183</v>
      </c>
      <c r="C74" s="18"/>
      <c r="D74" s="20"/>
      <c r="E74" s="49"/>
      <c r="F74" s="49">
        <v>12.0</v>
      </c>
      <c r="G74" s="49">
        <v>7.0</v>
      </c>
      <c r="H74" s="49"/>
      <c r="I74" s="51"/>
      <c r="J74" s="9"/>
    </row>
    <row r="75" ht="14.25" customHeight="1">
      <c r="A75" s="49" t="s">
        <v>32</v>
      </c>
      <c r="B75" s="66" t="s">
        <v>185</v>
      </c>
      <c r="C75" s="8"/>
      <c r="D75" s="9"/>
      <c r="E75" s="49"/>
      <c r="F75" s="49" t="s">
        <v>178</v>
      </c>
      <c r="G75" s="49"/>
      <c r="H75" s="49"/>
      <c r="I75" s="51"/>
      <c r="J75" s="9"/>
    </row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7">
    <mergeCell ref="I27:J27"/>
    <mergeCell ref="I28:J28"/>
    <mergeCell ref="I11:J11"/>
    <mergeCell ref="I13:J13"/>
    <mergeCell ref="I22:J22"/>
    <mergeCell ref="I23:J23"/>
    <mergeCell ref="I24:J24"/>
    <mergeCell ref="I25:J25"/>
    <mergeCell ref="I26:J26"/>
    <mergeCell ref="A6:C6"/>
    <mergeCell ref="B7:D7"/>
    <mergeCell ref="I7:J7"/>
    <mergeCell ref="M7:W7"/>
    <mergeCell ref="Z7:AB7"/>
    <mergeCell ref="B8:D8"/>
    <mergeCell ref="B9:D9"/>
    <mergeCell ref="I12:J12"/>
    <mergeCell ref="M12:W12"/>
    <mergeCell ref="I8:J8"/>
    <mergeCell ref="I9:J9"/>
    <mergeCell ref="B10:D10"/>
    <mergeCell ref="I10:J10"/>
    <mergeCell ref="B11:D11"/>
    <mergeCell ref="B12:D12"/>
    <mergeCell ref="B13:D13"/>
    <mergeCell ref="I16:J16"/>
    <mergeCell ref="I18:J18"/>
    <mergeCell ref="M18:W18"/>
    <mergeCell ref="M23:W23"/>
    <mergeCell ref="B14:D14"/>
    <mergeCell ref="I14:J14"/>
    <mergeCell ref="B15:D15"/>
    <mergeCell ref="I15:J15"/>
    <mergeCell ref="B16:D16"/>
    <mergeCell ref="B17:D17"/>
    <mergeCell ref="B18:D18"/>
    <mergeCell ref="B27:D27"/>
    <mergeCell ref="B28:D28"/>
    <mergeCell ref="M28:W28"/>
    <mergeCell ref="I29:J29"/>
    <mergeCell ref="B19:D19"/>
    <mergeCell ref="A21:C21"/>
    <mergeCell ref="B22:D22"/>
    <mergeCell ref="B23:D23"/>
    <mergeCell ref="B24:D24"/>
    <mergeCell ref="B25:D25"/>
    <mergeCell ref="B26:D26"/>
    <mergeCell ref="B51:D51"/>
    <mergeCell ref="B52:D52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62:D62"/>
    <mergeCell ref="A64:C64"/>
    <mergeCell ref="B65:D65"/>
    <mergeCell ref="B73:D73"/>
    <mergeCell ref="B74:D74"/>
    <mergeCell ref="B75:D75"/>
    <mergeCell ref="B66:D66"/>
    <mergeCell ref="B67:D67"/>
    <mergeCell ref="B68:D68"/>
    <mergeCell ref="B69:D69"/>
    <mergeCell ref="B70:D70"/>
    <mergeCell ref="B71:D71"/>
    <mergeCell ref="B72:D72"/>
    <mergeCell ref="I71:J71"/>
    <mergeCell ref="I72:J72"/>
    <mergeCell ref="I73:J73"/>
    <mergeCell ref="I74:J74"/>
    <mergeCell ref="I75:J75"/>
    <mergeCell ref="I61:J61"/>
    <mergeCell ref="I65:J65"/>
    <mergeCell ref="I66:J66"/>
    <mergeCell ref="I67:J67"/>
    <mergeCell ref="I68:J68"/>
    <mergeCell ref="I69:J69"/>
    <mergeCell ref="I70:J70"/>
    <mergeCell ref="B29:D29"/>
    <mergeCell ref="B30:D30"/>
    <mergeCell ref="I30:J30"/>
    <mergeCell ref="B31:D31"/>
    <mergeCell ref="I31:J31"/>
    <mergeCell ref="B32:D32"/>
    <mergeCell ref="I33:J33"/>
    <mergeCell ref="I38:J38"/>
    <mergeCell ref="I39:J39"/>
    <mergeCell ref="B33:D33"/>
    <mergeCell ref="B34:D34"/>
    <mergeCell ref="A36:C36"/>
    <mergeCell ref="B37:D37"/>
    <mergeCell ref="I37:J37"/>
    <mergeCell ref="B38:D38"/>
    <mergeCell ref="B39:D39"/>
    <mergeCell ref="B40:D40"/>
    <mergeCell ref="I40:J40"/>
    <mergeCell ref="B41:D41"/>
    <mergeCell ref="I41:J41"/>
    <mergeCell ref="B42:D42"/>
    <mergeCell ref="I42:J42"/>
    <mergeCell ref="I43:J43"/>
    <mergeCell ref="B43:D43"/>
    <mergeCell ref="B44:D44"/>
    <mergeCell ref="B45:D45"/>
    <mergeCell ref="B46:D46"/>
    <mergeCell ref="B47:D47"/>
    <mergeCell ref="B48:D48"/>
    <mergeCell ref="A50:C50"/>
    <mergeCell ref="I44:J44"/>
    <mergeCell ref="I45:J45"/>
    <mergeCell ref="I46:J46"/>
    <mergeCell ref="I47:J47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60:J60"/>
  </mergeCells>
  <dataValidations>
    <dataValidation type="list" allowBlank="1" showErrorMessage="1" sqref="A8:A18 A23:A33 A38:A47 A52:A61 A66:A75">
      <formula1>Datos!$D$2:$D$11</formula1>
    </dataValidation>
    <dataValidation type="list" allowBlank="1" showErrorMessage="1" sqref="J5">
      <formula1>Datos!$B$2:$B$12</formula1>
    </dataValidation>
    <dataValidation type="list" allowBlank="1" showErrorMessage="1" sqref="J6 J21 J36 J50 J64">
      <formula1>Datos!$D$2:$D$14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10.71"/>
    <col customWidth="1" min="24" max="24" width="7.86"/>
    <col customWidth="1" min="25" max="25" width="15.43"/>
    <col customWidth="1" min="26" max="28" width="10.71"/>
  </cols>
  <sheetData>
    <row r="1" ht="14.25" customHeight="1"/>
    <row r="2" ht="14.25" customHeight="1"/>
    <row r="3" ht="14.25" customHeight="1"/>
    <row r="4" ht="14.25" customHeight="1"/>
    <row r="5" ht="14.25" customHeight="1">
      <c r="J5" s="1"/>
    </row>
    <row r="6" ht="14.25" customHeight="1">
      <c r="A6" s="2" t="s">
        <v>0</v>
      </c>
      <c r="B6" s="3"/>
      <c r="C6" s="4"/>
      <c r="J6" s="1"/>
    </row>
    <row r="7" ht="14.25" customHeight="1">
      <c r="A7" s="6" t="s">
        <v>2</v>
      </c>
      <c r="B7" s="10" t="s">
        <v>4</v>
      </c>
      <c r="C7" s="8"/>
      <c r="D7" s="9"/>
      <c r="E7" s="6" t="s">
        <v>5</v>
      </c>
      <c r="F7" s="6" t="s">
        <v>6</v>
      </c>
      <c r="G7" s="6" t="s">
        <v>7</v>
      </c>
      <c r="H7" s="6" t="s">
        <v>8</v>
      </c>
      <c r="I7" s="10" t="s">
        <v>9</v>
      </c>
      <c r="J7" s="9"/>
      <c r="M7" s="11" t="s">
        <v>0</v>
      </c>
      <c r="N7" s="12"/>
      <c r="O7" s="12"/>
      <c r="P7" s="12"/>
      <c r="Q7" s="12"/>
      <c r="R7" s="12"/>
      <c r="S7" s="12"/>
      <c r="T7" s="12"/>
      <c r="U7" s="12"/>
      <c r="V7" s="12"/>
      <c r="W7" s="13"/>
      <c r="Y7" s="1"/>
      <c r="Z7" s="14" t="s">
        <v>10</v>
      </c>
      <c r="AA7" s="12"/>
      <c r="AB7" s="13"/>
    </row>
    <row r="8" ht="14.25" customHeight="1">
      <c r="A8" s="27"/>
      <c r="B8" s="30" t="s">
        <v>749</v>
      </c>
      <c r="C8" s="18"/>
      <c r="D8" s="20"/>
      <c r="E8" s="27">
        <v>2.0</v>
      </c>
      <c r="F8" s="27">
        <v>10.0</v>
      </c>
      <c r="G8" s="27"/>
      <c r="H8" s="27"/>
      <c r="I8" s="24"/>
      <c r="J8" s="9"/>
      <c r="M8" s="25"/>
      <c r="N8" s="28" t="s">
        <v>16</v>
      </c>
      <c r="O8" s="28" t="s">
        <v>26</v>
      </c>
      <c r="P8" s="28" t="s">
        <v>27</v>
      </c>
      <c r="Q8" s="28" t="s">
        <v>28</v>
      </c>
      <c r="R8" s="28" t="s">
        <v>29</v>
      </c>
      <c r="S8" s="28" t="s">
        <v>30</v>
      </c>
      <c r="T8" s="28" t="s">
        <v>31</v>
      </c>
      <c r="U8" s="28" t="s">
        <v>32</v>
      </c>
      <c r="V8" s="28" t="s">
        <v>33</v>
      </c>
      <c r="W8" s="28" t="s">
        <v>12</v>
      </c>
      <c r="Z8" s="28" t="s">
        <v>16</v>
      </c>
      <c r="AA8" s="1">
        <f>SUM(N9,N14,N19,N24,N29)</f>
        <v>6</v>
      </c>
    </row>
    <row r="9" ht="14.25" customHeight="1">
      <c r="A9" s="27"/>
      <c r="B9" s="30" t="s">
        <v>492</v>
      </c>
      <c r="C9" s="18"/>
      <c r="D9" s="20"/>
      <c r="E9" s="27">
        <v>3.0</v>
      </c>
      <c r="F9" s="27">
        <v>10.0</v>
      </c>
      <c r="G9" s="27"/>
      <c r="H9" s="27"/>
      <c r="I9" s="24"/>
      <c r="J9" s="9"/>
      <c r="M9" s="34" t="s">
        <v>36</v>
      </c>
      <c r="N9" s="37">
        <f>SUMIF(A8:A17,"Pecho",E8:E17)</f>
        <v>0</v>
      </c>
      <c r="O9" s="37">
        <f>SUMIF(A8:A17,"Espalda",E8:E17)</f>
        <v>0</v>
      </c>
      <c r="P9" s="37">
        <f>SUMIF($A8:$A17,"Hombros",$E8:$E17)</f>
        <v>0</v>
      </c>
      <c r="Q9" s="37">
        <f>SUMIF($A8:$A17,"Bíceps",$E8:$E17)</f>
        <v>0</v>
      </c>
      <c r="R9" s="37">
        <f>SUMIF($A8:$A17,"Tríceps",$E8:$E17)</f>
        <v>0</v>
      </c>
      <c r="S9" s="38">
        <f>SUMIF(A8:A17,"Cuádriceps",E8:E17)</f>
        <v>22</v>
      </c>
      <c r="T9" s="37">
        <f>SUMIF($A8:$A17,"Isquios",$E8:$E17)</f>
        <v>0</v>
      </c>
      <c r="U9" s="37">
        <f>SUMIF($A8:$A17,"Glúteos",$E8:$E17)</f>
        <v>0</v>
      </c>
      <c r="V9" s="37">
        <f>SUMIF($A8:$A17,"Pantorrillas",$E8:$E17)</f>
        <v>0</v>
      </c>
      <c r="W9" s="37">
        <f>SUMIF($A8:$A17,"Otros",$E8:$E17)</f>
        <v>1</v>
      </c>
      <c r="Z9" s="28" t="s">
        <v>26</v>
      </c>
      <c r="AA9" s="1">
        <f>SUM(O9,O14,O19,O24,O29)</f>
        <v>10</v>
      </c>
    </row>
    <row r="10" ht="14.25" customHeight="1">
      <c r="A10" s="27"/>
      <c r="B10" s="30" t="s">
        <v>208</v>
      </c>
      <c r="C10" s="18"/>
      <c r="D10" s="20"/>
      <c r="E10" s="27">
        <v>3.0</v>
      </c>
      <c r="F10" s="27">
        <v>10.0</v>
      </c>
      <c r="G10" s="27"/>
      <c r="H10" s="27"/>
      <c r="I10" s="24"/>
      <c r="J10" s="9"/>
      <c r="M10" s="34" t="s">
        <v>7</v>
      </c>
      <c r="N10" s="35" t="str">
        <f>AVERAGEIF($A8:$A17,"Pecho",$G8:$G17)</f>
        <v>#DIV/0!</v>
      </c>
      <c r="O10" s="35" t="str">
        <f>AVERAGEIF($A8:$A17,"Espalda",$G8:$G17)</f>
        <v>#DIV/0!</v>
      </c>
      <c r="P10" s="35" t="str">
        <f>AVERAGEIF($A8:$A17,"Hombros",$G8:$G17)</f>
        <v>#DIV/0!</v>
      </c>
      <c r="Q10" s="35" t="str">
        <f>AVERAGEIF($A8:$A17,"Bíceps",$G8:$G17)</f>
        <v>#DIV/0!</v>
      </c>
      <c r="R10" s="35" t="str">
        <f>AVERAGEIF($A8:$A17,"Tríceps",$G8:$G17)</f>
        <v>#DIV/0!</v>
      </c>
      <c r="S10" s="35">
        <f>AVERAGEIF($A8:$A17,"Cuádriceps",$G8:$G17)</f>
        <v>8</v>
      </c>
      <c r="T10" s="35" t="str">
        <f>AVERAGEIF($A8:$A17,"Isquios",$G8:$G17)</f>
        <v>#DIV/0!</v>
      </c>
      <c r="U10" s="35" t="str">
        <f>AVERAGEIF($A8:$A17,"Glúteos",$G8:$G17)</f>
        <v>#DIV/0!</v>
      </c>
      <c r="V10" s="35" t="str">
        <f>AVERAGEIF($A8:$A17,"Pantorrillas",$G8:$G17)</f>
        <v>#DIV/0!</v>
      </c>
      <c r="W10" s="35" t="str">
        <f>AVERAGEIF($A8:$A17,"Otros",$G8:$G17)</f>
        <v>#DIV/0!</v>
      </c>
      <c r="Z10" s="28" t="s">
        <v>27</v>
      </c>
      <c r="AA10" s="1">
        <f>SUM(P9,P14,P19,P24,P29)</f>
        <v>7</v>
      </c>
    </row>
    <row r="11" ht="14.25" customHeight="1">
      <c r="A11" s="49" t="s">
        <v>30</v>
      </c>
      <c r="B11" s="50" t="s">
        <v>666</v>
      </c>
      <c r="C11" s="18"/>
      <c r="D11" s="20"/>
      <c r="E11" s="49">
        <v>4.0</v>
      </c>
      <c r="F11" s="49">
        <v>10.0</v>
      </c>
      <c r="G11" s="49">
        <v>8.0</v>
      </c>
      <c r="H11" s="49" t="s">
        <v>55</v>
      </c>
      <c r="I11" s="24"/>
      <c r="J11" s="9"/>
      <c r="M11" s="25"/>
      <c r="N11" s="25"/>
      <c r="O11" s="25"/>
      <c r="P11" s="25"/>
      <c r="Q11" s="25"/>
      <c r="R11" s="25"/>
      <c r="S11" s="25"/>
      <c r="T11" s="25"/>
      <c r="U11" s="25"/>
      <c r="Z11" s="28" t="s">
        <v>28</v>
      </c>
      <c r="AA11" s="1">
        <f>SUM(Q9,Q14,Q19,Q24,Q29)</f>
        <v>4</v>
      </c>
    </row>
    <row r="12" ht="14.25" customHeight="1">
      <c r="A12" s="27" t="s">
        <v>30</v>
      </c>
      <c r="B12" s="30" t="s">
        <v>752</v>
      </c>
      <c r="C12" s="18"/>
      <c r="D12" s="20"/>
      <c r="E12" s="27">
        <v>4.0</v>
      </c>
      <c r="F12" s="27">
        <v>10.0</v>
      </c>
      <c r="G12" s="27"/>
      <c r="H12" s="27"/>
      <c r="I12" s="24"/>
      <c r="J12" s="9"/>
      <c r="M12" s="11" t="s">
        <v>45</v>
      </c>
      <c r="N12" s="12"/>
      <c r="O12" s="12"/>
      <c r="P12" s="12"/>
      <c r="Q12" s="12"/>
      <c r="R12" s="12"/>
      <c r="S12" s="12"/>
      <c r="T12" s="12"/>
      <c r="U12" s="12"/>
      <c r="V12" s="12"/>
      <c r="W12" s="13"/>
      <c r="Z12" s="28" t="s">
        <v>29</v>
      </c>
      <c r="AA12" s="1">
        <f>SUM(R9,R14,R19,R24,R29)</f>
        <v>3</v>
      </c>
    </row>
    <row r="13" ht="14.25" customHeight="1">
      <c r="A13" s="27" t="s">
        <v>30</v>
      </c>
      <c r="B13" s="30" t="s">
        <v>753</v>
      </c>
      <c r="C13" s="18"/>
      <c r="D13" s="20"/>
      <c r="E13" s="27">
        <v>4.0</v>
      </c>
      <c r="F13" s="27">
        <v>10.0</v>
      </c>
      <c r="G13" s="27"/>
      <c r="H13" s="27"/>
      <c r="I13" s="24"/>
      <c r="J13" s="9"/>
      <c r="M13" s="25"/>
      <c r="N13" s="28" t="s">
        <v>16</v>
      </c>
      <c r="O13" s="28" t="s">
        <v>26</v>
      </c>
      <c r="P13" s="28" t="s">
        <v>27</v>
      </c>
      <c r="Q13" s="28" t="s">
        <v>28</v>
      </c>
      <c r="R13" s="28" t="s">
        <v>29</v>
      </c>
      <c r="S13" s="28" t="s">
        <v>30</v>
      </c>
      <c r="T13" s="28" t="s">
        <v>31</v>
      </c>
      <c r="U13" s="28" t="s">
        <v>32</v>
      </c>
      <c r="V13" s="28" t="s">
        <v>33</v>
      </c>
      <c r="W13" s="28" t="s">
        <v>12</v>
      </c>
      <c r="Z13" s="28" t="s">
        <v>30</v>
      </c>
      <c r="AA13" s="1">
        <f>SUM(S9,S14,S19,S24,S29)</f>
        <v>32</v>
      </c>
    </row>
    <row r="14" ht="14.25" customHeight="1">
      <c r="A14" s="49" t="s">
        <v>30</v>
      </c>
      <c r="B14" s="50" t="s">
        <v>754</v>
      </c>
      <c r="C14" s="18"/>
      <c r="D14" s="20"/>
      <c r="E14" s="49">
        <v>3.0</v>
      </c>
      <c r="F14" s="49" t="s">
        <v>499</v>
      </c>
      <c r="G14" s="49"/>
      <c r="H14" s="49"/>
      <c r="I14" s="24"/>
      <c r="J14" s="9"/>
      <c r="M14" s="34" t="s">
        <v>36</v>
      </c>
      <c r="N14" s="35">
        <f>SUMIF($A22:$A31,"Pecho",$E22:$E31)</f>
        <v>0</v>
      </c>
      <c r="O14" s="35">
        <f>SUMIF($A22:$A31,"Espalda",$E22:$E31)</f>
        <v>0</v>
      </c>
      <c r="P14" s="35">
        <f>SUMIF($A22:$A31,"Hombros",$E22:$E31)</f>
        <v>0</v>
      </c>
      <c r="Q14" s="35">
        <f>SUMIF($A22:$A31,"Bíceps",$E22:$E31)</f>
        <v>0</v>
      </c>
      <c r="R14" s="35">
        <f>SUMIF($A22:$A31,"Tríceps",$E22:$E31)</f>
        <v>3</v>
      </c>
      <c r="S14" s="35">
        <f>SUMIF($A22:$A31,"Cuádriceps",$E22:$E31)</f>
        <v>0</v>
      </c>
      <c r="T14" s="35">
        <f>SUMIF($A22:$A31,"Isquios",$E22:$E31)</f>
        <v>7</v>
      </c>
      <c r="U14" s="35">
        <f>SUMIF($A22:$A31,"Glúteos",$E22:$E31)</f>
        <v>11</v>
      </c>
      <c r="V14" s="35">
        <f>SUMIF($A22:$A31,"Pantorrillas",$E22:$E31)</f>
        <v>0</v>
      </c>
      <c r="W14" s="35">
        <f>SUMIF($A22:$A31,"Otros",$E22:$E31)</f>
        <v>1</v>
      </c>
      <c r="Z14" s="28" t="s">
        <v>31</v>
      </c>
      <c r="AA14" s="1">
        <f>SUM(T9,T14,T19,T24,T29)</f>
        <v>10</v>
      </c>
    </row>
    <row r="15" ht="14.25" customHeight="1">
      <c r="A15" s="27" t="s">
        <v>30</v>
      </c>
      <c r="B15" s="30" t="s">
        <v>290</v>
      </c>
      <c r="C15" s="18"/>
      <c r="D15" s="20"/>
      <c r="E15" s="27">
        <v>4.0</v>
      </c>
      <c r="F15" s="27">
        <v>10.0</v>
      </c>
      <c r="G15" s="27"/>
      <c r="H15" s="27"/>
      <c r="I15" s="24"/>
      <c r="J15" s="9"/>
      <c r="M15" s="34" t="s">
        <v>7</v>
      </c>
      <c r="N15" s="35" t="str">
        <f>AVERAGEIF($A22:$A31,"Pecho",$G22:$G31)</f>
        <v>#DIV/0!</v>
      </c>
      <c r="O15" s="35" t="str">
        <f>AVERAGEIF($A22:$A31,"Espalda",$G22:$G31)</f>
        <v>#DIV/0!</v>
      </c>
      <c r="P15" s="35" t="str">
        <f>AVERAGEIF($A22:$A31,"Hombros",$G22:$G31)</f>
        <v>#DIV/0!</v>
      </c>
      <c r="Q15" s="35" t="str">
        <f>AVERAGEIF($A22:$A31,"Bíceps",$G22:$G31)</f>
        <v>#DIV/0!</v>
      </c>
      <c r="R15" s="35" t="str">
        <f>AVERAGEIF($A22:$A31,"Tríceps",$G22:$G31)</f>
        <v>#DIV/0!</v>
      </c>
      <c r="S15" s="35" t="str">
        <f>AVERAGEIF($A22:$A31,"Cuádriceps",$G22:$G31)</f>
        <v>#DIV/0!</v>
      </c>
      <c r="T15" s="35">
        <f>AVERAGEIF($A22:$A31,"Isquios",$G22:$G31)</f>
        <v>8</v>
      </c>
      <c r="U15" s="35" t="str">
        <f>AVERAGEIF($A22:$A31,"Glúteos",$G22:$G31)</f>
        <v>#DIV/0!</v>
      </c>
      <c r="V15" s="35" t="str">
        <f>AVERAGEIF($A22:$A31,"Pantorrillas",$G22:$G31)</f>
        <v>#DIV/0!</v>
      </c>
      <c r="W15" s="35" t="str">
        <f>AVERAGEIF($A22:$A31,"Otros",$G22:$G31)</f>
        <v>#DIV/0!</v>
      </c>
      <c r="Z15" s="28" t="s">
        <v>32</v>
      </c>
      <c r="AA15" s="1">
        <f>SUM(U9,U14,U19,U24,U29)</f>
        <v>31</v>
      </c>
    </row>
    <row r="16" ht="14.25" customHeight="1">
      <c r="A16" s="27" t="s">
        <v>30</v>
      </c>
      <c r="B16" s="30" t="s">
        <v>542</v>
      </c>
      <c r="C16" s="18"/>
      <c r="D16" s="20"/>
      <c r="E16" s="27">
        <v>3.0</v>
      </c>
      <c r="F16" s="27">
        <v>12.0</v>
      </c>
      <c r="G16" s="27"/>
      <c r="H16" s="27"/>
      <c r="I16" s="24"/>
      <c r="J16" s="9"/>
      <c r="M16" s="25"/>
      <c r="N16" s="25"/>
      <c r="O16" s="25"/>
      <c r="P16" s="25"/>
      <c r="Q16" s="25"/>
      <c r="R16" s="25"/>
      <c r="S16" s="25"/>
      <c r="T16" s="25"/>
      <c r="U16" s="25"/>
      <c r="Z16" s="28" t="s">
        <v>33</v>
      </c>
      <c r="AA16" s="1">
        <f>SUM(V9,V14,V19,V24,V29)</f>
        <v>0</v>
      </c>
    </row>
    <row r="17" ht="14.25" customHeight="1">
      <c r="A17" s="49" t="s">
        <v>12</v>
      </c>
      <c r="B17" s="50" t="s">
        <v>757</v>
      </c>
      <c r="C17" s="18"/>
      <c r="D17" s="20"/>
      <c r="E17" s="49">
        <v>1.0</v>
      </c>
      <c r="F17" s="49" t="s">
        <v>758</v>
      </c>
      <c r="G17" s="49"/>
      <c r="H17" s="49"/>
      <c r="I17" s="24"/>
      <c r="J17" s="9"/>
      <c r="M17" s="11" t="s">
        <v>57</v>
      </c>
      <c r="N17" s="12"/>
      <c r="O17" s="12"/>
      <c r="P17" s="12"/>
      <c r="Q17" s="12"/>
      <c r="R17" s="12"/>
      <c r="S17" s="12"/>
      <c r="T17" s="12"/>
      <c r="U17" s="12"/>
      <c r="V17" s="12"/>
      <c r="W17" s="13"/>
      <c r="Z17" s="28" t="s">
        <v>12</v>
      </c>
      <c r="AA17" s="1">
        <f>SUM(W9,W14,W19,W24,W29)</f>
        <v>3</v>
      </c>
    </row>
    <row r="18" ht="14.25" customHeight="1">
      <c r="B18" s="26"/>
      <c r="C18" s="29"/>
      <c r="D18" s="29"/>
      <c r="M18" s="25"/>
      <c r="N18" s="28" t="s">
        <v>16</v>
      </c>
      <c r="O18" s="28" t="s">
        <v>26</v>
      </c>
      <c r="P18" s="28" t="s">
        <v>27</v>
      </c>
      <c r="Q18" s="28" t="s">
        <v>28</v>
      </c>
      <c r="R18" s="28" t="s">
        <v>29</v>
      </c>
      <c r="S18" s="28" t="s">
        <v>30</v>
      </c>
      <c r="T18" s="28" t="s">
        <v>31</v>
      </c>
      <c r="U18" s="28" t="s">
        <v>32</v>
      </c>
      <c r="V18" s="28" t="s">
        <v>33</v>
      </c>
      <c r="W18" s="28" t="s">
        <v>12</v>
      </c>
    </row>
    <row r="19" ht="14.25" customHeight="1">
      <c r="M19" s="34" t="s">
        <v>36</v>
      </c>
      <c r="N19" s="35">
        <f>SUMIF($A37:$A46,"Pecho",$E37:$E46)</f>
        <v>0</v>
      </c>
      <c r="O19" s="35">
        <f>SUMIF($A37:$A46,"Espalda",$E37:$E46)</f>
        <v>10</v>
      </c>
      <c r="P19" s="35">
        <f>SUMIF($A37:$A46,"Hombros",$E37:$E46)</f>
        <v>7</v>
      </c>
      <c r="Q19" s="35">
        <f>SUMIF($A37:$A46,"Bíceps",$E37:$E46)</f>
        <v>4</v>
      </c>
      <c r="R19" s="35">
        <f>SUMIF($A37:$A46,"Tríceps",$E37:$E46)</f>
        <v>0</v>
      </c>
      <c r="S19" s="35">
        <f>SUMIF($A37:$A46,"Cuádriceps",$E37:$E46)</f>
        <v>0</v>
      </c>
      <c r="T19" s="35">
        <f>SUMIF($A37:$A46,"Isquios",$E37:$E46)</f>
        <v>0</v>
      </c>
      <c r="U19" s="35">
        <f>SUMIF($A37:$A46,"Glúteos",$E37:$E46)</f>
        <v>0</v>
      </c>
      <c r="V19" s="35">
        <f>SUMIF($A37:$A46,"Pantorrillas",$E37:$E46)</f>
        <v>0</v>
      </c>
      <c r="W19" s="35">
        <f>SUMIF($A37:$A46,"Otros",$E37:$E46)</f>
        <v>1</v>
      </c>
    </row>
    <row r="20" ht="14.25" customHeight="1">
      <c r="A20" s="2" t="s">
        <v>45</v>
      </c>
      <c r="B20" s="3"/>
      <c r="C20" s="4"/>
      <c r="J20" s="1"/>
      <c r="M20" s="34" t="s">
        <v>7</v>
      </c>
      <c r="N20" s="35" t="str">
        <f>AVERAGEIF($A37:$A46,"Pecho",$G37:$G46)</f>
        <v>#DIV/0!</v>
      </c>
      <c r="O20" s="35">
        <f>AVERAGEIF($A37:$A46,"Espalda",$G37:$G46)</f>
        <v>8</v>
      </c>
      <c r="P20" s="35" t="str">
        <f>AVERAGEIF($A37:$A46,"Hombros",$G37:$G46)</f>
        <v>#DIV/0!</v>
      </c>
      <c r="Q20" s="35" t="str">
        <f>AVERAGEIF($A37:$A46,"Bíceps",$G37:$G46)</f>
        <v>#DIV/0!</v>
      </c>
      <c r="R20" s="35" t="str">
        <f>AVERAGEIF($A37:$A46,"Tríceps",$G37:$G46)</f>
        <v>#DIV/0!</v>
      </c>
      <c r="S20" s="35" t="str">
        <f>AVERAGEIF($A37:$A46,"Cuádriceps",$G37:$G46)</f>
        <v>#DIV/0!</v>
      </c>
      <c r="T20" s="35" t="str">
        <f>AVERAGEIF($A37:$A46,"Isquios",$G37:$G46)</f>
        <v>#DIV/0!</v>
      </c>
      <c r="U20" s="35" t="str">
        <f>AVERAGEIF($A37:$A46,"Glúteos",$G37:$G46)</f>
        <v>#DIV/0!</v>
      </c>
      <c r="V20" s="35" t="str">
        <f>AVERAGEIF($A37:$A46,"Pantorrillas",$G37:$G46)</f>
        <v>#DIV/0!</v>
      </c>
      <c r="W20" s="35" t="str">
        <f>AVERAGEIF($A37:$A46,"Otros",$G37:$G46)</f>
        <v>#DIV/0!</v>
      </c>
    </row>
    <row r="21" ht="14.25" customHeight="1">
      <c r="A21" s="6" t="s">
        <v>2</v>
      </c>
      <c r="B21" s="10" t="s">
        <v>4</v>
      </c>
      <c r="C21" s="8"/>
      <c r="D21" s="9"/>
      <c r="E21" s="6" t="s">
        <v>5</v>
      </c>
      <c r="F21" s="6" t="s">
        <v>6</v>
      </c>
      <c r="G21" s="6" t="s">
        <v>7</v>
      </c>
      <c r="H21" s="6" t="s">
        <v>8</v>
      </c>
      <c r="I21" s="10" t="s">
        <v>9</v>
      </c>
      <c r="J21" s="9"/>
      <c r="M21" s="25"/>
      <c r="N21" s="25"/>
      <c r="O21" s="25"/>
      <c r="P21" s="25"/>
      <c r="Q21" s="25"/>
      <c r="R21" s="25"/>
      <c r="S21" s="25"/>
      <c r="T21" s="25"/>
      <c r="U21" s="25"/>
    </row>
    <row r="22" ht="14.25" customHeight="1">
      <c r="A22" s="27"/>
      <c r="B22" s="30" t="s">
        <v>642</v>
      </c>
      <c r="C22" s="18"/>
      <c r="D22" s="20"/>
      <c r="E22" s="27">
        <v>1.0</v>
      </c>
      <c r="F22" s="27" t="s">
        <v>763</v>
      </c>
      <c r="G22" s="27"/>
      <c r="H22" s="27"/>
      <c r="I22" s="24"/>
      <c r="J22" s="9"/>
      <c r="M22" s="11" t="s">
        <v>66</v>
      </c>
      <c r="N22" s="12"/>
      <c r="O22" s="12"/>
      <c r="P22" s="12"/>
      <c r="Q22" s="12"/>
      <c r="R22" s="12"/>
      <c r="S22" s="12"/>
      <c r="T22" s="12"/>
      <c r="U22" s="12"/>
      <c r="V22" s="12"/>
      <c r="W22" s="13"/>
    </row>
    <row r="23" ht="14.25" customHeight="1">
      <c r="A23" s="27"/>
      <c r="B23" s="30" t="s">
        <v>764</v>
      </c>
      <c r="C23" s="18"/>
      <c r="D23" s="20"/>
      <c r="E23" s="27">
        <v>3.0</v>
      </c>
      <c r="F23" s="27" t="s">
        <v>289</v>
      </c>
      <c r="G23" s="27"/>
      <c r="H23" s="27"/>
      <c r="I23" s="24"/>
      <c r="J23" s="9"/>
      <c r="M23" s="25"/>
      <c r="N23" s="28" t="s">
        <v>16</v>
      </c>
      <c r="O23" s="28" t="s">
        <v>26</v>
      </c>
      <c r="P23" s="28" t="s">
        <v>27</v>
      </c>
      <c r="Q23" s="28" t="s">
        <v>28</v>
      </c>
      <c r="R23" s="28" t="s">
        <v>29</v>
      </c>
      <c r="S23" s="28" t="s">
        <v>30</v>
      </c>
      <c r="T23" s="28" t="s">
        <v>31</v>
      </c>
      <c r="U23" s="28" t="s">
        <v>32</v>
      </c>
      <c r="V23" s="28" t="s">
        <v>33</v>
      </c>
      <c r="W23" s="28" t="s">
        <v>12</v>
      </c>
    </row>
    <row r="24" ht="14.25" customHeight="1">
      <c r="A24" s="27"/>
      <c r="B24" s="30" t="s">
        <v>766</v>
      </c>
      <c r="C24" s="18"/>
      <c r="D24" s="20"/>
      <c r="E24" s="27">
        <v>3.0</v>
      </c>
      <c r="F24" s="27">
        <v>10.0</v>
      </c>
      <c r="G24" s="27"/>
      <c r="H24" s="27"/>
      <c r="I24" s="24"/>
      <c r="J24" s="9"/>
      <c r="M24" s="34" t="s">
        <v>36</v>
      </c>
      <c r="N24" s="35">
        <f>SUMIF($A51:$A60,"Pecho",$E51:$E60)</f>
        <v>3</v>
      </c>
      <c r="O24" s="35">
        <f>SUMIF($A51:$A60,"Espalda",$E51:$E60)</f>
        <v>0</v>
      </c>
      <c r="P24" s="35">
        <f>SUMIF($A51:$A60,"Hombros",$E51:$E60)</f>
        <v>0</v>
      </c>
      <c r="Q24" s="35">
        <f>SUMIF($A51:$A60,"Bíceps",$E51:$E60)</f>
        <v>0</v>
      </c>
      <c r="R24" s="35">
        <f>SUMIF($A51:$A60,"Tríceps",$E51:$E60)</f>
        <v>0</v>
      </c>
      <c r="S24" s="35">
        <f>SUMIF($A51:$A60,"Cuádriceps",$E51:$E60)</f>
        <v>10</v>
      </c>
      <c r="T24" s="35">
        <f>SUMIF($A51:$A60,"Isquios",$E51:$E60)</f>
        <v>0</v>
      </c>
      <c r="U24" s="35">
        <f>SUMIF($A51:$A60,"Glúteos",$E51:$E60)</f>
        <v>3</v>
      </c>
      <c r="V24" s="35">
        <f>SUMIF($A51:$A60,"Pantorrillas",$E51:$E60)</f>
        <v>0</v>
      </c>
      <c r="W24" s="35">
        <f>SUMIF($A51:$A60,"Otros",$E51:$E60)</f>
        <v>0</v>
      </c>
    </row>
    <row r="25" ht="14.25" customHeight="1">
      <c r="A25" s="99" t="s">
        <v>31</v>
      </c>
      <c r="B25" s="100" t="s">
        <v>659</v>
      </c>
      <c r="C25" s="18"/>
      <c r="D25" s="20"/>
      <c r="E25" s="99">
        <v>4.0</v>
      </c>
      <c r="F25" s="99">
        <v>10.0</v>
      </c>
      <c r="G25" s="99">
        <v>8.0</v>
      </c>
      <c r="H25" s="99" t="s">
        <v>55</v>
      </c>
      <c r="I25" s="24"/>
      <c r="J25" s="9"/>
      <c r="M25" s="34" t="s">
        <v>7</v>
      </c>
      <c r="N25" s="35" t="str">
        <f>AVERAGEIF($A51:$A60,"Pecho",$G51:$G60)</f>
        <v>#DIV/0!</v>
      </c>
      <c r="O25" s="35" t="str">
        <f>AVERAGEIF($A51:$A60,"Espalda",$G51:$G60)</f>
        <v>#DIV/0!</v>
      </c>
      <c r="P25" s="35" t="str">
        <f>AVERAGEIF($A51:$A60,"Hombros",$G51:$G60)</f>
        <v>#DIV/0!</v>
      </c>
      <c r="Q25" s="35" t="str">
        <f>AVERAGEIF($A51:$A60,"Bíceps",$G51:$G60)</f>
        <v>#DIV/0!</v>
      </c>
      <c r="R25" s="35" t="str">
        <f>AVERAGEIF($A51:$A60,"Tríceps",$G51:$G60)</f>
        <v>#DIV/0!</v>
      </c>
      <c r="S25" s="35" t="str">
        <f>AVERAGEIF($A51:$A60,"Cuádriceps",$G51:$G60)</f>
        <v>#DIV/0!</v>
      </c>
      <c r="T25" s="35" t="str">
        <f>AVERAGEIF($A51:$A60,"Isquios",$G51:$G60)</f>
        <v>#DIV/0!</v>
      </c>
      <c r="U25" s="35" t="str">
        <f>AVERAGEIF($A51:$A60,"Glúteos",$G51:$G60)</f>
        <v>#DIV/0!</v>
      </c>
      <c r="V25" s="35" t="str">
        <f>AVERAGEIF($A51:$A60,"Pantorrillas",$G51:$G60)</f>
        <v>#DIV/0!</v>
      </c>
      <c r="W25" s="35" t="str">
        <f>AVERAGEIF($A51:$A60,"Otros",$G51:$G60)</f>
        <v>#DIV/0!</v>
      </c>
    </row>
    <row r="26" ht="14.25" customHeight="1">
      <c r="A26" s="99" t="s">
        <v>32</v>
      </c>
      <c r="B26" s="100" t="s">
        <v>77</v>
      </c>
      <c r="C26" s="18"/>
      <c r="D26" s="20"/>
      <c r="E26" s="99">
        <v>3.0</v>
      </c>
      <c r="F26" s="99" t="s">
        <v>522</v>
      </c>
      <c r="G26" s="99"/>
      <c r="H26" s="99"/>
      <c r="I26" s="24"/>
      <c r="J26" s="9"/>
      <c r="M26" s="25"/>
      <c r="N26" s="25"/>
      <c r="O26" s="25"/>
      <c r="P26" s="25"/>
      <c r="Q26" s="25"/>
      <c r="R26" s="25"/>
      <c r="S26" s="25"/>
      <c r="T26" s="25"/>
      <c r="U26" s="25"/>
    </row>
    <row r="27" ht="14.25" customHeight="1">
      <c r="A27" s="27" t="s">
        <v>32</v>
      </c>
      <c r="B27" s="30" t="s">
        <v>687</v>
      </c>
      <c r="C27" s="18"/>
      <c r="D27" s="20"/>
      <c r="E27" s="27">
        <v>4.0</v>
      </c>
      <c r="F27" s="27">
        <v>10.0</v>
      </c>
      <c r="G27" s="27"/>
      <c r="H27" s="27"/>
      <c r="I27" s="24"/>
      <c r="J27" s="9"/>
      <c r="M27" s="11" t="s">
        <v>76</v>
      </c>
      <c r="N27" s="12"/>
      <c r="O27" s="12"/>
      <c r="P27" s="12"/>
      <c r="Q27" s="12"/>
      <c r="R27" s="12"/>
      <c r="S27" s="12"/>
      <c r="T27" s="12"/>
      <c r="U27" s="12"/>
      <c r="V27" s="12"/>
      <c r="W27" s="13"/>
    </row>
    <row r="28" ht="14.25" customHeight="1">
      <c r="A28" s="27" t="s">
        <v>31</v>
      </c>
      <c r="B28" s="30" t="s">
        <v>242</v>
      </c>
      <c r="C28" s="18"/>
      <c r="D28" s="20"/>
      <c r="E28" s="27">
        <v>3.0</v>
      </c>
      <c r="F28" s="27">
        <v>10.0</v>
      </c>
      <c r="G28" s="27"/>
      <c r="H28" s="27"/>
      <c r="I28" s="24"/>
      <c r="J28" s="9"/>
      <c r="M28" s="25"/>
      <c r="N28" s="28" t="s">
        <v>16</v>
      </c>
      <c r="O28" s="28" t="s">
        <v>26</v>
      </c>
      <c r="P28" s="28" t="s">
        <v>27</v>
      </c>
      <c r="Q28" s="28" t="s">
        <v>28</v>
      </c>
      <c r="R28" s="28" t="s">
        <v>29</v>
      </c>
      <c r="S28" s="28" t="s">
        <v>30</v>
      </c>
      <c r="T28" s="28" t="s">
        <v>31</v>
      </c>
      <c r="U28" s="28" t="s">
        <v>32</v>
      </c>
      <c r="V28" s="28" t="s">
        <v>33</v>
      </c>
      <c r="W28" s="28" t="s">
        <v>12</v>
      </c>
    </row>
    <row r="29" ht="14.25" customHeight="1">
      <c r="A29" s="49" t="s">
        <v>29</v>
      </c>
      <c r="B29" s="50" t="s">
        <v>770</v>
      </c>
      <c r="C29" s="18"/>
      <c r="D29" s="20"/>
      <c r="E29" s="49">
        <v>3.0</v>
      </c>
      <c r="F29" s="49">
        <v>10.0</v>
      </c>
      <c r="G29" s="49"/>
      <c r="H29" s="49"/>
      <c r="I29" s="24"/>
      <c r="J29" s="9"/>
      <c r="M29" s="34" t="s">
        <v>36</v>
      </c>
      <c r="N29" s="35">
        <f>SUMIF($A65:$A74,"Pecho",$E65:$E74)</f>
        <v>3</v>
      </c>
      <c r="O29" s="35">
        <f>SUMIF($A65:$A74,"Espalda",$E65:$E74)</f>
        <v>0</v>
      </c>
      <c r="P29" s="35">
        <f>SUMIF($A65:$A74,"Hombros",$E65:$E74)</f>
        <v>0</v>
      </c>
      <c r="Q29" s="35">
        <f>SUMIF($A65:$A74,"Bíceps",$E65:$E74)</f>
        <v>0</v>
      </c>
      <c r="R29" s="35">
        <f>SUMIF($A65:$A74,"Tríceps",$E65:$E74)</f>
        <v>0</v>
      </c>
      <c r="S29" s="35">
        <f>SUMIF($A65:$A74,"Cuádriceps",$E65:$E74)</f>
        <v>0</v>
      </c>
      <c r="T29" s="35">
        <f>SUMIF($A65:$A74,"Isquios",$E65:$E74)</f>
        <v>3</v>
      </c>
      <c r="U29" s="35">
        <f>SUMIF($A65:$A74,"Glúteos",$E65:$E74)</f>
        <v>17</v>
      </c>
      <c r="V29" s="35">
        <f>SUMIF($A65:$A74,"Pantorrillas",$E65:$E74)</f>
        <v>0</v>
      </c>
      <c r="W29" s="35">
        <f>SUMIF($A65:$A74,"Otros",$E65:$E74)</f>
        <v>0</v>
      </c>
    </row>
    <row r="30" ht="14.25" customHeight="1">
      <c r="A30" s="49" t="s">
        <v>32</v>
      </c>
      <c r="B30" s="50" t="s">
        <v>772</v>
      </c>
      <c r="C30" s="18"/>
      <c r="D30" s="20"/>
      <c r="E30" s="49">
        <v>4.0</v>
      </c>
      <c r="F30" s="49">
        <v>10.0</v>
      </c>
      <c r="G30" s="49"/>
      <c r="H30" s="49"/>
      <c r="I30" s="24"/>
      <c r="J30" s="9"/>
      <c r="M30" s="34" t="s">
        <v>7</v>
      </c>
      <c r="N30" s="35" t="str">
        <f>AVERAGEIF($A65:$A74,"Pecho",$G65:$G74)</f>
        <v>#DIV/0!</v>
      </c>
      <c r="O30" s="35" t="str">
        <f>AVERAGEIF($A65:$A74,"Espalda",$G65:$G74)</f>
        <v>#DIV/0!</v>
      </c>
      <c r="P30" s="35" t="str">
        <f>AVERAGEIF($A65:$A74,"Hombros",$G65:$G74)</f>
        <v>#DIV/0!</v>
      </c>
      <c r="Q30" s="35" t="str">
        <f>AVERAGEIF($A65:$A74,"Bíceps",$G65:$G74)</f>
        <v>#DIV/0!</v>
      </c>
      <c r="R30" s="35" t="str">
        <f>AVERAGEIF($A65:$A74,"Tríceps",$G65:$G74)</f>
        <v>#DIV/0!</v>
      </c>
      <c r="S30" s="35" t="str">
        <f>AVERAGEIF($A65:$A74,"Cuádriceps",$G65:$G74)</f>
        <v>#DIV/0!</v>
      </c>
      <c r="T30" s="35" t="str">
        <f>AVERAGEIF($A65:$A74,"Isquios",$G65:$G74)</f>
        <v>#DIV/0!</v>
      </c>
      <c r="U30" s="35" t="str">
        <f>AVERAGEIF($A65:$A74,"Glúteos",$G65:$G74)</f>
        <v>#DIV/0!</v>
      </c>
      <c r="V30" s="35" t="str">
        <f>AVERAGEIF($A65:$A74,"Pantorrillas",$G65:$G74)</f>
        <v>#DIV/0!</v>
      </c>
      <c r="W30" s="35" t="str">
        <f>AVERAGEIF($A65:$A74,"Otros",$G65:$G74)</f>
        <v>#DIV/0!</v>
      </c>
    </row>
    <row r="31" ht="14.25" customHeight="1">
      <c r="A31" s="16" t="s">
        <v>12</v>
      </c>
      <c r="B31" s="118" t="s">
        <v>774</v>
      </c>
      <c r="C31" s="8"/>
      <c r="D31" s="9"/>
      <c r="E31" s="115">
        <v>1.0</v>
      </c>
      <c r="F31" s="68" t="s">
        <v>763</v>
      </c>
      <c r="G31" s="68"/>
      <c r="H31" s="68"/>
      <c r="I31" s="24"/>
      <c r="J31" s="9"/>
    </row>
    <row r="32" ht="14.25" customHeight="1">
      <c r="A32" s="1" t="s">
        <v>29</v>
      </c>
      <c r="B32" s="120"/>
      <c r="C32" s="119"/>
      <c r="D32" s="123"/>
      <c r="E32" s="115"/>
      <c r="F32" s="121"/>
      <c r="G32" s="121"/>
      <c r="H32" s="121"/>
      <c r="I32" s="25"/>
      <c r="J32" s="1"/>
    </row>
    <row r="33" ht="14.25" customHeight="1">
      <c r="B33" s="26"/>
      <c r="C33" s="29"/>
      <c r="D33" s="29"/>
    </row>
    <row r="34" ht="14.25" customHeight="1"/>
    <row r="35" ht="14.25" customHeight="1">
      <c r="A35" s="2" t="s">
        <v>57</v>
      </c>
      <c r="B35" s="3"/>
      <c r="C35" s="4"/>
      <c r="J35" s="1"/>
    </row>
    <row r="36" ht="14.25" customHeight="1">
      <c r="A36" s="6" t="s">
        <v>2</v>
      </c>
      <c r="B36" s="10" t="s">
        <v>4</v>
      </c>
      <c r="C36" s="8"/>
      <c r="D36" s="9"/>
      <c r="E36" s="6" t="s">
        <v>5</v>
      </c>
      <c r="F36" s="6" t="s">
        <v>6</v>
      </c>
      <c r="G36" s="6" t="s">
        <v>7</v>
      </c>
      <c r="H36" s="6" t="s">
        <v>8</v>
      </c>
      <c r="I36" s="10" t="s">
        <v>9</v>
      </c>
      <c r="J36" s="9"/>
    </row>
    <row r="37" ht="14.25" customHeight="1">
      <c r="A37" s="99"/>
      <c r="B37" s="100" t="s">
        <v>775</v>
      </c>
      <c r="C37" s="18"/>
      <c r="D37" s="20"/>
      <c r="E37" s="99">
        <v>2.0</v>
      </c>
      <c r="F37" s="99">
        <v>10.0</v>
      </c>
      <c r="G37" s="99"/>
      <c r="H37" s="99"/>
      <c r="I37" s="101"/>
      <c r="J37" s="9"/>
    </row>
    <row r="38" ht="14.25" customHeight="1">
      <c r="A38" s="99"/>
      <c r="B38" s="100" t="s">
        <v>776</v>
      </c>
      <c r="C38" s="18"/>
      <c r="D38" s="20"/>
      <c r="E38" s="99">
        <v>3.0</v>
      </c>
      <c r="F38" s="99">
        <v>12.0</v>
      </c>
      <c r="G38" s="99"/>
      <c r="H38" s="99"/>
      <c r="I38" s="101"/>
      <c r="J38" s="9"/>
    </row>
    <row r="39" ht="14.25" customHeight="1">
      <c r="A39" s="99"/>
      <c r="B39" s="100" t="s">
        <v>705</v>
      </c>
      <c r="C39" s="18"/>
      <c r="D39" s="20"/>
      <c r="E39" s="99">
        <v>3.0</v>
      </c>
      <c r="F39" s="99">
        <v>12.0</v>
      </c>
      <c r="G39" s="99"/>
      <c r="H39" s="99"/>
      <c r="I39" s="101"/>
      <c r="J39" s="9"/>
    </row>
    <row r="40" ht="14.25" customHeight="1">
      <c r="A40" s="27" t="s">
        <v>26</v>
      </c>
      <c r="B40" s="30" t="s">
        <v>192</v>
      </c>
      <c r="C40" s="18"/>
      <c r="D40" s="20"/>
      <c r="E40" s="27">
        <v>4.0</v>
      </c>
      <c r="F40" s="27">
        <v>10.0</v>
      </c>
      <c r="G40" s="27">
        <v>8.0</v>
      </c>
      <c r="H40" s="27" t="s">
        <v>55</v>
      </c>
      <c r="I40" s="33"/>
      <c r="J40" s="9"/>
    </row>
    <row r="41" ht="14.25" customHeight="1">
      <c r="A41" s="27" t="s">
        <v>26</v>
      </c>
      <c r="B41" s="30" t="s">
        <v>415</v>
      </c>
      <c r="C41" s="18"/>
      <c r="D41" s="20"/>
      <c r="E41" s="27">
        <v>3.0</v>
      </c>
      <c r="F41" s="27">
        <v>10.0</v>
      </c>
      <c r="G41" s="27"/>
      <c r="H41" s="27"/>
      <c r="I41" s="33"/>
      <c r="J41" s="9"/>
    </row>
    <row r="42" ht="14.25" customHeight="1">
      <c r="A42" s="99" t="s">
        <v>28</v>
      </c>
      <c r="B42" s="100" t="s">
        <v>559</v>
      </c>
      <c r="C42" s="18"/>
      <c r="D42" s="20"/>
      <c r="E42" s="99">
        <v>4.0</v>
      </c>
      <c r="F42" s="99">
        <v>12.0</v>
      </c>
      <c r="G42" s="99"/>
      <c r="H42" s="99"/>
      <c r="I42" s="101"/>
      <c r="J42" s="9"/>
    </row>
    <row r="43" ht="14.25" customHeight="1">
      <c r="A43" s="99" t="s">
        <v>27</v>
      </c>
      <c r="B43" s="100" t="s">
        <v>164</v>
      </c>
      <c r="C43" s="18"/>
      <c r="D43" s="20"/>
      <c r="E43" s="99">
        <v>4.0</v>
      </c>
      <c r="F43" s="99">
        <v>10.0</v>
      </c>
      <c r="G43" s="99"/>
      <c r="H43" s="99"/>
      <c r="I43" s="101"/>
      <c r="J43" s="9"/>
    </row>
    <row r="44" ht="14.25" customHeight="1">
      <c r="A44" s="27" t="s">
        <v>27</v>
      </c>
      <c r="B44" s="30" t="s">
        <v>713</v>
      </c>
      <c r="C44" s="18"/>
      <c r="D44" s="20"/>
      <c r="E44" s="27">
        <v>3.0</v>
      </c>
      <c r="F44" s="27">
        <v>12.0</v>
      </c>
      <c r="G44" s="27"/>
      <c r="H44" s="27"/>
      <c r="I44" s="33"/>
      <c r="J44" s="9"/>
    </row>
    <row r="45" ht="14.25" customHeight="1">
      <c r="A45" s="27" t="s">
        <v>26</v>
      </c>
      <c r="B45" s="30" t="s">
        <v>778</v>
      </c>
      <c r="C45" s="18"/>
      <c r="D45" s="20"/>
      <c r="E45" s="27">
        <v>3.0</v>
      </c>
      <c r="F45" s="27">
        <v>10.0</v>
      </c>
      <c r="G45" s="27"/>
      <c r="H45" s="27"/>
      <c r="I45" s="33"/>
      <c r="J45" s="9"/>
    </row>
    <row r="46" ht="14.25" customHeight="1">
      <c r="A46" s="27" t="s">
        <v>12</v>
      </c>
      <c r="B46" s="60" t="s">
        <v>779</v>
      </c>
      <c r="C46" s="8"/>
      <c r="D46" s="9"/>
      <c r="E46" s="27">
        <v>1.0</v>
      </c>
      <c r="F46" s="27" t="s">
        <v>780</v>
      </c>
      <c r="G46" s="27"/>
      <c r="H46" s="27"/>
      <c r="I46" s="33"/>
      <c r="J46" s="9"/>
    </row>
    <row r="47" ht="14.25" customHeight="1">
      <c r="B47" s="26"/>
      <c r="C47" s="29"/>
      <c r="D47" s="29"/>
    </row>
    <row r="48" ht="14.25" customHeight="1"/>
    <row r="49" ht="14.25" customHeight="1">
      <c r="A49" s="2" t="s">
        <v>66</v>
      </c>
      <c r="B49" s="3"/>
      <c r="C49" s="4"/>
      <c r="J49" s="1"/>
    </row>
    <row r="50" ht="14.25" customHeight="1">
      <c r="A50" s="6" t="s">
        <v>2</v>
      </c>
      <c r="B50" s="10" t="s">
        <v>4</v>
      </c>
      <c r="C50" s="8"/>
      <c r="D50" s="9"/>
      <c r="E50" s="6" t="s">
        <v>5</v>
      </c>
      <c r="F50" s="6" t="s">
        <v>6</v>
      </c>
      <c r="G50" s="6" t="s">
        <v>7</v>
      </c>
      <c r="H50" s="6" t="s">
        <v>8</v>
      </c>
      <c r="I50" s="10" t="s">
        <v>9</v>
      </c>
      <c r="J50" s="9"/>
    </row>
    <row r="51" ht="14.25" customHeight="1">
      <c r="A51" s="99"/>
      <c r="B51" s="100" t="s">
        <v>642</v>
      </c>
      <c r="C51" s="18"/>
      <c r="D51" s="20"/>
      <c r="E51" s="99"/>
      <c r="F51" s="99"/>
      <c r="G51" s="99"/>
      <c r="H51" s="99"/>
      <c r="I51" s="24"/>
      <c r="J51" s="9"/>
    </row>
    <row r="52" ht="14.25" customHeight="1">
      <c r="A52" s="99"/>
      <c r="B52" s="100" t="s">
        <v>784</v>
      </c>
      <c r="C52" s="18"/>
      <c r="D52" s="20"/>
      <c r="E52" s="99"/>
      <c r="F52" s="99"/>
      <c r="G52" s="99"/>
      <c r="H52" s="99"/>
      <c r="I52" s="24"/>
      <c r="J52" s="9"/>
    </row>
    <row r="53" ht="14.25" customHeight="1">
      <c r="A53" s="99" t="s">
        <v>12</v>
      </c>
      <c r="B53" s="100" t="s">
        <v>208</v>
      </c>
      <c r="C53" s="18"/>
      <c r="D53" s="20"/>
      <c r="E53" s="99"/>
      <c r="F53" s="99">
        <v>10.0</v>
      </c>
      <c r="G53" s="99"/>
      <c r="H53" s="99"/>
      <c r="I53" s="24"/>
      <c r="J53" s="9"/>
    </row>
    <row r="54" ht="14.25" customHeight="1">
      <c r="A54" s="16" t="s">
        <v>30</v>
      </c>
      <c r="B54" s="30" t="s">
        <v>786</v>
      </c>
      <c r="C54" s="18"/>
      <c r="D54" s="20"/>
      <c r="E54" s="27">
        <v>3.0</v>
      </c>
      <c r="F54" s="27">
        <v>10.0</v>
      </c>
      <c r="G54" s="27"/>
      <c r="H54" s="27"/>
      <c r="I54" s="24"/>
      <c r="J54" s="9"/>
    </row>
    <row r="55" ht="14.25" customHeight="1">
      <c r="A55" s="16" t="s">
        <v>32</v>
      </c>
      <c r="B55" s="30" t="s">
        <v>658</v>
      </c>
      <c r="C55" s="18"/>
      <c r="D55" s="20"/>
      <c r="E55" s="27">
        <v>3.0</v>
      </c>
      <c r="F55" s="27" t="s">
        <v>71</v>
      </c>
      <c r="G55" s="27"/>
      <c r="H55" s="27"/>
      <c r="I55" s="24"/>
      <c r="J55" s="9"/>
    </row>
    <row r="56" ht="14.25" customHeight="1">
      <c r="A56" s="16" t="s">
        <v>29</v>
      </c>
      <c r="B56" s="30" t="s">
        <v>787</v>
      </c>
      <c r="C56" s="18"/>
      <c r="D56" s="20"/>
      <c r="E56" s="27"/>
      <c r="F56" s="27">
        <v>10.0</v>
      </c>
      <c r="G56" s="27"/>
      <c r="H56" s="27"/>
      <c r="I56" s="24"/>
      <c r="J56" s="9"/>
    </row>
    <row r="57" ht="14.25" customHeight="1">
      <c r="A57" s="16" t="s">
        <v>30</v>
      </c>
      <c r="B57" s="30" t="s">
        <v>338</v>
      </c>
      <c r="C57" s="18"/>
      <c r="D57" s="20"/>
      <c r="E57" s="27">
        <v>3.0</v>
      </c>
      <c r="F57" s="27" t="s">
        <v>71</v>
      </c>
      <c r="G57" s="27"/>
      <c r="H57" s="27"/>
      <c r="I57" s="24"/>
      <c r="J57" s="9"/>
    </row>
    <row r="58" ht="14.25" customHeight="1">
      <c r="A58" s="16" t="s">
        <v>16</v>
      </c>
      <c r="B58" s="30" t="s">
        <v>789</v>
      </c>
      <c r="C58" s="18"/>
      <c r="D58" s="20"/>
      <c r="E58" s="27">
        <v>3.0</v>
      </c>
      <c r="F58" s="27">
        <v>10.0</v>
      </c>
      <c r="G58" s="27"/>
      <c r="H58" s="27"/>
      <c r="I58" s="24"/>
      <c r="J58" s="9"/>
    </row>
    <row r="59" ht="14.25" customHeight="1">
      <c r="A59" s="16" t="s">
        <v>30</v>
      </c>
      <c r="B59" s="30" t="s">
        <v>791</v>
      </c>
      <c r="C59" s="18"/>
      <c r="D59" s="20"/>
      <c r="E59" s="27">
        <v>4.0</v>
      </c>
      <c r="F59" s="27">
        <v>10.0</v>
      </c>
      <c r="G59" s="27"/>
      <c r="H59" s="27"/>
      <c r="I59" s="24"/>
      <c r="J59" s="9"/>
    </row>
    <row r="60" ht="14.25" customHeight="1">
      <c r="A60" s="16"/>
      <c r="B60" s="60" t="s">
        <v>757</v>
      </c>
      <c r="C60" s="8"/>
      <c r="D60" s="9"/>
      <c r="E60" s="27">
        <v>1.0</v>
      </c>
      <c r="F60" s="27" t="s">
        <v>403</v>
      </c>
      <c r="G60" s="27"/>
      <c r="H60" s="27"/>
      <c r="I60" s="24"/>
      <c r="J60" s="9"/>
    </row>
    <row r="61" ht="14.25" customHeight="1">
      <c r="B61" s="26"/>
      <c r="C61" s="29"/>
      <c r="D61" s="29"/>
    </row>
    <row r="62" ht="14.25" customHeight="1"/>
    <row r="63" ht="14.25" customHeight="1">
      <c r="A63" s="2" t="s">
        <v>76</v>
      </c>
      <c r="B63" s="3"/>
      <c r="C63" s="4"/>
      <c r="J63" s="1"/>
    </row>
    <row r="64" ht="14.25" customHeight="1">
      <c r="A64" s="6" t="s">
        <v>2</v>
      </c>
      <c r="B64" s="10" t="s">
        <v>4</v>
      </c>
      <c r="C64" s="8"/>
      <c r="D64" s="9"/>
      <c r="E64" s="6" t="s">
        <v>5</v>
      </c>
      <c r="F64" s="6" t="s">
        <v>6</v>
      </c>
      <c r="G64" s="6" t="s">
        <v>7</v>
      </c>
      <c r="H64" s="6" t="s">
        <v>8</v>
      </c>
      <c r="I64" s="10" t="s">
        <v>9</v>
      </c>
      <c r="J64" s="9"/>
    </row>
    <row r="65" ht="14.25" customHeight="1">
      <c r="A65" s="99"/>
      <c r="B65" s="100" t="s">
        <v>796</v>
      </c>
      <c r="C65" s="18"/>
      <c r="D65" s="20"/>
      <c r="E65" s="99">
        <v>3.0</v>
      </c>
      <c r="F65" s="99">
        <v>10.0</v>
      </c>
      <c r="G65" s="99"/>
      <c r="H65" s="99"/>
      <c r="I65" s="101"/>
      <c r="J65" s="9"/>
    </row>
    <row r="66" ht="14.25" customHeight="1">
      <c r="A66" s="99"/>
      <c r="B66" s="100" t="s">
        <v>799</v>
      </c>
      <c r="C66" s="18"/>
      <c r="D66" s="20"/>
      <c r="E66" s="99">
        <v>3.0</v>
      </c>
      <c r="F66" s="99">
        <v>10.0</v>
      </c>
      <c r="G66" s="99"/>
      <c r="H66" s="99"/>
      <c r="I66" s="101"/>
      <c r="J66" s="9"/>
    </row>
    <row r="67" ht="14.25" customHeight="1">
      <c r="A67" s="99" t="s">
        <v>32</v>
      </c>
      <c r="B67" s="100" t="s">
        <v>801</v>
      </c>
      <c r="C67" s="18"/>
      <c r="D67" s="20"/>
      <c r="E67" s="99">
        <v>3.0</v>
      </c>
      <c r="F67" s="99" t="s">
        <v>178</v>
      </c>
      <c r="G67" s="99"/>
      <c r="H67" s="99"/>
      <c r="I67" s="101"/>
      <c r="J67" s="9"/>
    </row>
    <row r="68" ht="14.25" customHeight="1">
      <c r="A68" s="27" t="s">
        <v>31</v>
      </c>
      <c r="B68" s="30" t="s">
        <v>802</v>
      </c>
      <c r="C68" s="18"/>
      <c r="D68" s="20"/>
      <c r="E68" s="27">
        <v>3.0</v>
      </c>
      <c r="F68" s="27">
        <v>12.0</v>
      </c>
      <c r="G68" s="27"/>
      <c r="H68" s="27"/>
      <c r="I68" s="33"/>
      <c r="J68" s="9"/>
    </row>
    <row r="69" ht="14.25" customHeight="1">
      <c r="A69" s="27" t="s">
        <v>32</v>
      </c>
      <c r="B69" s="30" t="s">
        <v>277</v>
      </c>
      <c r="C69" s="18"/>
      <c r="D69" s="20"/>
      <c r="E69" s="27">
        <v>4.0</v>
      </c>
      <c r="F69" s="27">
        <v>10.0</v>
      </c>
      <c r="G69" s="27"/>
      <c r="H69" s="27"/>
      <c r="I69" s="33"/>
      <c r="J69" s="9"/>
    </row>
    <row r="70" ht="14.25" customHeight="1">
      <c r="A70" s="99" t="s">
        <v>32</v>
      </c>
      <c r="B70" s="100" t="s">
        <v>803</v>
      </c>
      <c r="C70" s="18"/>
      <c r="D70" s="20"/>
      <c r="E70" s="99">
        <v>3.0</v>
      </c>
      <c r="F70" s="99">
        <v>12.0</v>
      </c>
      <c r="G70" s="99"/>
      <c r="H70" s="99"/>
      <c r="I70" s="101"/>
      <c r="J70" s="9"/>
    </row>
    <row r="71" ht="14.25" customHeight="1">
      <c r="A71" s="99" t="s">
        <v>32</v>
      </c>
      <c r="B71" s="100" t="s">
        <v>805</v>
      </c>
      <c r="C71" s="18"/>
      <c r="D71" s="20"/>
      <c r="E71" s="99">
        <v>4.0</v>
      </c>
      <c r="F71" s="99" t="s">
        <v>71</v>
      </c>
      <c r="G71" s="99"/>
      <c r="H71" s="99"/>
      <c r="I71" s="101"/>
      <c r="J71" s="9"/>
    </row>
    <row r="72" ht="14.25" customHeight="1">
      <c r="A72" s="27" t="s">
        <v>16</v>
      </c>
      <c r="B72" s="30" t="s">
        <v>170</v>
      </c>
      <c r="C72" s="18"/>
      <c r="D72" s="20"/>
      <c r="E72" s="27">
        <v>3.0</v>
      </c>
      <c r="F72" s="27">
        <v>10.0</v>
      </c>
      <c r="G72" s="27"/>
      <c r="H72" s="27"/>
      <c r="I72" s="33"/>
      <c r="J72" s="9"/>
    </row>
    <row r="73" ht="14.25" customHeight="1">
      <c r="A73" s="27" t="s">
        <v>32</v>
      </c>
      <c r="B73" s="30" t="s">
        <v>807</v>
      </c>
      <c r="C73" s="18"/>
      <c r="D73" s="20"/>
      <c r="E73" s="27">
        <v>3.0</v>
      </c>
      <c r="F73" s="27">
        <v>15.0</v>
      </c>
      <c r="G73" s="27"/>
      <c r="H73" s="27"/>
      <c r="I73" s="33"/>
      <c r="J73" s="9"/>
    </row>
    <row r="74" ht="14.25" customHeight="1">
      <c r="A74" s="49"/>
      <c r="B74" s="66" t="s">
        <v>808</v>
      </c>
      <c r="C74" s="8"/>
      <c r="D74" s="9"/>
      <c r="E74" s="49">
        <v>1.0</v>
      </c>
      <c r="F74" s="49" t="s">
        <v>403</v>
      </c>
      <c r="G74" s="49"/>
      <c r="H74" s="49"/>
      <c r="I74" s="51"/>
      <c r="J74" s="9"/>
    </row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5">
    <mergeCell ref="I26:J26"/>
    <mergeCell ref="I27:J27"/>
    <mergeCell ref="I11:J11"/>
    <mergeCell ref="I13:J13"/>
    <mergeCell ref="I21:J21"/>
    <mergeCell ref="I22:J22"/>
    <mergeCell ref="I23:J23"/>
    <mergeCell ref="I24:J24"/>
    <mergeCell ref="I25:J25"/>
    <mergeCell ref="B26:D26"/>
    <mergeCell ref="B27:D27"/>
    <mergeCell ref="M27:W27"/>
    <mergeCell ref="I28:J28"/>
    <mergeCell ref="B28:D28"/>
    <mergeCell ref="B29:D29"/>
    <mergeCell ref="I29:J29"/>
    <mergeCell ref="B30:D30"/>
    <mergeCell ref="I30:J30"/>
    <mergeCell ref="B31:D31"/>
    <mergeCell ref="I31:J31"/>
    <mergeCell ref="A6:C6"/>
    <mergeCell ref="B7:D7"/>
    <mergeCell ref="I7:J7"/>
    <mergeCell ref="M7:W7"/>
    <mergeCell ref="Z7:AB7"/>
    <mergeCell ref="B8:D8"/>
    <mergeCell ref="B9:D9"/>
    <mergeCell ref="I12:J12"/>
    <mergeCell ref="M12:W12"/>
    <mergeCell ref="I8:J8"/>
    <mergeCell ref="I9:J9"/>
    <mergeCell ref="B10:D10"/>
    <mergeCell ref="I10:J10"/>
    <mergeCell ref="B11:D11"/>
    <mergeCell ref="B12:D12"/>
    <mergeCell ref="B13:D13"/>
    <mergeCell ref="I17:J17"/>
    <mergeCell ref="M17:W17"/>
    <mergeCell ref="M22:W22"/>
    <mergeCell ref="B14:D14"/>
    <mergeCell ref="I14:J14"/>
    <mergeCell ref="B15:D15"/>
    <mergeCell ref="I15:J15"/>
    <mergeCell ref="B16:D16"/>
    <mergeCell ref="I16:J16"/>
    <mergeCell ref="B17:D17"/>
    <mergeCell ref="B18:D18"/>
    <mergeCell ref="A20:C20"/>
    <mergeCell ref="B21:D21"/>
    <mergeCell ref="B22:D22"/>
    <mergeCell ref="B23:D23"/>
    <mergeCell ref="B24:D24"/>
    <mergeCell ref="B25:D25"/>
    <mergeCell ref="I39:J39"/>
    <mergeCell ref="I40:J40"/>
    <mergeCell ref="A49:C49"/>
    <mergeCell ref="B50:D50"/>
    <mergeCell ref="I50:J50"/>
    <mergeCell ref="B51:D51"/>
    <mergeCell ref="I51:J51"/>
    <mergeCell ref="B52:D52"/>
    <mergeCell ref="B53:D53"/>
    <mergeCell ref="B54:D54"/>
    <mergeCell ref="I54:J54"/>
    <mergeCell ref="B55:D55"/>
    <mergeCell ref="I55:J55"/>
    <mergeCell ref="B56:D56"/>
    <mergeCell ref="I56:J56"/>
    <mergeCell ref="I57:J57"/>
    <mergeCell ref="I68:J68"/>
    <mergeCell ref="I69:J69"/>
    <mergeCell ref="I58:J58"/>
    <mergeCell ref="I59:J59"/>
    <mergeCell ref="I60:J60"/>
    <mergeCell ref="I64:J64"/>
    <mergeCell ref="I65:J65"/>
    <mergeCell ref="I66:J66"/>
    <mergeCell ref="I67:J67"/>
    <mergeCell ref="B33:D33"/>
    <mergeCell ref="A35:C35"/>
    <mergeCell ref="B36:D36"/>
    <mergeCell ref="I36:J36"/>
    <mergeCell ref="B37:D37"/>
    <mergeCell ref="I37:J37"/>
    <mergeCell ref="I38:J38"/>
    <mergeCell ref="I42:J42"/>
    <mergeCell ref="I43:J43"/>
    <mergeCell ref="B38:D38"/>
    <mergeCell ref="B39:D39"/>
    <mergeCell ref="B40:D40"/>
    <mergeCell ref="B41:D41"/>
    <mergeCell ref="I41:J41"/>
    <mergeCell ref="B42:D42"/>
    <mergeCell ref="B43:D43"/>
    <mergeCell ref="B44:D44"/>
    <mergeCell ref="I44:J44"/>
    <mergeCell ref="B45:D45"/>
    <mergeCell ref="I45:J45"/>
    <mergeCell ref="B46:D46"/>
    <mergeCell ref="I46:J46"/>
    <mergeCell ref="B47:D47"/>
    <mergeCell ref="I52:J52"/>
    <mergeCell ref="I53:J53"/>
    <mergeCell ref="I70:J70"/>
    <mergeCell ref="I71:J71"/>
    <mergeCell ref="I72:J72"/>
    <mergeCell ref="I73:J73"/>
    <mergeCell ref="I74:J74"/>
    <mergeCell ref="B57:D57"/>
    <mergeCell ref="B58:D58"/>
    <mergeCell ref="B59:D59"/>
    <mergeCell ref="B60:D60"/>
    <mergeCell ref="B61:D61"/>
    <mergeCell ref="A63:C63"/>
    <mergeCell ref="B64:D64"/>
    <mergeCell ref="B72:D72"/>
    <mergeCell ref="B73:D73"/>
    <mergeCell ref="B74:D74"/>
    <mergeCell ref="B65:D65"/>
    <mergeCell ref="B66:D66"/>
    <mergeCell ref="B67:D67"/>
    <mergeCell ref="B68:D68"/>
    <mergeCell ref="B69:D69"/>
    <mergeCell ref="B70:D70"/>
    <mergeCell ref="B71:D71"/>
  </mergeCells>
  <dataValidations>
    <dataValidation type="list" allowBlank="1" showErrorMessage="1" sqref="A8:A17 A22:A32 A37:A46 A51:A60 A65:A74">
      <formula1>Datos!$D$2:$D$11</formula1>
    </dataValidation>
    <dataValidation type="list" allowBlank="1" showErrorMessage="1" sqref="J5">
      <formula1>Datos!$B$2:$B$12</formula1>
    </dataValidation>
    <dataValidation type="list" allowBlank="1" showErrorMessage="1" sqref="J6 J20 J35 J49 J63">
      <formula1>Datos!$D$2:$D$14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10.71"/>
    <col customWidth="1" min="24" max="24" width="7.86"/>
    <col customWidth="1" min="25" max="25" width="15.43"/>
    <col customWidth="1" min="26" max="28" width="10.71"/>
  </cols>
  <sheetData>
    <row r="1" ht="14.25" customHeight="1"/>
    <row r="2" ht="14.25" customHeight="1"/>
    <row r="3" ht="14.25" customHeight="1"/>
    <row r="4" ht="14.25" customHeight="1"/>
    <row r="5" ht="14.25" customHeight="1">
      <c r="J5" s="1"/>
    </row>
    <row r="6" ht="14.25" customHeight="1">
      <c r="A6" s="2" t="s">
        <v>750</v>
      </c>
      <c r="B6" s="3"/>
      <c r="C6" s="4"/>
      <c r="J6" s="1"/>
    </row>
    <row r="7" ht="14.25" customHeight="1">
      <c r="A7" s="5" t="s">
        <v>2</v>
      </c>
      <c r="B7" s="7" t="s">
        <v>4</v>
      </c>
      <c r="C7" s="8"/>
      <c r="D7" s="9"/>
      <c r="E7" s="5" t="s">
        <v>5</v>
      </c>
      <c r="F7" s="5" t="s">
        <v>6</v>
      </c>
      <c r="G7" s="5" t="s">
        <v>7</v>
      </c>
      <c r="H7" s="5" t="s">
        <v>8</v>
      </c>
      <c r="I7" s="7" t="s">
        <v>9</v>
      </c>
      <c r="J7" s="9"/>
      <c r="M7" s="11" t="s">
        <v>0</v>
      </c>
      <c r="N7" s="12"/>
      <c r="O7" s="12"/>
      <c r="P7" s="12"/>
      <c r="Q7" s="12"/>
      <c r="R7" s="12"/>
      <c r="S7" s="12"/>
      <c r="T7" s="12"/>
      <c r="U7" s="12"/>
      <c r="V7" s="12"/>
      <c r="W7" s="13"/>
      <c r="Y7" s="1"/>
      <c r="Z7" s="14" t="s">
        <v>10</v>
      </c>
      <c r="AA7" s="12"/>
      <c r="AB7" s="13"/>
    </row>
    <row r="8" ht="14.25" customHeight="1">
      <c r="A8" s="184" t="s">
        <v>12</v>
      </c>
      <c r="B8" s="185" t="s">
        <v>751</v>
      </c>
      <c r="C8" s="18"/>
      <c r="D8" s="20"/>
      <c r="E8" s="184">
        <v>2.0</v>
      </c>
      <c r="F8" s="184">
        <v>10.0</v>
      </c>
      <c r="G8" s="184"/>
      <c r="H8" s="184"/>
      <c r="I8" s="186" t="s">
        <v>15</v>
      </c>
      <c r="J8" s="9"/>
      <c r="M8" s="25"/>
      <c r="N8" s="28" t="s">
        <v>16</v>
      </c>
      <c r="O8" s="28" t="s">
        <v>26</v>
      </c>
      <c r="P8" s="28" t="s">
        <v>27</v>
      </c>
      <c r="Q8" s="28" t="s">
        <v>28</v>
      </c>
      <c r="R8" s="28" t="s">
        <v>29</v>
      </c>
      <c r="S8" s="28" t="s">
        <v>30</v>
      </c>
      <c r="T8" s="28" t="s">
        <v>31</v>
      </c>
      <c r="U8" s="28" t="s">
        <v>32</v>
      </c>
      <c r="V8" s="28" t="s">
        <v>33</v>
      </c>
      <c r="W8" s="28" t="s">
        <v>12</v>
      </c>
      <c r="Z8" s="28" t="s">
        <v>16</v>
      </c>
      <c r="AA8" s="1">
        <f>SUM(N9,N14,N20,N25,N30)</f>
        <v>10</v>
      </c>
    </row>
    <row r="9" ht="14.25" customHeight="1">
      <c r="A9" s="53" t="s">
        <v>12</v>
      </c>
      <c r="B9" s="54" t="s">
        <v>474</v>
      </c>
      <c r="C9" s="18"/>
      <c r="D9" s="20"/>
      <c r="E9" s="53">
        <v>3.0</v>
      </c>
      <c r="F9" s="53">
        <v>12.0</v>
      </c>
      <c r="G9" s="53"/>
      <c r="H9" s="53"/>
      <c r="I9" s="55"/>
      <c r="J9" s="9"/>
      <c r="M9" s="34" t="s">
        <v>36</v>
      </c>
      <c r="N9" s="37">
        <f>SUMIF(A8:A18,"Pecho",E8:E18)</f>
        <v>3</v>
      </c>
      <c r="O9" s="37">
        <f>SUMIF(A8:A18,"Espalda",E8:E18)</f>
        <v>0</v>
      </c>
      <c r="P9" s="37">
        <f>SUMIF($A8:$A18,"Hombros",$E8:$E18)</f>
        <v>4</v>
      </c>
      <c r="Q9" s="37">
        <f>SUMIF($A8:$A18,"Bíceps",$E8:$E18)</f>
        <v>3</v>
      </c>
      <c r="R9" s="37">
        <f>SUMIF($A8:$A18,"Tríceps",$E8:$E18)</f>
        <v>0</v>
      </c>
      <c r="S9" s="38">
        <f>SUMIF(A8:A18,"Cuádriceps",E8:E18)</f>
        <v>18</v>
      </c>
      <c r="T9" s="37">
        <f>SUMIF($A8:$A18,"Isquios",$E8:$E18)</f>
        <v>0</v>
      </c>
      <c r="U9" s="37">
        <f>SUMIF($A8:$A18,"Glúteos",$E8:$E18)</f>
        <v>0</v>
      </c>
      <c r="V9" s="37">
        <f>SUMIF($A8:$A18,"Pantorrillas",$E8:$E18)</f>
        <v>0</v>
      </c>
      <c r="W9" s="37">
        <f>SUMIF($A8:$A18,"Otros",$E8:$E18)</f>
        <v>8</v>
      </c>
      <c r="Z9" s="28" t="s">
        <v>26</v>
      </c>
      <c r="AA9" s="1">
        <f>SUM(O9,O14,O20,O25,O30)</f>
        <v>6</v>
      </c>
    </row>
    <row r="10" ht="14.25" customHeight="1">
      <c r="A10" s="53" t="s">
        <v>12</v>
      </c>
      <c r="B10" s="54" t="s">
        <v>480</v>
      </c>
      <c r="C10" s="18"/>
      <c r="D10" s="20"/>
      <c r="E10" s="53">
        <v>3.0</v>
      </c>
      <c r="F10" s="53">
        <v>10.0</v>
      </c>
      <c r="G10" s="53"/>
      <c r="H10" s="53"/>
      <c r="I10" s="55"/>
      <c r="J10" s="9"/>
      <c r="M10" s="34" t="s">
        <v>7</v>
      </c>
      <c r="N10" s="35">
        <f>AVERAGEIF($A8:$A18,"Pecho",$G8:$G18)</f>
        <v>8</v>
      </c>
      <c r="O10" s="35" t="str">
        <f>AVERAGEIF($A8:$A18,"Espalda",$G8:$G18)</f>
        <v>#DIV/0!</v>
      </c>
      <c r="P10" s="35">
        <f>AVERAGEIF($A8:$A18,"Hombros",$G8:$G18)</f>
        <v>8</v>
      </c>
      <c r="Q10" s="35" t="str">
        <f>AVERAGEIF($A8:$A18,"Bíceps",$G8:$G18)</f>
        <v>#DIV/0!</v>
      </c>
      <c r="R10" s="35" t="str">
        <f>AVERAGEIF($A8:$A18,"Tríceps",$G8:$G18)</f>
        <v>#DIV/0!</v>
      </c>
      <c r="S10" s="35">
        <f>AVERAGEIF($A8:$A18,"Cuádriceps",$G8:$G18)</f>
        <v>8</v>
      </c>
      <c r="T10" s="35" t="str">
        <f>AVERAGEIF($A8:$A18,"Isquios",$G8:$G18)</f>
        <v>#DIV/0!</v>
      </c>
      <c r="U10" s="35" t="str">
        <f>AVERAGEIF($A8:$A18,"Glúteos",$G8:$G18)</f>
        <v>#DIV/0!</v>
      </c>
      <c r="V10" s="35" t="str">
        <f>AVERAGEIF($A8:$A18,"Pantorrillas",$G8:$G18)</f>
        <v>#DIV/0!</v>
      </c>
      <c r="W10" s="35" t="str">
        <f>AVERAGEIF($A8:$A18,"Otros",$G8:$G18)</f>
        <v>#DIV/0!</v>
      </c>
      <c r="Z10" s="28" t="s">
        <v>27</v>
      </c>
      <c r="AA10" s="1">
        <f>SUM(P9,P14,P20,P25,P30)</f>
        <v>17</v>
      </c>
    </row>
    <row r="11" ht="14.25" customHeight="1">
      <c r="A11" s="204" t="s">
        <v>30</v>
      </c>
      <c r="B11" s="205" t="s">
        <v>483</v>
      </c>
      <c r="C11" s="18"/>
      <c r="D11" s="20"/>
      <c r="E11" s="204">
        <v>4.0</v>
      </c>
      <c r="F11" s="204">
        <v>5.0</v>
      </c>
      <c r="G11" s="204">
        <v>8.0</v>
      </c>
      <c r="H11" s="204" t="s">
        <v>55</v>
      </c>
      <c r="I11" s="206"/>
      <c r="J11" s="9"/>
      <c r="M11" s="25"/>
      <c r="N11" s="25"/>
      <c r="O11" s="25"/>
      <c r="P11" s="25"/>
      <c r="Q11" s="25"/>
      <c r="R11" s="25"/>
      <c r="S11" s="25"/>
      <c r="T11" s="25"/>
      <c r="U11" s="25"/>
      <c r="Z11" s="28" t="s">
        <v>28</v>
      </c>
      <c r="AA11" s="1">
        <f>SUM(Q9,Q14,Q20,Q25,Q30)</f>
        <v>6</v>
      </c>
    </row>
    <row r="12" ht="14.25" customHeight="1">
      <c r="A12" s="53" t="s">
        <v>30</v>
      </c>
      <c r="B12" s="54" t="s">
        <v>484</v>
      </c>
      <c r="C12" s="18"/>
      <c r="D12" s="20"/>
      <c r="E12" s="53">
        <v>4.0</v>
      </c>
      <c r="F12" s="53">
        <v>8.0</v>
      </c>
      <c r="G12" s="53">
        <v>8.0</v>
      </c>
      <c r="H12" s="53"/>
      <c r="I12" s="55" t="s">
        <v>58</v>
      </c>
      <c r="J12" s="9"/>
      <c r="M12" s="11" t="s">
        <v>45</v>
      </c>
      <c r="N12" s="12"/>
      <c r="O12" s="12"/>
      <c r="P12" s="12"/>
      <c r="Q12" s="12"/>
      <c r="R12" s="12"/>
      <c r="S12" s="12"/>
      <c r="T12" s="12"/>
      <c r="U12" s="12"/>
      <c r="V12" s="12"/>
      <c r="W12" s="13"/>
      <c r="Z12" s="28" t="s">
        <v>29</v>
      </c>
      <c r="AA12" s="1">
        <f>SUM(R9,R14,R20,R25,R30)</f>
        <v>0</v>
      </c>
    </row>
    <row r="13" ht="14.25" customHeight="1">
      <c r="A13" s="53" t="s">
        <v>30</v>
      </c>
      <c r="B13" s="54" t="s">
        <v>759</v>
      </c>
      <c r="C13" s="18"/>
      <c r="D13" s="20"/>
      <c r="E13" s="53">
        <v>4.0</v>
      </c>
      <c r="F13" s="53" t="s">
        <v>760</v>
      </c>
      <c r="G13" s="53"/>
      <c r="H13" s="53"/>
      <c r="I13" s="55"/>
      <c r="J13" s="9"/>
      <c r="M13" s="25"/>
      <c r="N13" s="28" t="s">
        <v>16</v>
      </c>
      <c r="O13" s="28" t="s">
        <v>26</v>
      </c>
      <c r="P13" s="28" t="s">
        <v>27</v>
      </c>
      <c r="Q13" s="28" t="s">
        <v>28</v>
      </c>
      <c r="R13" s="28" t="s">
        <v>29</v>
      </c>
      <c r="S13" s="28" t="s">
        <v>30</v>
      </c>
      <c r="T13" s="28" t="s">
        <v>31</v>
      </c>
      <c r="U13" s="28" t="s">
        <v>32</v>
      </c>
      <c r="V13" s="28" t="s">
        <v>33</v>
      </c>
      <c r="W13" s="28" t="s">
        <v>12</v>
      </c>
      <c r="Z13" s="28" t="s">
        <v>30</v>
      </c>
      <c r="AA13" s="1">
        <f>SUM(S9,S14,S20,S25,S30)</f>
        <v>35</v>
      </c>
    </row>
    <row r="14" ht="14.25" customHeight="1">
      <c r="A14" s="49" t="s">
        <v>30</v>
      </c>
      <c r="B14" s="50" t="s">
        <v>487</v>
      </c>
      <c r="C14" s="18"/>
      <c r="D14" s="20"/>
      <c r="E14" s="49">
        <v>3.0</v>
      </c>
      <c r="F14" s="49" t="s">
        <v>178</v>
      </c>
      <c r="G14" s="49">
        <v>8.0</v>
      </c>
      <c r="H14" s="49"/>
      <c r="I14" s="51"/>
      <c r="J14" s="9"/>
      <c r="M14" s="34" t="s">
        <v>36</v>
      </c>
      <c r="N14" s="35">
        <f>SUMIF($A23:$A33,"Pecho",$E23:$E33)</f>
        <v>4</v>
      </c>
      <c r="O14" s="35">
        <f>SUMIF($A23:$A33,"Espalda",$E23:$E33)</f>
        <v>6</v>
      </c>
      <c r="P14" s="35">
        <f>SUMIF($A23:$A33,"Hombros",$E23:$E33)</f>
        <v>6</v>
      </c>
      <c r="Q14" s="35">
        <f>SUMIF($A23:$A33,"Bíceps",$E23:$E33)</f>
        <v>3</v>
      </c>
      <c r="R14" s="35">
        <f>SUMIF($A23:$A33,"Tríceps",$E23:$E33)</f>
        <v>0</v>
      </c>
      <c r="S14" s="35">
        <f>SUMIF($A23:$A33,"Cuádriceps",$E23:$E33)</f>
        <v>0</v>
      </c>
      <c r="T14" s="35">
        <f>SUMIF($A23:$A33,"Isquios",$E23:$E33)</f>
        <v>3</v>
      </c>
      <c r="U14" s="35">
        <f>SUMIF($A23:$A33,"Glúteos",$E23:$E33)</f>
        <v>4</v>
      </c>
      <c r="V14" s="35">
        <f>SUMIF($A23:$A33,"Pantorrillas",$E23:$E33)</f>
        <v>0</v>
      </c>
      <c r="W14" s="35">
        <f>SUMIF($A23:$A33,"Otros",$E23:$E33)</f>
        <v>6</v>
      </c>
      <c r="Z14" s="28" t="s">
        <v>31</v>
      </c>
      <c r="AA14" s="1">
        <f>SUM(T9,T14,T20,T25,T30)</f>
        <v>6</v>
      </c>
    </row>
    <row r="15" ht="14.25" customHeight="1">
      <c r="A15" s="49" t="s">
        <v>27</v>
      </c>
      <c r="B15" s="50" t="s">
        <v>768</v>
      </c>
      <c r="C15" s="18"/>
      <c r="D15" s="20"/>
      <c r="E15" s="49">
        <v>4.0</v>
      </c>
      <c r="F15" s="49">
        <v>10.0</v>
      </c>
      <c r="G15" s="49">
        <v>8.0</v>
      </c>
      <c r="H15" s="49"/>
      <c r="I15" s="51" t="s">
        <v>72</v>
      </c>
      <c r="J15" s="9"/>
      <c r="M15" s="34" t="s">
        <v>7</v>
      </c>
      <c r="N15" s="35">
        <f>AVERAGEIF($A23:$A33,"Pecho",$G23:$G33)</f>
        <v>8</v>
      </c>
      <c r="O15" s="35">
        <f>AVERAGEIF($A23:$A33,"Espalda",$G23:$G33)</f>
        <v>8</v>
      </c>
      <c r="P15" s="35" t="str">
        <f>AVERAGEIF($A23:$A33,"Hombros",$G23:$G33)</f>
        <v>#DIV/0!</v>
      </c>
      <c r="Q15" s="35" t="str">
        <f>AVERAGEIF($A23:$A33,"Bíceps",$G23:$G33)</f>
        <v>#DIV/0!</v>
      </c>
      <c r="R15" s="35" t="str">
        <f>AVERAGEIF($A23:$A33,"Tríceps",$G23:$G33)</f>
        <v>#DIV/0!</v>
      </c>
      <c r="S15" s="35" t="str">
        <f>AVERAGEIF($A23:$A33,"Cuádriceps",$G23:$G33)</f>
        <v>#DIV/0!</v>
      </c>
      <c r="T15" s="35" t="str">
        <f>AVERAGEIF($A23:$A33,"Isquios",$G23:$G33)</f>
        <v>#DIV/0!</v>
      </c>
      <c r="U15" s="35" t="str">
        <f>AVERAGEIF($A23:$A33,"Glúteos",$G23:$G33)</f>
        <v>#DIV/0!</v>
      </c>
      <c r="V15" s="35" t="str">
        <f>AVERAGEIF($A23:$A33,"Pantorrillas",$G23:$G33)</f>
        <v>#DIV/0!</v>
      </c>
      <c r="W15" s="35" t="str">
        <f>AVERAGEIF($A23:$A33,"Otros",$G23:$G33)</f>
        <v>#DIV/0!</v>
      </c>
      <c r="Z15" s="28" t="s">
        <v>32</v>
      </c>
      <c r="AA15" s="1">
        <f>SUM(U9,U14,U20,U25,U30)</f>
        <v>8</v>
      </c>
    </row>
    <row r="16" ht="14.25" customHeight="1">
      <c r="A16" s="53" t="s">
        <v>16</v>
      </c>
      <c r="B16" s="54" t="s">
        <v>769</v>
      </c>
      <c r="C16" s="18"/>
      <c r="D16" s="20"/>
      <c r="E16" s="53">
        <v>3.0</v>
      </c>
      <c r="F16" s="130" t="s">
        <v>686</v>
      </c>
      <c r="G16" s="53">
        <v>8.0</v>
      </c>
      <c r="H16" s="53"/>
      <c r="I16" s="55" t="s">
        <v>81</v>
      </c>
      <c r="J16" s="9"/>
      <c r="M16" s="25"/>
      <c r="N16" s="25"/>
      <c r="O16" s="25"/>
      <c r="P16" s="25"/>
      <c r="Q16" s="25"/>
      <c r="R16" s="25"/>
      <c r="S16" s="25"/>
      <c r="T16" s="25"/>
      <c r="U16" s="25"/>
      <c r="Z16" s="28" t="s">
        <v>33</v>
      </c>
      <c r="AA16" s="1">
        <f>SUM(V9,V14,V20,V25,V30)</f>
        <v>3</v>
      </c>
    </row>
    <row r="17" ht="14.25" customHeight="1">
      <c r="A17" s="53" t="s">
        <v>28</v>
      </c>
      <c r="B17" s="56" t="s">
        <v>83</v>
      </c>
      <c r="C17" s="8"/>
      <c r="D17" s="9"/>
      <c r="E17" s="53">
        <v>3.0</v>
      </c>
      <c r="F17" s="53"/>
      <c r="G17" s="53"/>
      <c r="H17" s="53"/>
      <c r="I17" s="57"/>
      <c r="J17" s="59"/>
      <c r="M17" s="25"/>
      <c r="N17" s="25"/>
      <c r="O17" s="25"/>
      <c r="P17" s="25"/>
      <c r="Q17" s="25"/>
      <c r="R17" s="25"/>
      <c r="S17" s="25"/>
      <c r="T17" s="25"/>
      <c r="U17" s="25"/>
      <c r="Z17" s="28"/>
      <c r="AA17" s="1"/>
    </row>
    <row r="18" ht="14.25" customHeight="1">
      <c r="A18" s="53" t="s">
        <v>30</v>
      </c>
      <c r="B18" s="54" t="s">
        <v>771</v>
      </c>
      <c r="C18" s="18"/>
      <c r="D18" s="20"/>
      <c r="E18" s="53">
        <v>3.0</v>
      </c>
      <c r="F18" s="53">
        <v>12.0</v>
      </c>
      <c r="G18" s="53"/>
      <c r="H18" s="53"/>
      <c r="I18" s="55"/>
      <c r="J18" s="9"/>
      <c r="M18" s="11" t="s">
        <v>57</v>
      </c>
      <c r="N18" s="12"/>
      <c r="O18" s="12"/>
      <c r="P18" s="12"/>
      <c r="Q18" s="12"/>
      <c r="R18" s="12"/>
      <c r="S18" s="12"/>
      <c r="T18" s="12"/>
      <c r="U18" s="12"/>
      <c r="V18" s="12"/>
      <c r="W18" s="13"/>
      <c r="Z18" s="28" t="s">
        <v>12</v>
      </c>
      <c r="AA18" s="1">
        <f>SUM(W9,W14,W20,W25,W30)</f>
        <v>33</v>
      </c>
    </row>
    <row r="19" ht="14.25" customHeight="1">
      <c r="B19" s="26"/>
      <c r="C19" s="29"/>
      <c r="D19" s="29"/>
      <c r="M19" s="25"/>
      <c r="N19" s="28" t="s">
        <v>16</v>
      </c>
      <c r="O19" s="28" t="s">
        <v>26</v>
      </c>
      <c r="P19" s="28" t="s">
        <v>27</v>
      </c>
      <c r="Q19" s="28" t="s">
        <v>28</v>
      </c>
      <c r="R19" s="28" t="s">
        <v>29</v>
      </c>
      <c r="S19" s="28" t="s">
        <v>30</v>
      </c>
      <c r="T19" s="28" t="s">
        <v>31</v>
      </c>
      <c r="U19" s="28" t="s">
        <v>32</v>
      </c>
      <c r="V19" s="28" t="s">
        <v>33</v>
      </c>
      <c r="W19" s="28" t="s">
        <v>12</v>
      </c>
    </row>
    <row r="20" ht="14.25" customHeight="1">
      <c r="M20" s="34" t="s">
        <v>36</v>
      </c>
      <c r="N20" s="35">
        <f>SUMIF($A38:$A47,"Pecho",$E38:$E47)</f>
        <v>3</v>
      </c>
      <c r="O20" s="35">
        <f>SUMIF($A38:$A47,"Espalda",$E38:$E47)</f>
        <v>0</v>
      </c>
      <c r="P20" s="35">
        <f>SUMIF($A38:$A47,"Hombros",$E38:$E47)</f>
        <v>4</v>
      </c>
      <c r="Q20" s="35">
        <f>SUMIF($A38:$A47,"Bíceps",$E38:$E47)</f>
        <v>0</v>
      </c>
      <c r="R20" s="35">
        <f>SUMIF($A38:$A47,"Tríceps",$E38:$E47)</f>
        <v>0</v>
      </c>
      <c r="S20" s="35">
        <f>SUMIF($A38:$A47,"Cuádriceps",$E38:$E47)</f>
        <v>7</v>
      </c>
      <c r="T20" s="35">
        <f>SUMIF($A38:$A47,"Isquios",$E38:$E47)</f>
        <v>0</v>
      </c>
      <c r="U20" s="35">
        <f>SUMIF($A38:$A47,"Glúteos",$E38:$E47)</f>
        <v>4</v>
      </c>
      <c r="V20" s="35">
        <f>SUMIF($A38:$A47,"Pantorrillas",$E38:$E47)</f>
        <v>0</v>
      </c>
      <c r="W20" s="35">
        <f>SUMIF($A38:$A47,"Otros",$E38:$E47)</f>
        <v>15</v>
      </c>
    </row>
    <row r="21" ht="14.25" customHeight="1">
      <c r="A21" s="2" t="s">
        <v>773</v>
      </c>
      <c r="B21" s="3"/>
      <c r="C21" s="4"/>
      <c r="J21" s="1"/>
      <c r="M21" s="34" t="s">
        <v>7</v>
      </c>
      <c r="N21" s="35" t="str">
        <f>AVERAGEIF($A38:$A47,"Pecho",$G38:$G47)</f>
        <v>#DIV/0!</v>
      </c>
      <c r="O21" s="35" t="str">
        <f>AVERAGEIF($A38:$A47,"Espalda",$G38:$G47)</f>
        <v>#DIV/0!</v>
      </c>
      <c r="P21" s="35" t="str">
        <f>AVERAGEIF($A38:$A47,"Hombros",$G38:$G47)</f>
        <v>#DIV/0!</v>
      </c>
      <c r="Q21" s="35" t="str">
        <f>AVERAGEIF($A38:$A47,"Bíceps",$G38:$G47)</f>
        <v>#DIV/0!</v>
      </c>
      <c r="R21" s="35" t="str">
        <f>AVERAGEIF($A38:$A47,"Tríceps",$G38:$G47)</f>
        <v>#DIV/0!</v>
      </c>
      <c r="S21" s="35">
        <f>AVERAGEIF($A38:$A47,"Cuádriceps",$G38:$G47)</f>
        <v>8</v>
      </c>
      <c r="T21" s="35" t="str">
        <f>AVERAGEIF($A38:$A47,"Isquios",$G38:$G47)</f>
        <v>#DIV/0!</v>
      </c>
      <c r="U21" s="35" t="str">
        <f>AVERAGEIF($A38:$A47,"Glúteos",$G38:$G47)</f>
        <v>#DIV/0!</v>
      </c>
      <c r="V21" s="35" t="str">
        <f>AVERAGEIF($A38:$A47,"Pantorrillas",$G38:$G47)</f>
        <v>#DIV/0!</v>
      </c>
      <c r="W21" s="35" t="str">
        <f>AVERAGEIF($A38:$A47,"Otros",$G38:$G47)</f>
        <v>#DIV/0!</v>
      </c>
    </row>
    <row r="22" ht="14.25" customHeight="1">
      <c r="A22" s="5" t="s">
        <v>2</v>
      </c>
      <c r="B22" s="7" t="s">
        <v>4</v>
      </c>
      <c r="C22" s="8"/>
      <c r="D22" s="9"/>
      <c r="E22" s="5" t="s">
        <v>5</v>
      </c>
      <c r="F22" s="5" t="s">
        <v>6</v>
      </c>
      <c r="G22" s="5" t="s">
        <v>7</v>
      </c>
      <c r="H22" s="5" t="s">
        <v>8</v>
      </c>
      <c r="I22" s="7" t="s">
        <v>9</v>
      </c>
      <c r="J22" s="9"/>
      <c r="M22" s="25"/>
      <c r="N22" s="25"/>
      <c r="O22" s="25"/>
      <c r="P22" s="25"/>
      <c r="Q22" s="25"/>
      <c r="R22" s="25"/>
      <c r="S22" s="25"/>
      <c r="T22" s="25"/>
      <c r="U22" s="25"/>
    </row>
    <row r="23" ht="14.25" customHeight="1">
      <c r="A23" s="53" t="s">
        <v>12</v>
      </c>
      <c r="B23" s="54" t="s">
        <v>99</v>
      </c>
      <c r="C23" s="18"/>
      <c r="D23" s="20"/>
      <c r="E23" s="53">
        <v>2.0</v>
      </c>
      <c r="F23" s="53">
        <v>10.0</v>
      </c>
      <c r="G23" s="53"/>
      <c r="H23" s="53"/>
      <c r="I23" s="55"/>
      <c r="J23" s="9"/>
      <c r="M23" s="11" t="s">
        <v>66</v>
      </c>
      <c r="N23" s="12"/>
      <c r="O23" s="12"/>
      <c r="P23" s="12"/>
      <c r="Q23" s="12"/>
      <c r="R23" s="12"/>
      <c r="S23" s="12"/>
      <c r="T23" s="12"/>
      <c r="U23" s="12"/>
      <c r="V23" s="12"/>
      <c r="W23" s="13"/>
    </row>
    <row r="24" ht="14.25" customHeight="1">
      <c r="A24" s="53" t="s">
        <v>12</v>
      </c>
      <c r="B24" s="54" t="s">
        <v>100</v>
      </c>
      <c r="C24" s="18"/>
      <c r="D24" s="20"/>
      <c r="E24" s="53">
        <v>2.0</v>
      </c>
      <c r="F24" s="53">
        <v>12.0</v>
      </c>
      <c r="G24" s="53"/>
      <c r="H24" s="53"/>
      <c r="I24" s="55"/>
      <c r="J24" s="9"/>
      <c r="M24" s="25"/>
      <c r="N24" s="28" t="s">
        <v>16</v>
      </c>
      <c r="O24" s="28" t="s">
        <v>26</v>
      </c>
      <c r="P24" s="28" t="s">
        <v>27</v>
      </c>
      <c r="Q24" s="28" t="s">
        <v>28</v>
      </c>
      <c r="R24" s="28" t="s">
        <v>29</v>
      </c>
      <c r="S24" s="28" t="s">
        <v>30</v>
      </c>
      <c r="T24" s="28" t="s">
        <v>31</v>
      </c>
      <c r="U24" s="28" t="s">
        <v>32</v>
      </c>
      <c r="V24" s="28" t="s">
        <v>33</v>
      </c>
      <c r="W24" s="28" t="s">
        <v>12</v>
      </c>
    </row>
    <row r="25" ht="14.25" customHeight="1">
      <c r="A25" s="53" t="s">
        <v>12</v>
      </c>
      <c r="B25" s="54" t="s">
        <v>425</v>
      </c>
      <c r="C25" s="18"/>
      <c r="D25" s="20"/>
      <c r="E25" s="53">
        <v>2.0</v>
      </c>
      <c r="F25" s="53">
        <v>10.0</v>
      </c>
      <c r="G25" s="53"/>
      <c r="H25" s="53"/>
      <c r="I25" s="55"/>
      <c r="J25" s="9"/>
      <c r="M25" s="34" t="s">
        <v>36</v>
      </c>
      <c r="N25" s="35">
        <f>SUMIF($A52:$A61,"Pecho",$E52:$E61)</f>
        <v>0</v>
      </c>
      <c r="O25" s="35">
        <f>SUMIF($A52:$A61,"Espalda",$E52:$E61)</f>
        <v>0</v>
      </c>
      <c r="P25" s="35">
        <f>SUMIF($A52:$A61,"Hombros",$E52:$E61)</f>
        <v>3</v>
      </c>
      <c r="Q25" s="35">
        <f>SUMIF($A52:$A61,"Bíceps",$E52:$E61)</f>
        <v>0</v>
      </c>
      <c r="R25" s="35">
        <f>SUMIF($A52:$A61,"Tríceps",$E52:$E61)</f>
        <v>0</v>
      </c>
      <c r="S25" s="35">
        <f>SUMIF($A52:$A61,"Cuádriceps",$E52:$E61)</f>
        <v>10</v>
      </c>
      <c r="T25" s="35">
        <f>SUMIF($A52:$A61,"Isquios",$E52:$E61)</f>
        <v>3</v>
      </c>
      <c r="U25" s="35">
        <f>SUMIF($A52:$A61,"Glúteos",$E52:$E61)</f>
        <v>0</v>
      </c>
      <c r="V25" s="35">
        <f>SUMIF($A52:$A61,"Pantorrillas",$E52:$E61)</f>
        <v>3</v>
      </c>
      <c r="W25" s="35">
        <f>SUMIF($A52:$A61,"Otros",$E52:$E61)</f>
        <v>4</v>
      </c>
    </row>
    <row r="26" ht="14.25" customHeight="1">
      <c r="A26" s="49" t="s">
        <v>16</v>
      </c>
      <c r="B26" s="50" t="s">
        <v>472</v>
      </c>
      <c r="C26" s="18"/>
      <c r="D26" s="20"/>
      <c r="E26" s="49">
        <v>4.0</v>
      </c>
      <c r="F26" s="49">
        <v>8.0</v>
      </c>
      <c r="G26" s="49">
        <v>8.0</v>
      </c>
      <c r="H26" s="49" t="s">
        <v>55</v>
      </c>
      <c r="I26" s="51"/>
      <c r="J26" s="9"/>
      <c r="M26" s="34" t="s">
        <v>7</v>
      </c>
      <c r="N26" s="35" t="str">
        <f>AVERAGEIF($A52:$A61,"Pecho",$G52:$G61)</f>
        <v>#DIV/0!</v>
      </c>
      <c r="O26" s="35" t="str">
        <f>AVERAGEIF($A52:$A61,"Espalda",$G52:$G61)</f>
        <v>#DIV/0!</v>
      </c>
      <c r="P26" s="35">
        <f>AVERAGEIF($A52:$A61,"Hombros",$G52:$G61)</f>
        <v>6</v>
      </c>
      <c r="Q26" s="35" t="str">
        <f>AVERAGEIF($A52:$A61,"Bíceps",$G52:$G61)</f>
        <v>#DIV/0!</v>
      </c>
      <c r="R26" s="35" t="str">
        <f>AVERAGEIF($A52:$A61,"Tríceps",$G52:$G61)</f>
        <v>#DIV/0!</v>
      </c>
      <c r="S26" s="35">
        <f>AVERAGEIF($A52:$A61,"Cuádriceps",$G52:$G61)</f>
        <v>6.666666667</v>
      </c>
      <c r="T26" s="35">
        <f>AVERAGEIF($A52:$A61,"Isquios",$G52:$G61)</f>
        <v>7</v>
      </c>
      <c r="U26" s="35" t="str">
        <f>AVERAGEIF($A52:$A61,"Glúteos",$G52:$G61)</f>
        <v>#DIV/0!</v>
      </c>
      <c r="V26" s="35">
        <f>AVERAGEIF($A52:$A61,"Pantorrillas",$G52:$G61)</f>
        <v>7</v>
      </c>
      <c r="W26" s="35">
        <f>AVERAGEIF($A52:$A61,"Otros",$G52:$G61)</f>
        <v>7</v>
      </c>
    </row>
    <row r="27" ht="14.25" customHeight="1">
      <c r="A27" s="49" t="s">
        <v>26</v>
      </c>
      <c r="B27" s="50" t="s">
        <v>792</v>
      </c>
      <c r="C27" s="18"/>
      <c r="D27" s="20"/>
      <c r="E27" s="49">
        <v>3.0</v>
      </c>
      <c r="F27" s="49" t="s">
        <v>420</v>
      </c>
      <c r="G27" s="49">
        <v>8.0</v>
      </c>
      <c r="H27" s="49"/>
      <c r="I27" s="51"/>
      <c r="J27" s="9"/>
      <c r="M27" s="25"/>
      <c r="N27" s="25"/>
      <c r="O27" s="25"/>
      <c r="P27" s="25"/>
      <c r="Q27" s="25"/>
      <c r="R27" s="25"/>
      <c r="S27" s="25"/>
      <c r="T27" s="25"/>
      <c r="U27" s="25"/>
    </row>
    <row r="28" ht="14.25" customHeight="1">
      <c r="A28" s="53" t="s">
        <v>32</v>
      </c>
      <c r="B28" s="54" t="s">
        <v>107</v>
      </c>
      <c r="C28" s="18"/>
      <c r="D28" s="20"/>
      <c r="E28" s="53">
        <v>4.0</v>
      </c>
      <c r="F28" s="53" t="s">
        <v>108</v>
      </c>
      <c r="G28" s="53"/>
      <c r="H28" s="53"/>
      <c r="I28" s="55"/>
      <c r="J28" s="9"/>
      <c r="M28" s="11" t="s">
        <v>76</v>
      </c>
      <c r="N28" s="12"/>
      <c r="O28" s="12"/>
      <c r="P28" s="12"/>
      <c r="Q28" s="12"/>
      <c r="R28" s="12"/>
      <c r="S28" s="12"/>
      <c r="T28" s="12"/>
      <c r="U28" s="12"/>
      <c r="V28" s="12"/>
      <c r="W28" s="13"/>
    </row>
    <row r="29" ht="14.25" customHeight="1">
      <c r="A29" s="53" t="s">
        <v>27</v>
      </c>
      <c r="B29" s="54" t="s">
        <v>794</v>
      </c>
      <c r="C29" s="18"/>
      <c r="D29" s="20"/>
      <c r="E29" s="53">
        <v>3.0</v>
      </c>
      <c r="F29" s="53">
        <v>10.0</v>
      </c>
      <c r="G29" s="53"/>
      <c r="H29" s="53"/>
      <c r="I29" s="55" t="s">
        <v>795</v>
      </c>
      <c r="J29" s="9"/>
      <c r="M29" s="25"/>
      <c r="N29" s="28" t="s">
        <v>16</v>
      </c>
      <c r="O29" s="28" t="s">
        <v>26</v>
      </c>
      <c r="P29" s="28" t="s">
        <v>27</v>
      </c>
      <c r="Q29" s="28" t="s">
        <v>28</v>
      </c>
      <c r="R29" s="28" t="s">
        <v>29</v>
      </c>
      <c r="S29" s="28" t="s">
        <v>30</v>
      </c>
      <c r="T29" s="28" t="s">
        <v>31</v>
      </c>
      <c r="U29" s="28" t="s">
        <v>32</v>
      </c>
      <c r="V29" s="28" t="s">
        <v>33</v>
      </c>
      <c r="W29" s="28" t="s">
        <v>12</v>
      </c>
    </row>
    <row r="30" ht="14.25" customHeight="1">
      <c r="A30" s="49" t="s">
        <v>31</v>
      </c>
      <c r="B30" s="50" t="s">
        <v>797</v>
      </c>
      <c r="C30" s="18"/>
      <c r="D30" s="20"/>
      <c r="E30" s="49">
        <v>3.0</v>
      </c>
      <c r="F30" s="49" t="s">
        <v>798</v>
      </c>
      <c r="G30" s="49"/>
      <c r="H30" s="49"/>
      <c r="I30" s="51"/>
      <c r="J30" s="9"/>
      <c r="M30" s="34" t="s">
        <v>36</v>
      </c>
      <c r="N30" s="35">
        <f>SUMIF($A66:$A75,"Pecho",$E66:$E75)</f>
        <v>0</v>
      </c>
      <c r="O30" s="35">
        <f>SUMIF($A66:$A75,"Espalda",$E66:$E75)</f>
        <v>0</v>
      </c>
      <c r="P30" s="35">
        <f>SUMIF($A66:$A75,"Hombros",$E66:$E75)</f>
        <v>0</v>
      </c>
      <c r="Q30" s="35">
        <f>SUMIF($A66:$A75,"Bíceps",$E66:$E75)</f>
        <v>0</v>
      </c>
      <c r="R30" s="35">
        <f>SUMIF($A66:$A75,"Tríceps",$E66:$E75)</f>
        <v>0</v>
      </c>
      <c r="S30" s="35">
        <f>SUMIF($A66:$A75,"Cuádriceps",$E66:$E75)</f>
        <v>0</v>
      </c>
      <c r="T30" s="35">
        <f>SUMIF($A66:$A75,"Isquios",$E66:$E75)</f>
        <v>0</v>
      </c>
      <c r="U30" s="35">
        <f>SUMIF($A66:$A75,"Glúteos",$E66:$E75)</f>
        <v>0</v>
      </c>
      <c r="V30" s="35">
        <f>SUMIF($A66:$A75,"Pantorrillas",$E66:$E75)</f>
        <v>0</v>
      </c>
      <c r="W30" s="35">
        <f>SUMIF($A66:$A75,"Otros",$E66:$E75)</f>
        <v>0</v>
      </c>
    </row>
    <row r="31" ht="14.25" customHeight="1">
      <c r="A31" s="53" t="s">
        <v>28</v>
      </c>
      <c r="B31" s="56" t="s">
        <v>806</v>
      </c>
      <c r="C31" s="8"/>
      <c r="D31" s="9"/>
      <c r="E31" s="53">
        <v>3.0</v>
      </c>
      <c r="F31" s="53">
        <v>12.0</v>
      </c>
      <c r="G31" s="53"/>
      <c r="H31" s="53"/>
      <c r="I31" s="55"/>
      <c r="J31" s="9"/>
      <c r="M31" s="34" t="s">
        <v>7</v>
      </c>
      <c r="N31" s="35">
        <f>AVERAGEIF($A66:$A75,"Pecho",$G66:$G75)</f>
        <v>6</v>
      </c>
      <c r="O31" s="35" t="str">
        <f>AVERAGEIF($A66:$A75,"Espalda",$G66:$G75)</f>
        <v>#DIV/0!</v>
      </c>
      <c r="P31" s="35" t="str">
        <f>AVERAGEIF($A66:$A75,"Hombros",$G66:$G75)</f>
        <v>#DIV/0!</v>
      </c>
      <c r="Q31" s="35">
        <f>AVERAGEIF($A66:$A75,"Bíceps",$G66:$G75)</f>
        <v>7</v>
      </c>
      <c r="R31" s="35" t="str">
        <f>AVERAGEIF($A66:$A75,"Tríceps",$G66:$G75)</f>
        <v>#DIV/0!</v>
      </c>
      <c r="S31" s="35" t="str">
        <f>AVERAGEIF($A66:$A75,"Cuádriceps",$G66:$G75)</f>
        <v>#DIV/0!</v>
      </c>
      <c r="T31" s="35">
        <f>AVERAGEIF($A66:$A75,"Isquios",$G66:$G75)</f>
        <v>6</v>
      </c>
      <c r="U31" s="35" t="str">
        <f>AVERAGEIF($A66:$A75,"Glúteos",$G66:$G75)</f>
        <v>#DIV/0!</v>
      </c>
      <c r="V31" s="35">
        <f>AVERAGEIF($A66:$A75,"Pantorrillas",$G66:$G75)</f>
        <v>7</v>
      </c>
      <c r="W31" s="35" t="str">
        <f>AVERAGEIF($A66:$A75,"Otros",$G66:$G75)</f>
        <v>#DIV/0!</v>
      </c>
    </row>
    <row r="32" ht="14.25" customHeight="1">
      <c r="A32" s="53" t="s">
        <v>26</v>
      </c>
      <c r="B32" s="138" t="s">
        <v>508</v>
      </c>
      <c r="C32" s="8"/>
      <c r="D32" s="9"/>
      <c r="E32" s="53">
        <v>3.0</v>
      </c>
      <c r="F32" s="53">
        <v>12.0</v>
      </c>
      <c r="G32" s="53"/>
      <c r="H32" s="53"/>
      <c r="I32" s="57"/>
      <c r="J32" s="59"/>
      <c r="M32" s="65"/>
      <c r="N32" s="25"/>
      <c r="O32" s="25"/>
      <c r="P32" s="25"/>
      <c r="Q32" s="25"/>
      <c r="R32" s="25"/>
      <c r="S32" s="25"/>
      <c r="T32" s="25"/>
      <c r="U32" s="25"/>
      <c r="V32" s="25"/>
      <c r="W32" s="25"/>
    </row>
    <row r="33" ht="14.25" customHeight="1">
      <c r="A33" s="53" t="s">
        <v>27</v>
      </c>
      <c r="B33" s="56" t="s">
        <v>56</v>
      </c>
      <c r="C33" s="8"/>
      <c r="D33" s="9"/>
      <c r="E33" s="53">
        <v>3.0</v>
      </c>
      <c r="F33" s="53">
        <v>12.0</v>
      </c>
      <c r="G33" s="53"/>
      <c r="H33" s="53"/>
      <c r="I33" s="55"/>
      <c r="J33" s="9"/>
    </row>
    <row r="34" ht="14.25" customHeight="1">
      <c r="B34" s="26"/>
      <c r="C34" s="29"/>
      <c r="D34" s="29"/>
    </row>
    <row r="35" ht="14.25" customHeight="1"/>
    <row r="36" ht="14.25" customHeight="1">
      <c r="A36" s="2" t="s">
        <v>810</v>
      </c>
      <c r="B36" s="3"/>
      <c r="C36" s="4"/>
      <c r="J36" s="1"/>
    </row>
    <row r="37" ht="14.25" customHeight="1">
      <c r="A37" s="5" t="s">
        <v>2</v>
      </c>
      <c r="B37" s="7" t="s">
        <v>4</v>
      </c>
      <c r="C37" s="8"/>
      <c r="D37" s="9"/>
      <c r="E37" s="5" t="s">
        <v>5</v>
      </c>
      <c r="F37" s="5" t="s">
        <v>6</v>
      </c>
      <c r="G37" s="5" t="s">
        <v>7</v>
      </c>
      <c r="H37" s="5" t="s">
        <v>8</v>
      </c>
      <c r="I37" s="7" t="s">
        <v>9</v>
      </c>
      <c r="J37" s="9"/>
    </row>
    <row r="38" ht="14.25" customHeight="1">
      <c r="A38" s="53" t="s">
        <v>12</v>
      </c>
      <c r="B38" s="54" t="s">
        <v>13</v>
      </c>
      <c r="C38" s="18"/>
      <c r="D38" s="20"/>
      <c r="E38" s="53">
        <v>2.0</v>
      </c>
      <c r="F38" s="53">
        <v>10.0</v>
      </c>
      <c r="G38" s="53"/>
      <c r="H38" s="53"/>
      <c r="I38" s="55"/>
      <c r="J38" s="9"/>
    </row>
    <row r="39" ht="14.25" customHeight="1">
      <c r="A39" s="53" t="s">
        <v>12</v>
      </c>
      <c r="B39" s="54" t="s">
        <v>804</v>
      </c>
      <c r="C39" s="18"/>
      <c r="D39" s="20"/>
      <c r="E39" s="53">
        <v>3.0</v>
      </c>
      <c r="F39" s="53">
        <v>12.0</v>
      </c>
      <c r="G39" s="53"/>
      <c r="H39" s="53"/>
      <c r="I39" s="55"/>
      <c r="J39" s="9"/>
    </row>
    <row r="40" ht="14.25" customHeight="1">
      <c r="A40" s="53" t="s">
        <v>12</v>
      </c>
      <c r="B40" s="54" t="s">
        <v>119</v>
      </c>
      <c r="C40" s="18"/>
      <c r="D40" s="20"/>
      <c r="E40" s="53">
        <v>3.0</v>
      </c>
      <c r="F40" s="53" t="s">
        <v>71</v>
      </c>
      <c r="G40" s="53"/>
      <c r="H40" s="53"/>
      <c r="I40" s="55"/>
      <c r="J40" s="9"/>
    </row>
    <row r="41" ht="14.25" customHeight="1">
      <c r="A41" s="49" t="s">
        <v>30</v>
      </c>
      <c r="B41" s="50" t="s">
        <v>812</v>
      </c>
      <c r="C41" s="18"/>
      <c r="D41" s="20"/>
      <c r="E41" s="49">
        <v>4.0</v>
      </c>
      <c r="F41" s="49"/>
      <c r="G41" s="49">
        <v>8.0</v>
      </c>
      <c r="H41" s="49" t="s">
        <v>55</v>
      </c>
      <c r="I41" s="51"/>
      <c r="J41" s="9"/>
    </row>
    <row r="42" ht="14.25" customHeight="1">
      <c r="A42" s="49" t="s">
        <v>30</v>
      </c>
      <c r="B42" s="50" t="s">
        <v>813</v>
      </c>
      <c r="C42" s="18"/>
      <c r="D42" s="20"/>
      <c r="E42" s="49">
        <v>3.0</v>
      </c>
      <c r="F42" s="49">
        <v>4.0</v>
      </c>
      <c r="G42" s="49">
        <v>8.0</v>
      </c>
      <c r="H42" s="49"/>
      <c r="I42" s="51"/>
      <c r="J42" s="9"/>
    </row>
    <row r="43" ht="14.25" customHeight="1">
      <c r="A43" s="53" t="s">
        <v>16</v>
      </c>
      <c r="B43" s="54" t="s">
        <v>815</v>
      </c>
      <c r="C43" s="18"/>
      <c r="D43" s="20"/>
      <c r="E43" s="53">
        <v>3.0</v>
      </c>
      <c r="F43" s="53">
        <v>4.0</v>
      </c>
      <c r="G43" s="53"/>
      <c r="H43" s="53"/>
      <c r="I43" s="55"/>
      <c r="J43" s="9"/>
    </row>
    <row r="44" ht="14.25" customHeight="1">
      <c r="A44" s="53" t="s">
        <v>113</v>
      </c>
      <c r="B44" s="54" t="s">
        <v>816</v>
      </c>
      <c r="C44" s="18"/>
      <c r="D44" s="20"/>
      <c r="E44" s="53">
        <v>4.0</v>
      </c>
      <c r="F44" s="53"/>
      <c r="G44" s="53"/>
      <c r="H44" s="53"/>
      <c r="I44" s="55"/>
      <c r="J44" s="9"/>
    </row>
    <row r="45" ht="14.25" customHeight="1">
      <c r="A45" s="49" t="s">
        <v>27</v>
      </c>
      <c r="B45" s="50" t="s">
        <v>818</v>
      </c>
      <c r="C45" s="18"/>
      <c r="D45" s="20"/>
      <c r="E45" s="49">
        <v>4.0</v>
      </c>
      <c r="F45" s="49">
        <v>15.0</v>
      </c>
      <c r="G45" s="49"/>
      <c r="H45" s="49"/>
      <c r="I45" s="51"/>
      <c r="J45" s="9"/>
    </row>
    <row r="46" ht="14.25" customHeight="1">
      <c r="A46" s="53" t="s">
        <v>32</v>
      </c>
      <c r="B46" s="54" t="s">
        <v>820</v>
      </c>
      <c r="C46" s="18"/>
      <c r="D46" s="20"/>
      <c r="E46" s="53">
        <v>4.0</v>
      </c>
      <c r="F46" s="53" t="s">
        <v>128</v>
      </c>
      <c r="G46" s="53"/>
      <c r="H46" s="53"/>
      <c r="I46" s="55"/>
      <c r="J46" s="9"/>
    </row>
    <row r="47" ht="14.25" customHeight="1">
      <c r="A47" s="53" t="s">
        <v>113</v>
      </c>
      <c r="B47" s="56" t="s">
        <v>821</v>
      </c>
      <c r="C47" s="8"/>
      <c r="D47" s="9"/>
      <c r="E47" s="53">
        <v>3.0</v>
      </c>
      <c r="F47" s="53"/>
      <c r="G47" s="53"/>
      <c r="H47" s="53"/>
      <c r="I47" s="55"/>
      <c r="J47" s="9"/>
    </row>
    <row r="48" ht="14.25" customHeight="1">
      <c r="B48" s="26"/>
      <c r="C48" s="29"/>
      <c r="D48" s="29"/>
    </row>
    <row r="49" ht="14.25" customHeight="1"/>
    <row r="50" ht="14.25" customHeight="1">
      <c r="A50" s="2" t="s">
        <v>66</v>
      </c>
      <c r="B50" s="3"/>
      <c r="C50" s="4"/>
      <c r="D50" s="82" t="s">
        <v>527</v>
      </c>
      <c r="J50" s="1"/>
    </row>
    <row r="51" ht="14.25" customHeight="1">
      <c r="A51" s="5" t="s">
        <v>2</v>
      </c>
      <c r="B51" s="7" t="s">
        <v>4</v>
      </c>
      <c r="C51" s="8"/>
      <c r="D51" s="9"/>
      <c r="E51" s="5" t="s">
        <v>5</v>
      </c>
      <c r="F51" s="5" t="s">
        <v>6</v>
      </c>
      <c r="G51" s="5" t="s">
        <v>7</v>
      </c>
      <c r="H51" s="5" t="s">
        <v>8</v>
      </c>
      <c r="I51" s="7" t="s">
        <v>9</v>
      </c>
      <c r="J51" s="9"/>
    </row>
    <row r="52" ht="14.25" customHeight="1">
      <c r="A52" s="68" t="s">
        <v>113</v>
      </c>
      <c r="B52" s="69" t="s">
        <v>134</v>
      </c>
      <c r="C52" s="18"/>
      <c r="D52" s="20"/>
      <c r="E52" s="68"/>
      <c r="F52" s="68"/>
      <c r="G52" s="68"/>
      <c r="H52" s="68"/>
      <c r="I52" s="71"/>
      <c r="J52" s="9"/>
    </row>
    <row r="53" ht="14.25" customHeight="1">
      <c r="A53" s="68" t="s">
        <v>113</v>
      </c>
      <c r="B53" s="69" t="s">
        <v>529</v>
      </c>
      <c r="C53" s="18"/>
      <c r="D53" s="20"/>
      <c r="E53" s="68"/>
      <c r="F53" s="68"/>
      <c r="G53" s="68"/>
      <c r="H53" s="68"/>
      <c r="I53" s="71"/>
      <c r="J53" s="9"/>
    </row>
    <row r="54" ht="14.25" customHeight="1">
      <c r="A54" s="68" t="s">
        <v>12</v>
      </c>
      <c r="B54" s="69" t="s">
        <v>530</v>
      </c>
      <c r="C54" s="18"/>
      <c r="D54" s="20"/>
      <c r="E54" s="68"/>
      <c r="F54" s="68">
        <v>10.0</v>
      </c>
      <c r="G54" s="68"/>
      <c r="H54" s="68"/>
      <c r="I54" s="71"/>
      <c r="J54" s="9"/>
    </row>
    <row r="55" ht="14.25" customHeight="1">
      <c r="A55" s="49" t="s">
        <v>113</v>
      </c>
      <c r="B55" s="50" t="s">
        <v>531</v>
      </c>
      <c r="C55" s="18"/>
      <c r="D55" s="20"/>
      <c r="E55" s="49">
        <v>4.0</v>
      </c>
      <c r="F55" s="49">
        <v>6.0</v>
      </c>
      <c r="G55" s="49">
        <v>7.0</v>
      </c>
      <c r="H55" s="49"/>
      <c r="I55" s="51"/>
      <c r="J55" s="9"/>
    </row>
    <row r="56" ht="14.25" customHeight="1">
      <c r="A56" s="49" t="s">
        <v>30</v>
      </c>
      <c r="B56" s="50" t="s">
        <v>532</v>
      </c>
      <c r="C56" s="18"/>
      <c r="D56" s="20"/>
      <c r="E56" s="49">
        <v>4.0</v>
      </c>
      <c r="F56" s="49" t="s">
        <v>71</v>
      </c>
      <c r="G56" s="49">
        <v>8.0</v>
      </c>
      <c r="H56" s="49"/>
      <c r="I56" s="51"/>
      <c r="J56" s="9"/>
    </row>
    <row r="57" ht="14.25" customHeight="1">
      <c r="A57" s="49" t="s">
        <v>30</v>
      </c>
      <c r="B57" s="50" t="s">
        <v>534</v>
      </c>
      <c r="C57" s="18"/>
      <c r="D57" s="20"/>
      <c r="E57" s="49">
        <v>3.0</v>
      </c>
      <c r="F57" s="49">
        <v>6.0</v>
      </c>
      <c r="G57" s="49">
        <v>6.0</v>
      </c>
      <c r="H57" s="49"/>
      <c r="I57" s="51"/>
      <c r="J57" s="9"/>
    </row>
    <row r="58" ht="14.25" customHeight="1">
      <c r="A58" s="68" t="s">
        <v>27</v>
      </c>
      <c r="B58" s="69" t="s">
        <v>535</v>
      </c>
      <c r="C58" s="18"/>
      <c r="D58" s="20"/>
      <c r="E58" s="68">
        <v>3.0</v>
      </c>
      <c r="F58" s="68">
        <v>10.0</v>
      </c>
      <c r="G58" s="68">
        <v>6.0</v>
      </c>
      <c r="H58" s="68"/>
      <c r="I58" s="71"/>
      <c r="J58" s="9"/>
    </row>
    <row r="59" ht="14.25" customHeight="1">
      <c r="A59" s="68" t="s">
        <v>30</v>
      </c>
      <c r="B59" s="69" t="s">
        <v>822</v>
      </c>
      <c r="C59" s="18"/>
      <c r="D59" s="20"/>
      <c r="E59" s="68">
        <v>3.0</v>
      </c>
      <c r="F59" s="68">
        <v>10.0</v>
      </c>
      <c r="G59" s="68">
        <v>6.0</v>
      </c>
      <c r="H59" s="68"/>
      <c r="I59" s="71"/>
      <c r="J59" s="9"/>
    </row>
    <row r="60" ht="14.25" customHeight="1">
      <c r="A60" s="49" t="s">
        <v>31</v>
      </c>
      <c r="B60" s="50" t="s">
        <v>539</v>
      </c>
      <c r="C60" s="18"/>
      <c r="D60" s="20"/>
      <c r="E60" s="49">
        <v>3.0</v>
      </c>
      <c r="F60" s="49">
        <v>10.0</v>
      </c>
      <c r="G60" s="49">
        <v>7.0</v>
      </c>
      <c r="H60" s="49"/>
      <c r="I60" s="51"/>
      <c r="J60" s="9"/>
    </row>
    <row r="61" ht="14.25" customHeight="1">
      <c r="A61" s="49" t="s">
        <v>33</v>
      </c>
      <c r="B61" s="66" t="s">
        <v>541</v>
      </c>
      <c r="C61" s="8"/>
      <c r="D61" s="9"/>
      <c r="E61" s="49">
        <v>3.0</v>
      </c>
      <c r="F61" s="49">
        <v>8.0</v>
      </c>
      <c r="G61" s="49">
        <v>7.0</v>
      </c>
      <c r="H61" s="49"/>
      <c r="I61" s="51"/>
      <c r="J61" s="9"/>
    </row>
    <row r="62" ht="14.25" customHeight="1">
      <c r="B62" s="26"/>
      <c r="C62" s="29"/>
      <c r="D62" s="29"/>
    </row>
    <row r="63" ht="14.25" customHeight="1"/>
    <row r="64" ht="14.25" customHeight="1">
      <c r="A64" s="2" t="s">
        <v>76</v>
      </c>
      <c r="B64" s="3"/>
      <c r="C64" s="4"/>
      <c r="D64" s="82" t="s">
        <v>161</v>
      </c>
      <c r="J64" s="1"/>
    </row>
    <row r="65" ht="14.25" customHeight="1">
      <c r="A65" s="5" t="s">
        <v>2</v>
      </c>
      <c r="B65" s="7" t="s">
        <v>4</v>
      </c>
      <c r="C65" s="8"/>
      <c r="D65" s="9"/>
      <c r="E65" s="5" t="s">
        <v>5</v>
      </c>
      <c r="F65" s="5" t="s">
        <v>6</v>
      </c>
      <c r="G65" s="5" t="s">
        <v>7</v>
      </c>
      <c r="H65" s="5" t="s">
        <v>8</v>
      </c>
      <c r="I65" s="7" t="s">
        <v>9</v>
      </c>
      <c r="J65" s="9"/>
    </row>
    <row r="66" ht="14.25" customHeight="1">
      <c r="A66" s="83" t="s">
        <v>113</v>
      </c>
      <c r="B66" s="85" t="s">
        <v>163</v>
      </c>
      <c r="C66" s="18"/>
      <c r="D66" s="20"/>
      <c r="E66" s="83"/>
      <c r="F66" s="83">
        <v>10.0</v>
      </c>
      <c r="G66" s="83"/>
      <c r="H66" s="83"/>
      <c r="I66" s="86"/>
      <c r="J66" s="9"/>
    </row>
    <row r="67" ht="14.25" customHeight="1">
      <c r="A67" s="83" t="s">
        <v>113</v>
      </c>
      <c r="B67" s="85" t="s">
        <v>166</v>
      </c>
      <c r="C67" s="18"/>
      <c r="D67" s="20"/>
      <c r="E67" s="83"/>
      <c r="F67" s="83"/>
      <c r="G67" s="83"/>
      <c r="H67" s="83"/>
      <c r="I67" s="86"/>
      <c r="J67" s="9"/>
    </row>
    <row r="68" ht="14.25" customHeight="1">
      <c r="A68" s="83" t="s">
        <v>113</v>
      </c>
      <c r="B68" s="85" t="s">
        <v>549</v>
      </c>
      <c r="C68" s="18"/>
      <c r="D68" s="20"/>
      <c r="E68" s="83"/>
      <c r="F68" s="83"/>
      <c r="G68" s="83"/>
      <c r="H68" s="83"/>
      <c r="I68" s="86"/>
      <c r="J68" s="9"/>
    </row>
    <row r="69" ht="14.25" customHeight="1">
      <c r="A69" s="49" t="s">
        <v>31</v>
      </c>
      <c r="B69" s="50" t="s">
        <v>173</v>
      </c>
      <c r="C69" s="18"/>
      <c r="D69" s="20"/>
      <c r="E69" s="49"/>
      <c r="F69" s="49">
        <v>8.0</v>
      </c>
      <c r="G69" s="49">
        <v>6.0</v>
      </c>
      <c r="H69" s="49"/>
      <c r="I69" s="51"/>
      <c r="J69" s="9"/>
    </row>
    <row r="70" ht="14.25" customHeight="1">
      <c r="A70" s="49" t="s">
        <v>31</v>
      </c>
      <c r="B70" s="50" t="s">
        <v>176</v>
      </c>
      <c r="C70" s="18"/>
      <c r="D70" s="20"/>
      <c r="E70" s="49"/>
      <c r="F70" s="49">
        <v>6.0</v>
      </c>
      <c r="G70" s="49">
        <v>6.0</v>
      </c>
      <c r="H70" s="49"/>
      <c r="I70" s="51"/>
      <c r="J70" s="9"/>
    </row>
    <row r="71" ht="14.25" customHeight="1">
      <c r="A71" s="68" t="s">
        <v>16</v>
      </c>
      <c r="B71" s="69" t="s">
        <v>179</v>
      </c>
      <c r="C71" s="18"/>
      <c r="D71" s="20"/>
      <c r="E71" s="68"/>
      <c r="F71" s="68">
        <v>10.0</v>
      </c>
      <c r="G71" s="68">
        <v>6.0</v>
      </c>
      <c r="H71" s="68"/>
      <c r="I71" s="71"/>
      <c r="J71" s="9"/>
    </row>
    <row r="72" ht="14.25" customHeight="1">
      <c r="A72" s="68" t="s">
        <v>16</v>
      </c>
      <c r="B72" s="69" t="s">
        <v>554</v>
      </c>
      <c r="C72" s="18"/>
      <c r="D72" s="20"/>
      <c r="E72" s="68"/>
      <c r="F72" s="68">
        <v>10.0</v>
      </c>
      <c r="G72" s="68">
        <v>6.0</v>
      </c>
      <c r="H72" s="68"/>
      <c r="I72" s="71"/>
      <c r="J72" s="9"/>
    </row>
    <row r="73" ht="14.25" customHeight="1">
      <c r="A73" s="49" t="s">
        <v>28</v>
      </c>
      <c r="B73" s="50" t="s">
        <v>182</v>
      </c>
      <c r="C73" s="18"/>
      <c r="D73" s="20"/>
      <c r="E73" s="49"/>
      <c r="F73" s="49">
        <v>10.0</v>
      </c>
      <c r="G73" s="49">
        <v>7.0</v>
      </c>
      <c r="H73" s="49"/>
      <c r="I73" s="51"/>
      <c r="J73" s="9"/>
    </row>
    <row r="74" ht="14.25" customHeight="1">
      <c r="A74" s="49" t="s">
        <v>33</v>
      </c>
      <c r="B74" s="50" t="s">
        <v>183</v>
      </c>
      <c r="C74" s="18"/>
      <c r="D74" s="20"/>
      <c r="E74" s="49"/>
      <c r="F74" s="49">
        <v>12.0</v>
      </c>
      <c r="G74" s="49">
        <v>7.0</v>
      </c>
      <c r="H74" s="49"/>
      <c r="I74" s="51"/>
      <c r="J74" s="9"/>
    </row>
    <row r="75" ht="14.25" customHeight="1">
      <c r="A75" s="49" t="s">
        <v>32</v>
      </c>
      <c r="B75" s="66" t="s">
        <v>185</v>
      </c>
      <c r="C75" s="8"/>
      <c r="D75" s="9"/>
      <c r="E75" s="49"/>
      <c r="F75" s="49" t="s">
        <v>178</v>
      </c>
      <c r="G75" s="49"/>
      <c r="H75" s="49"/>
      <c r="I75" s="51"/>
      <c r="J75" s="9"/>
    </row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7">
    <mergeCell ref="I27:J27"/>
    <mergeCell ref="I28:J28"/>
    <mergeCell ref="I11:J11"/>
    <mergeCell ref="I13:J13"/>
    <mergeCell ref="I22:J22"/>
    <mergeCell ref="I23:J23"/>
    <mergeCell ref="I24:J24"/>
    <mergeCell ref="I25:J25"/>
    <mergeCell ref="I26:J26"/>
    <mergeCell ref="A6:C6"/>
    <mergeCell ref="B7:D7"/>
    <mergeCell ref="I7:J7"/>
    <mergeCell ref="M7:W7"/>
    <mergeCell ref="Z7:AB7"/>
    <mergeCell ref="B8:D8"/>
    <mergeCell ref="B9:D9"/>
    <mergeCell ref="I12:J12"/>
    <mergeCell ref="M12:W12"/>
    <mergeCell ref="I8:J8"/>
    <mergeCell ref="I9:J9"/>
    <mergeCell ref="B10:D10"/>
    <mergeCell ref="I10:J10"/>
    <mergeCell ref="B11:D11"/>
    <mergeCell ref="B12:D12"/>
    <mergeCell ref="B13:D13"/>
    <mergeCell ref="I16:J16"/>
    <mergeCell ref="I18:J18"/>
    <mergeCell ref="M18:W18"/>
    <mergeCell ref="M23:W23"/>
    <mergeCell ref="B14:D14"/>
    <mergeCell ref="I14:J14"/>
    <mergeCell ref="B15:D15"/>
    <mergeCell ref="I15:J15"/>
    <mergeCell ref="B16:D16"/>
    <mergeCell ref="B17:D17"/>
    <mergeCell ref="B18:D18"/>
    <mergeCell ref="B27:D27"/>
    <mergeCell ref="B28:D28"/>
    <mergeCell ref="M28:W28"/>
    <mergeCell ref="I29:J29"/>
    <mergeCell ref="B19:D19"/>
    <mergeCell ref="A21:C21"/>
    <mergeCell ref="B22:D22"/>
    <mergeCell ref="B23:D23"/>
    <mergeCell ref="B24:D24"/>
    <mergeCell ref="B25:D25"/>
    <mergeCell ref="B26:D26"/>
    <mergeCell ref="B51:D51"/>
    <mergeCell ref="B52:D52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62:D62"/>
    <mergeCell ref="A64:C64"/>
    <mergeCell ref="B65:D65"/>
    <mergeCell ref="B73:D73"/>
    <mergeCell ref="B74:D74"/>
    <mergeCell ref="B75:D75"/>
    <mergeCell ref="B66:D66"/>
    <mergeCell ref="B67:D67"/>
    <mergeCell ref="B68:D68"/>
    <mergeCell ref="B69:D69"/>
    <mergeCell ref="B70:D70"/>
    <mergeCell ref="B71:D71"/>
    <mergeCell ref="B72:D72"/>
    <mergeCell ref="I71:J71"/>
    <mergeCell ref="I72:J72"/>
    <mergeCell ref="I73:J73"/>
    <mergeCell ref="I74:J74"/>
    <mergeCell ref="I75:J75"/>
    <mergeCell ref="I61:J61"/>
    <mergeCell ref="I65:J65"/>
    <mergeCell ref="I66:J66"/>
    <mergeCell ref="I67:J67"/>
    <mergeCell ref="I68:J68"/>
    <mergeCell ref="I69:J69"/>
    <mergeCell ref="I70:J70"/>
    <mergeCell ref="B29:D29"/>
    <mergeCell ref="B30:D30"/>
    <mergeCell ref="I30:J30"/>
    <mergeCell ref="B31:D31"/>
    <mergeCell ref="I31:J31"/>
    <mergeCell ref="B32:D32"/>
    <mergeCell ref="I33:J33"/>
    <mergeCell ref="I38:J38"/>
    <mergeCell ref="I39:J39"/>
    <mergeCell ref="B33:D33"/>
    <mergeCell ref="B34:D34"/>
    <mergeCell ref="A36:C36"/>
    <mergeCell ref="B37:D37"/>
    <mergeCell ref="I37:J37"/>
    <mergeCell ref="B38:D38"/>
    <mergeCell ref="B39:D39"/>
    <mergeCell ref="B40:D40"/>
    <mergeCell ref="I40:J40"/>
    <mergeCell ref="B41:D41"/>
    <mergeCell ref="I41:J41"/>
    <mergeCell ref="B42:D42"/>
    <mergeCell ref="I42:J42"/>
    <mergeCell ref="I43:J43"/>
    <mergeCell ref="B43:D43"/>
    <mergeCell ref="B44:D44"/>
    <mergeCell ref="B45:D45"/>
    <mergeCell ref="B46:D46"/>
    <mergeCell ref="B47:D47"/>
    <mergeCell ref="B48:D48"/>
    <mergeCell ref="A50:C50"/>
    <mergeCell ref="I44:J44"/>
    <mergeCell ref="I45:J45"/>
    <mergeCell ref="I46:J46"/>
    <mergeCell ref="I47:J47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60:J60"/>
  </mergeCells>
  <dataValidations>
    <dataValidation type="list" allowBlank="1" showErrorMessage="1" sqref="A8:A18 A23:A33 A38:A47 A52:A61 A66:A75">
      <formula1>Datos!$D$2:$D$11</formula1>
    </dataValidation>
    <dataValidation type="list" allowBlank="1" showErrorMessage="1" sqref="J5">
      <formula1>Datos!$B$2:$B$12</formula1>
    </dataValidation>
    <dataValidation type="list" allowBlank="1" showErrorMessage="1" sqref="J6 J21 J36 J50 J64">
      <formula1>Datos!$D$2:$D$14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10.71"/>
    <col customWidth="1" min="24" max="24" width="7.86"/>
    <col customWidth="1" min="25" max="25" width="15.43"/>
    <col customWidth="1" min="26" max="28" width="10.71"/>
  </cols>
  <sheetData>
    <row r="1" ht="14.25" customHeight="1"/>
    <row r="2" ht="14.25" customHeight="1"/>
    <row r="3" ht="14.25" customHeight="1"/>
    <row r="4" ht="14.25" customHeight="1"/>
    <row r="5" ht="14.25" customHeight="1">
      <c r="J5" s="1"/>
    </row>
    <row r="6" ht="14.25" customHeight="1">
      <c r="A6" s="2" t="s">
        <v>1</v>
      </c>
      <c r="B6" s="3"/>
      <c r="C6" s="4"/>
      <c r="J6" s="1"/>
    </row>
    <row r="7" ht="14.25" customHeight="1">
      <c r="A7" s="5" t="s">
        <v>2</v>
      </c>
      <c r="B7" s="7" t="s">
        <v>4</v>
      </c>
      <c r="C7" s="8"/>
      <c r="D7" s="9"/>
      <c r="E7" s="5" t="s">
        <v>5</v>
      </c>
      <c r="F7" s="5" t="s">
        <v>6</v>
      </c>
      <c r="G7" s="5" t="s">
        <v>7</v>
      </c>
      <c r="H7" s="5" t="s">
        <v>8</v>
      </c>
      <c r="I7" s="7" t="s">
        <v>9</v>
      </c>
      <c r="J7" s="9"/>
      <c r="M7" s="11" t="s">
        <v>0</v>
      </c>
      <c r="N7" s="12"/>
      <c r="O7" s="12"/>
      <c r="P7" s="12"/>
      <c r="Q7" s="12"/>
      <c r="R7" s="12"/>
      <c r="S7" s="12"/>
      <c r="T7" s="12"/>
      <c r="U7" s="12"/>
      <c r="V7" s="12"/>
      <c r="W7" s="13"/>
      <c r="Y7" s="1"/>
      <c r="Z7" s="14" t="s">
        <v>10</v>
      </c>
      <c r="AA7" s="12"/>
      <c r="AB7" s="13"/>
    </row>
    <row r="8" ht="14.25" customHeight="1">
      <c r="A8" s="184" t="s">
        <v>12</v>
      </c>
      <c r="B8" s="185" t="s">
        <v>13</v>
      </c>
      <c r="C8" s="18"/>
      <c r="D8" s="20"/>
      <c r="E8" s="184">
        <v>2.0</v>
      </c>
      <c r="F8" s="184">
        <v>10.0</v>
      </c>
      <c r="G8" s="184"/>
      <c r="H8" s="184"/>
      <c r="I8" s="186" t="s">
        <v>15</v>
      </c>
      <c r="J8" s="9"/>
      <c r="M8" s="25"/>
      <c r="N8" s="28" t="s">
        <v>16</v>
      </c>
      <c r="O8" s="28" t="s">
        <v>26</v>
      </c>
      <c r="P8" s="28" t="s">
        <v>27</v>
      </c>
      <c r="Q8" s="28" t="s">
        <v>28</v>
      </c>
      <c r="R8" s="28" t="s">
        <v>29</v>
      </c>
      <c r="S8" s="28" t="s">
        <v>30</v>
      </c>
      <c r="T8" s="28" t="s">
        <v>31</v>
      </c>
      <c r="U8" s="28" t="s">
        <v>32</v>
      </c>
      <c r="V8" s="28" t="s">
        <v>33</v>
      </c>
      <c r="W8" s="28" t="s">
        <v>12</v>
      </c>
      <c r="Z8" s="28" t="s">
        <v>16</v>
      </c>
      <c r="AA8" s="1">
        <f>SUM(N9,N14,N20,N25,N30)</f>
        <v>15</v>
      </c>
    </row>
    <row r="9" ht="14.25" customHeight="1">
      <c r="A9" s="53" t="s">
        <v>12</v>
      </c>
      <c r="B9" s="54" t="s">
        <v>37</v>
      </c>
      <c r="C9" s="18"/>
      <c r="D9" s="20"/>
      <c r="E9" s="53">
        <v>3.0</v>
      </c>
      <c r="F9" s="53">
        <v>12.0</v>
      </c>
      <c r="G9" s="53"/>
      <c r="H9" s="53"/>
      <c r="I9" s="55"/>
      <c r="J9" s="9"/>
      <c r="M9" s="34" t="s">
        <v>36</v>
      </c>
      <c r="N9" s="37">
        <f>SUMIF(A8:A18,"Pecho",E8:E18)</f>
        <v>11</v>
      </c>
      <c r="O9" s="37">
        <f>SUMIF(A8:A18,"Espalda",E8:E18)</f>
        <v>0</v>
      </c>
      <c r="P9" s="37">
        <f>SUMIF($A8:$A18,"Hombros",$E8:$E18)</f>
        <v>6</v>
      </c>
      <c r="Q9" s="37">
        <f>SUMIF($A8:$A18,"Bíceps",$E8:$E18)</f>
        <v>3</v>
      </c>
      <c r="R9" s="37">
        <f>SUMIF($A8:$A18,"Tríceps",$E8:$E18)</f>
        <v>4</v>
      </c>
      <c r="S9" s="38">
        <f>SUMIF(A8:A18,"Cuádriceps",E8:E18)</f>
        <v>0</v>
      </c>
      <c r="T9" s="37">
        <f>SUMIF($A8:$A18,"Isquios",$E8:$E18)</f>
        <v>0</v>
      </c>
      <c r="U9" s="37">
        <f>SUMIF($A8:$A18,"Glúteos",$E8:$E18)</f>
        <v>0</v>
      </c>
      <c r="V9" s="37">
        <f>SUMIF($A8:$A18,"Pantorrillas",$E8:$E18)</f>
        <v>0</v>
      </c>
      <c r="W9" s="37">
        <f>SUMIF($A8:$A18,"Otros",$E8:$E18)</f>
        <v>8</v>
      </c>
      <c r="Z9" s="28" t="s">
        <v>26</v>
      </c>
      <c r="AA9" s="1">
        <f>SUM(O9,O14,O20,O25,O30)</f>
        <v>11</v>
      </c>
    </row>
    <row r="10" ht="14.25" customHeight="1">
      <c r="A10" s="53" t="s">
        <v>12</v>
      </c>
      <c r="B10" s="54" t="s">
        <v>44</v>
      </c>
      <c r="C10" s="18"/>
      <c r="D10" s="20"/>
      <c r="E10" s="53">
        <v>3.0</v>
      </c>
      <c r="F10" s="53">
        <v>10.0</v>
      </c>
      <c r="G10" s="53"/>
      <c r="H10" s="53"/>
      <c r="I10" s="55"/>
      <c r="J10" s="9"/>
      <c r="M10" s="34" t="s">
        <v>7</v>
      </c>
      <c r="N10" s="35">
        <f>AVERAGEIF($A8:$A18,"Pecho",$G8:$G18)</f>
        <v>8</v>
      </c>
      <c r="O10" s="35" t="str">
        <f>AVERAGEIF($A8:$A18,"Espalda",$G8:$G18)</f>
        <v>#DIV/0!</v>
      </c>
      <c r="P10" s="35">
        <f>AVERAGEIF($A8:$A18,"Hombros",$G8:$G18)</f>
        <v>8</v>
      </c>
      <c r="Q10" s="35" t="str">
        <f>AVERAGEIF($A8:$A18,"Bíceps",$G8:$G18)</f>
        <v>#DIV/0!</v>
      </c>
      <c r="R10" s="35" t="str">
        <f>AVERAGEIF($A8:$A18,"Tríceps",$G8:$G18)</f>
        <v>#DIV/0!</v>
      </c>
      <c r="S10" s="35" t="str">
        <f>AVERAGEIF($A8:$A18,"Cuádriceps",$G8:$G18)</f>
        <v>#DIV/0!</v>
      </c>
      <c r="T10" s="35" t="str">
        <f>AVERAGEIF($A8:$A18,"Isquios",$G8:$G18)</f>
        <v>#DIV/0!</v>
      </c>
      <c r="U10" s="35" t="str">
        <f>AVERAGEIF($A8:$A18,"Glúteos",$G8:$G18)</f>
        <v>#DIV/0!</v>
      </c>
      <c r="V10" s="35" t="str">
        <f>AVERAGEIF($A8:$A18,"Pantorrillas",$G8:$G18)</f>
        <v>#DIV/0!</v>
      </c>
      <c r="W10" s="35" t="str">
        <f>AVERAGEIF($A8:$A18,"Otros",$G8:$G18)</f>
        <v>#DIV/0!</v>
      </c>
      <c r="Z10" s="28" t="s">
        <v>27</v>
      </c>
      <c r="AA10" s="1">
        <f>SUM(P9,P14,P20,P25,P30)</f>
        <v>6</v>
      </c>
    </row>
    <row r="11" ht="14.25" customHeight="1">
      <c r="A11" s="201" t="s">
        <v>16</v>
      </c>
      <c r="B11" s="202" t="s">
        <v>52</v>
      </c>
      <c r="C11" s="18"/>
      <c r="D11" s="20"/>
      <c r="E11" s="201">
        <v>4.0</v>
      </c>
      <c r="F11" s="201">
        <v>8.0</v>
      </c>
      <c r="G11" s="201">
        <v>8.0</v>
      </c>
      <c r="H11" s="201" t="s">
        <v>55</v>
      </c>
      <c r="I11" s="203"/>
      <c r="J11" s="9"/>
      <c r="M11" s="25"/>
      <c r="N11" s="25"/>
      <c r="O11" s="25"/>
      <c r="P11" s="25"/>
      <c r="Q11" s="25"/>
      <c r="R11" s="25"/>
      <c r="S11" s="25"/>
      <c r="T11" s="25"/>
      <c r="U11" s="25"/>
      <c r="Z11" s="28" t="s">
        <v>28</v>
      </c>
      <c r="AA11" s="1">
        <f>SUM(Q9,Q14,Q20,Q25,Q30)</f>
        <v>6</v>
      </c>
    </row>
    <row r="12" ht="14.25" customHeight="1">
      <c r="A12" s="201" t="s">
        <v>16</v>
      </c>
      <c r="B12" s="202" t="s">
        <v>755</v>
      </c>
      <c r="C12" s="18"/>
      <c r="D12" s="20"/>
      <c r="E12" s="201">
        <v>4.0</v>
      </c>
      <c r="F12" s="201">
        <v>6.0</v>
      </c>
      <c r="G12" s="201">
        <v>8.0</v>
      </c>
      <c r="H12" s="201"/>
      <c r="I12" s="203" t="s">
        <v>58</v>
      </c>
      <c r="J12" s="9"/>
      <c r="M12" s="11" t="s">
        <v>45</v>
      </c>
      <c r="N12" s="12"/>
      <c r="O12" s="12"/>
      <c r="P12" s="12"/>
      <c r="Q12" s="12"/>
      <c r="R12" s="12"/>
      <c r="S12" s="12"/>
      <c r="T12" s="12"/>
      <c r="U12" s="12"/>
      <c r="V12" s="12"/>
      <c r="W12" s="13"/>
      <c r="Z12" s="28" t="s">
        <v>29</v>
      </c>
      <c r="AA12" s="1">
        <f>SUM(R9,R14,R20,R25,R30)</f>
        <v>4</v>
      </c>
    </row>
    <row r="13" ht="14.25" customHeight="1">
      <c r="A13" s="53" t="s">
        <v>29</v>
      </c>
      <c r="B13" s="54" t="s">
        <v>756</v>
      </c>
      <c r="C13" s="18"/>
      <c r="D13" s="20"/>
      <c r="E13" s="53">
        <v>4.0</v>
      </c>
      <c r="F13" s="53">
        <v>10.0</v>
      </c>
      <c r="G13" s="53"/>
      <c r="H13" s="53"/>
      <c r="I13" s="55"/>
      <c r="J13" s="9"/>
      <c r="M13" s="25"/>
      <c r="N13" s="28" t="s">
        <v>16</v>
      </c>
      <c r="O13" s="28" t="s">
        <v>26</v>
      </c>
      <c r="P13" s="28" t="s">
        <v>27</v>
      </c>
      <c r="Q13" s="28" t="s">
        <v>28</v>
      </c>
      <c r="R13" s="28" t="s">
        <v>29</v>
      </c>
      <c r="S13" s="28" t="s">
        <v>30</v>
      </c>
      <c r="T13" s="28" t="s">
        <v>31</v>
      </c>
      <c r="U13" s="28" t="s">
        <v>32</v>
      </c>
      <c r="V13" s="28" t="s">
        <v>33</v>
      </c>
      <c r="W13" s="28" t="s">
        <v>12</v>
      </c>
      <c r="Z13" s="28" t="s">
        <v>30</v>
      </c>
      <c r="AA13" s="1">
        <f>SUM(S9,S14,S20,S25,S30)</f>
        <v>13</v>
      </c>
    </row>
    <row r="14" ht="14.25" customHeight="1">
      <c r="A14" s="49" t="s">
        <v>27</v>
      </c>
      <c r="B14" s="50" t="s">
        <v>676</v>
      </c>
      <c r="C14" s="18"/>
      <c r="D14" s="20"/>
      <c r="E14" s="49">
        <v>3.0</v>
      </c>
      <c r="F14" s="49" t="s">
        <v>108</v>
      </c>
      <c r="G14" s="49">
        <v>8.0</v>
      </c>
      <c r="H14" s="49"/>
      <c r="I14" s="51"/>
      <c r="J14" s="9"/>
      <c r="M14" s="34" t="s">
        <v>36</v>
      </c>
      <c r="N14" s="35">
        <f>SUMIF($A23:$A33,"Pecho",$E23:$E33)</f>
        <v>0</v>
      </c>
      <c r="O14" s="35">
        <f>SUMIF($A23:$A33,"Espalda",$E23:$E33)</f>
        <v>0</v>
      </c>
      <c r="P14" s="35">
        <f>SUMIF($A23:$A33,"Hombros",$E23:$E33)</f>
        <v>0</v>
      </c>
      <c r="Q14" s="35">
        <f>SUMIF($A23:$A33,"Bíceps",$E23:$E33)</f>
        <v>0</v>
      </c>
      <c r="R14" s="35">
        <f>SUMIF($A23:$A33,"Tríceps",$E23:$E33)</f>
        <v>0</v>
      </c>
      <c r="S14" s="35">
        <f>SUMIF($A23:$A33,"Cuádriceps",$E23:$E33)</f>
        <v>7</v>
      </c>
      <c r="T14" s="35">
        <f>SUMIF($A23:$A33,"Isquios",$E23:$E33)</f>
        <v>0</v>
      </c>
      <c r="U14" s="35">
        <f>SUMIF($A23:$A33,"Glúteos",$E23:$E33)</f>
        <v>7</v>
      </c>
      <c r="V14" s="35">
        <f>SUMIF($A23:$A33,"Pantorrillas",$E23:$E33)</f>
        <v>6</v>
      </c>
      <c r="W14" s="35">
        <f>SUMIF($A23:$A33,"Otros",$E23:$E33)</f>
        <v>15</v>
      </c>
      <c r="Z14" s="28" t="s">
        <v>31</v>
      </c>
      <c r="AA14" s="1">
        <f>SUM(T9,T14,T20,T25,T30)</f>
        <v>7</v>
      </c>
    </row>
    <row r="15" ht="14.25" customHeight="1">
      <c r="A15" s="49" t="s">
        <v>27</v>
      </c>
      <c r="B15" s="50" t="s">
        <v>536</v>
      </c>
      <c r="C15" s="18"/>
      <c r="D15" s="20"/>
      <c r="E15" s="49">
        <v>3.0</v>
      </c>
      <c r="F15" s="49">
        <v>6.0</v>
      </c>
      <c r="G15" s="49">
        <v>8.0</v>
      </c>
      <c r="H15" s="49"/>
      <c r="I15" s="51" t="s">
        <v>72</v>
      </c>
      <c r="J15" s="9"/>
      <c r="M15" s="34" t="s">
        <v>7</v>
      </c>
      <c r="N15" s="35" t="str">
        <f>AVERAGEIF($A23:$A33,"Pecho",$G23:$G33)</f>
        <v>#DIV/0!</v>
      </c>
      <c r="O15" s="35" t="str">
        <f>AVERAGEIF($A23:$A33,"Espalda",$G23:$G33)</f>
        <v>#DIV/0!</v>
      </c>
      <c r="P15" s="35" t="str">
        <f>AVERAGEIF($A23:$A33,"Hombros",$G23:$G33)</f>
        <v>#DIV/0!</v>
      </c>
      <c r="Q15" s="35" t="str">
        <f>AVERAGEIF($A23:$A33,"Bíceps",$G23:$G33)</f>
        <v>#DIV/0!</v>
      </c>
      <c r="R15" s="35" t="str">
        <f>AVERAGEIF($A23:$A33,"Tríceps",$G23:$G33)</f>
        <v>#DIV/0!</v>
      </c>
      <c r="S15" s="35">
        <f>AVERAGEIF($A23:$A33,"Cuádriceps",$G23:$G33)</f>
        <v>8</v>
      </c>
      <c r="T15" s="35" t="str">
        <f>AVERAGEIF($A23:$A33,"Isquios",$G23:$G33)</f>
        <v>#DIV/0!</v>
      </c>
      <c r="U15" s="35" t="str">
        <f>AVERAGEIF($A23:$A33,"Glúteos",$G23:$G33)</f>
        <v>#DIV/0!</v>
      </c>
      <c r="V15" s="35" t="str">
        <f>AVERAGEIF($A23:$A33,"Pantorrillas",$G23:$G33)</f>
        <v>#DIV/0!</v>
      </c>
      <c r="W15" s="35" t="str">
        <f>AVERAGEIF($A23:$A33,"Otros",$G23:$G33)</f>
        <v>#DIV/0!</v>
      </c>
      <c r="Z15" s="28" t="s">
        <v>32</v>
      </c>
      <c r="AA15" s="1">
        <f>SUM(U9,U14,U20,U25,U30)</f>
        <v>10</v>
      </c>
    </row>
    <row r="16" ht="14.25" customHeight="1">
      <c r="A16" s="53" t="s">
        <v>16</v>
      </c>
      <c r="B16" s="54" t="s">
        <v>762</v>
      </c>
      <c r="C16" s="18"/>
      <c r="D16" s="20"/>
      <c r="E16" s="53">
        <v>3.0</v>
      </c>
      <c r="F16" s="130" t="s">
        <v>686</v>
      </c>
      <c r="G16" s="53">
        <v>8.0</v>
      </c>
      <c r="H16" s="53"/>
      <c r="I16" s="55" t="s">
        <v>81</v>
      </c>
      <c r="J16" s="9"/>
      <c r="M16" s="25"/>
      <c r="N16" s="25"/>
      <c r="O16" s="25"/>
      <c r="P16" s="25"/>
      <c r="Q16" s="25"/>
      <c r="R16" s="25"/>
      <c r="S16" s="25"/>
      <c r="T16" s="25"/>
      <c r="U16" s="25"/>
      <c r="Z16" s="28" t="s">
        <v>33</v>
      </c>
      <c r="AA16" s="1">
        <f>SUM(V9,V14,V20,V25,V30)</f>
        <v>9</v>
      </c>
    </row>
    <row r="17" ht="14.25" customHeight="1">
      <c r="A17" s="53" t="s">
        <v>28</v>
      </c>
      <c r="B17" s="56" t="s">
        <v>83</v>
      </c>
      <c r="C17" s="8"/>
      <c r="D17" s="9"/>
      <c r="E17" s="53">
        <v>3.0</v>
      </c>
      <c r="F17" s="53"/>
      <c r="G17" s="53" t="s">
        <v>218</v>
      </c>
      <c r="H17" s="53"/>
      <c r="I17" s="57"/>
      <c r="J17" s="59"/>
      <c r="M17" s="25"/>
      <c r="N17" s="25"/>
      <c r="O17" s="25"/>
      <c r="P17" s="25"/>
      <c r="Q17" s="25"/>
      <c r="R17" s="25"/>
      <c r="S17" s="25"/>
      <c r="T17" s="25"/>
      <c r="U17" s="25"/>
      <c r="Z17" s="28"/>
      <c r="AA17" s="1"/>
    </row>
    <row r="18" ht="14.25" customHeight="1">
      <c r="A18" s="53"/>
      <c r="B18" s="54"/>
      <c r="C18" s="18"/>
      <c r="D18" s="20"/>
      <c r="E18" s="53"/>
      <c r="F18" s="53"/>
      <c r="G18" s="53"/>
      <c r="H18" s="53"/>
      <c r="I18" s="55"/>
      <c r="J18" s="9"/>
      <c r="M18" s="11" t="s">
        <v>57</v>
      </c>
      <c r="N18" s="12"/>
      <c r="O18" s="12"/>
      <c r="P18" s="12"/>
      <c r="Q18" s="12"/>
      <c r="R18" s="12"/>
      <c r="S18" s="12"/>
      <c r="T18" s="12"/>
      <c r="U18" s="12"/>
      <c r="V18" s="12"/>
      <c r="W18" s="13"/>
      <c r="Z18" s="28" t="s">
        <v>12</v>
      </c>
      <c r="AA18" s="1">
        <f>SUM(W9,W14,W20,W25,W30)</f>
        <v>40</v>
      </c>
    </row>
    <row r="19" ht="14.25" customHeight="1">
      <c r="B19" s="26"/>
      <c r="C19" s="29"/>
      <c r="D19" s="29"/>
      <c r="M19" s="25"/>
      <c r="N19" s="28" t="s">
        <v>16</v>
      </c>
      <c r="O19" s="28" t="s">
        <v>26</v>
      </c>
      <c r="P19" s="28" t="s">
        <v>27</v>
      </c>
      <c r="Q19" s="28" t="s">
        <v>28</v>
      </c>
      <c r="R19" s="28" t="s">
        <v>29</v>
      </c>
      <c r="S19" s="28" t="s">
        <v>30</v>
      </c>
      <c r="T19" s="28" t="s">
        <v>31</v>
      </c>
      <c r="U19" s="28" t="s">
        <v>32</v>
      </c>
      <c r="V19" s="28" t="s">
        <v>33</v>
      </c>
      <c r="W19" s="28" t="s">
        <v>12</v>
      </c>
    </row>
    <row r="20" ht="14.25" customHeight="1">
      <c r="M20" s="34" t="s">
        <v>36</v>
      </c>
      <c r="N20" s="35">
        <f>SUMIF($A38:$A47,"Pecho",$E38:$E47)</f>
        <v>0</v>
      </c>
      <c r="O20" s="35">
        <f>SUMIF($A38:$A47,"Espalda",$E38:$E47)</f>
        <v>7</v>
      </c>
      <c r="P20" s="35">
        <f>SUMIF($A38:$A47,"Hombros",$E38:$E47)</f>
        <v>0</v>
      </c>
      <c r="Q20" s="35">
        <f>SUMIF($A38:$A47,"Bíceps",$E38:$E47)</f>
        <v>0</v>
      </c>
      <c r="R20" s="35">
        <f>SUMIF($A38:$A47,"Tríceps",$E38:$E47)</f>
        <v>0</v>
      </c>
      <c r="S20" s="35">
        <f>SUMIF($A38:$A47,"Cuádriceps",$E38:$E47)</f>
        <v>3</v>
      </c>
      <c r="T20" s="35">
        <f>SUMIF($A38:$A47,"Isquios",$E38:$E47)</f>
        <v>4</v>
      </c>
      <c r="U20" s="35">
        <f>SUMIF($A38:$A47,"Glúteos",$E38:$E47)</f>
        <v>3</v>
      </c>
      <c r="V20" s="35">
        <f>SUMIF($A38:$A47,"Pantorrillas",$E38:$E47)</f>
        <v>0</v>
      </c>
      <c r="W20" s="35">
        <f>SUMIF($A38:$A47,"Otros",$E38:$E47)</f>
        <v>14</v>
      </c>
    </row>
    <row r="21" ht="14.25" customHeight="1">
      <c r="A21" s="2" t="s">
        <v>97</v>
      </c>
      <c r="B21" s="3"/>
      <c r="C21" s="4"/>
      <c r="J21" s="1"/>
      <c r="M21" s="34" t="s">
        <v>7</v>
      </c>
      <c r="N21" s="35" t="str">
        <f>AVERAGEIF($A38:$A47,"Pecho",$G38:$G47)</f>
        <v>#DIV/0!</v>
      </c>
      <c r="O21" s="35">
        <f>AVERAGEIF($A38:$A47,"Espalda",$G38:$G47)</f>
        <v>8</v>
      </c>
      <c r="P21" s="35" t="str">
        <f>AVERAGEIF($A38:$A47,"Hombros",$G38:$G47)</f>
        <v>#DIV/0!</v>
      </c>
      <c r="Q21" s="35" t="str">
        <f>AVERAGEIF($A38:$A47,"Bíceps",$G38:$G47)</f>
        <v>#DIV/0!</v>
      </c>
      <c r="R21" s="35" t="str">
        <f>AVERAGEIF($A38:$A47,"Tríceps",$G38:$G47)</f>
        <v>#DIV/0!</v>
      </c>
      <c r="S21" s="35" t="str">
        <f>AVERAGEIF($A38:$A47,"Cuádriceps",$G38:$G47)</f>
        <v>#DIV/0!</v>
      </c>
      <c r="T21" s="35">
        <f>AVERAGEIF($A38:$A47,"Isquios",$G38:$G47)</f>
        <v>8</v>
      </c>
      <c r="U21" s="35" t="str">
        <f>AVERAGEIF($A38:$A47,"Glúteos",$G38:$G47)</f>
        <v>#DIV/0!</v>
      </c>
      <c r="V21" s="35" t="str">
        <f>AVERAGEIF($A38:$A47,"Pantorrillas",$G38:$G47)</f>
        <v>#DIV/0!</v>
      </c>
      <c r="W21" s="35" t="str">
        <f>AVERAGEIF($A38:$A47,"Otros",$G38:$G47)</f>
        <v>#DIV/0!</v>
      </c>
    </row>
    <row r="22" ht="14.25" customHeight="1">
      <c r="A22" s="5" t="s">
        <v>2</v>
      </c>
      <c r="B22" s="7" t="s">
        <v>4</v>
      </c>
      <c r="C22" s="8"/>
      <c r="D22" s="9"/>
      <c r="E22" s="5" t="s">
        <v>5</v>
      </c>
      <c r="F22" s="5" t="s">
        <v>6</v>
      </c>
      <c r="G22" s="5" t="s">
        <v>7</v>
      </c>
      <c r="H22" s="5" t="s">
        <v>8</v>
      </c>
      <c r="I22" s="7" t="s">
        <v>9</v>
      </c>
      <c r="J22" s="9"/>
      <c r="M22" s="25"/>
      <c r="N22" s="25"/>
      <c r="O22" s="25"/>
      <c r="P22" s="25"/>
      <c r="Q22" s="25"/>
      <c r="R22" s="25"/>
      <c r="S22" s="25"/>
      <c r="T22" s="25"/>
      <c r="U22" s="25"/>
    </row>
    <row r="23" ht="14.25" customHeight="1">
      <c r="A23" s="53" t="s">
        <v>12</v>
      </c>
      <c r="B23" s="54" t="s">
        <v>99</v>
      </c>
      <c r="C23" s="18"/>
      <c r="D23" s="20"/>
      <c r="E23" s="53">
        <v>2.0</v>
      </c>
      <c r="F23" s="53">
        <v>10.0</v>
      </c>
      <c r="G23" s="53"/>
      <c r="H23" s="53"/>
      <c r="I23" s="55"/>
      <c r="J23" s="9"/>
      <c r="M23" s="11" t="s">
        <v>66</v>
      </c>
      <c r="N23" s="12"/>
      <c r="O23" s="12"/>
      <c r="P23" s="12"/>
      <c r="Q23" s="12"/>
      <c r="R23" s="12"/>
      <c r="S23" s="12"/>
      <c r="T23" s="12"/>
      <c r="U23" s="12"/>
      <c r="V23" s="12"/>
      <c r="W23" s="13"/>
    </row>
    <row r="24" ht="14.25" customHeight="1">
      <c r="A24" s="53" t="s">
        <v>12</v>
      </c>
      <c r="B24" s="54" t="s">
        <v>100</v>
      </c>
      <c r="C24" s="18"/>
      <c r="D24" s="20"/>
      <c r="E24" s="53">
        <v>2.0</v>
      </c>
      <c r="F24" s="53">
        <v>12.0</v>
      </c>
      <c r="G24" s="53"/>
      <c r="H24" s="53"/>
      <c r="I24" s="55"/>
      <c r="J24" s="9"/>
      <c r="M24" s="25"/>
      <c r="N24" s="28" t="s">
        <v>16</v>
      </c>
      <c r="O24" s="28" t="s">
        <v>26</v>
      </c>
      <c r="P24" s="28" t="s">
        <v>27</v>
      </c>
      <c r="Q24" s="28" t="s">
        <v>28</v>
      </c>
      <c r="R24" s="28" t="s">
        <v>29</v>
      </c>
      <c r="S24" s="28" t="s">
        <v>30</v>
      </c>
      <c r="T24" s="28" t="s">
        <v>31</v>
      </c>
      <c r="U24" s="28" t="s">
        <v>32</v>
      </c>
      <c r="V24" s="28" t="s">
        <v>33</v>
      </c>
      <c r="W24" s="28" t="s">
        <v>12</v>
      </c>
    </row>
    <row r="25" ht="14.25" customHeight="1">
      <c r="A25" s="53" t="s">
        <v>12</v>
      </c>
      <c r="B25" s="54" t="s">
        <v>101</v>
      </c>
      <c r="C25" s="18"/>
      <c r="D25" s="20"/>
      <c r="E25" s="53">
        <v>3.0</v>
      </c>
      <c r="F25" s="53">
        <v>10.0</v>
      </c>
      <c r="G25" s="53"/>
      <c r="H25" s="53"/>
      <c r="I25" s="55"/>
      <c r="J25" s="9"/>
      <c r="M25" s="34" t="s">
        <v>36</v>
      </c>
      <c r="N25" s="35">
        <f>SUMIF($A52:$A61,"Pecho",$E52:$E61)</f>
        <v>4</v>
      </c>
      <c r="O25" s="35">
        <f>SUMIF($A52:$A61,"Espalda",$E52:$E61)</f>
        <v>4</v>
      </c>
      <c r="P25" s="35">
        <f>SUMIF($A52:$A61,"Hombros",$E52:$E61)</f>
        <v>0</v>
      </c>
      <c r="Q25" s="35">
        <f>SUMIF($A52:$A61,"Bíceps",$E52:$E61)</f>
        <v>3</v>
      </c>
      <c r="R25" s="35">
        <f>SUMIF($A52:$A61,"Tríceps",$E52:$E61)</f>
        <v>0</v>
      </c>
      <c r="S25" s="35">
        <f>SUMIF($A52:$A61,"Cuádriceps",$E52:$E61)</f>
        <v>3</v>
      </c>
      <c r="T25" s="35">
        <f>SUMIF($A52:$A61,"Isquios",$E52:$E61)</f>
        <v>3</v>
      </c>
      <c r="U25" s="35">
        <f>SUMIF($A52:$A61,"Glúteos",$E52:$E61)</f>
        <v>0</v>
      </c>
      <c r="V25" s="35">
        <f>SUMIF($A52:$A61,"Pantorrillas",$E52:$E61)</f>
        <v>3</v>
      </c>
      <c r="W25" s="35">
        <f>SUMIF($A52:$A61,"Otros",$E52:$E61)</f>
        <v>3</v>
      </c>
    </row>
    <row r="26" ht="14.25" customHeight="1">
      <c r="A26" s="49" t="s">
        <v>30</v>
      </c>
      <c r="B26" s="50" t="s">
        <v>102</v>
      </c>
      <c r="C26" s="18"/>
      <c r="D26" s="20"/>
      <c r="E26" s="49">
        <v>4.0</v>
      </c>
      <c r="F26" s="49">
        <v>8.0</v>
      </c>
      <c r="G26" s="49">
        <v>8.0</v>
      </c>
      <c r="H26" s="49" t="s">
        <v>55</v>
      </c>
      <c r="I26" s="51"/>
      <c r="J26" s="9"/>
      <c r="M26" s="34" t="s">
        <v>7</v>
      </c>
      <c r="N26" s="35">
        <f>AVERAGEIF($A52:$A61,"Pecho",$G52:$G61)</f>
        <v>7</v>
      </c>
      <c r="O26" s="35">
        <f>AVERAGEIF($A52:$A61,"Espalda",$G52:$G61)</f>
        <v>8</v>
      </c>
      <c r="P26" s="35" t="str">
        <f>AVERAGEIF($A52:$A61,"Hombros",$G52:$G61)</f>
        <v>#DIV/0!</v>
      </c>
      <c r="Q26" s="35">
        <f>AVERAGEIF($A52:$A61,"Bíceps",$G52:$G61)</f>
        <v>6</v>
      </c>
      <c r="R26" s="35" t="str">
        <f>AVERAGEIF($A52:$A61,"Tríceps",$G52:$G61)</f>
        <v>#DIV/0!</v>
      </c>
      <c r="S26" s="35">
        <f>AVERAGEIF($A52:$A61,"Cuádriceps",$G52:$G61)</f>
        <v>6</v>
      </c>
      <c r="T26" s="35">
        <f>AVERAGEIF($A52:$A61,"Isquios",$G52:$G61)</f>
        <v>7</v>
      </c>
      <c r="U26" s="35" t="str">
        <f>AVERAGEIF($A52:$A61,"Glúteos",$G52:$G61)</f>
        <v>#DIV/0!</v>
      </c>
      <c r="V26" s="35">
        <f>AVERAGEIF($A52:$A61,"Pantorrillas",$G52:$G61)</f>
        <v>7</v>
      </c>
      <c r="W26" s="35">
        <f>AVERAGEIF($A52:$A61,"Otros",$G52:$G61)</f>
        <v>6</v>
      </c>
    </row>
    <row r="27" ht="14.25" customHeight="1">
      <c r="A27" s="49" t="s">
        <v>30</v>
      </c>
      <c r="B27" s="50" t="s">
        <v>104</v>
      </c>
      <c r="C27" s="18"/>
      <c r="D27" s="20"/>
      <c r="E27" s="49">
        <v>3.0</v>
      </c>
      <c r="F27" s="49" t="s">
        <v>455</v>
      </c>
      <c r="G27" s="49">
        <v>8.0</v>
      </c>
      <c r="H27" s="49"/>
      <c r="I27" s="51" t="s">
        <v>777</v>
      </c>
      <c r="J27" s="9"/>
      <c r="M27" s="25"/>
      <c r="N27" s="25"/>
      <c r="O27" s="25"/>
      <c r="P27" s="25"/>
      <c r="Q27" s="25"/>
      <c r="R27" s="25"/>
      <c r="S27" s="25"/>
      <c r="T27" s="25"/>
      <c r="U27" s="25"/>
    </row>
    <row r="28" ht="14.25" customHeight="1">
      <c r="A28" s="49" t="s">
        <v>32</v>
      </c>
      <c r="B28" s="50" t="s">
        <v>107</v>
      </c>
      <c r="C28" s="18"/>
      <c r="D28" s="20"/>
      <c r="E28" s="49">
        <v>4.0</v>
      </c>
      <c r="F28" s="49" t="s">
        <v>108</v>
      </c>
      <c r="G28" s="49"/>
      <c r="H28" s="49"/>
      <c r="I28" s="51"/>
      <c r="J28" s="9"/>
      <c r="M28" s="11" t="s">
        <v>76</v>
      </c>
      <c r="N28" s="12"/>
      <c r="O28" s="12"/>
      <c r="P28" s="12"/>
      <c r="Q28" s="12"/>
      <c r="R28" s="12"/>
      <c r="S28" s="12"/>
      <c r="T28" s="12"/>
      <c r="U28" s="12"/>
      <c r="V28" s="12"/>
      <c r="W28" s="13"/>
    </row>
    <row r="29" ht="14.25" customHeight="1">
      <c r="A29" s="207" t="s">
        <v>33</v>
      </c>
      <c r="B29" s="208" t="s">
        <v>781</v>
      </c>
      <c r="C29" s="18"/>
      <c r="D29" s="20"/>
      <c r="E29" s="207">
        <v>3.0</v>
      </c>
      <c r="F29" s="207">
        <v>8.0</v>
      </c>
      <c r="G29" s="207"/>
      <c r="H29" s="207"/>
      <c r="I29" s="209" t="s">
        <v>782</v>
      </c>
      <c r="J29" s="9"/>
      <c r="M29" s="25"/>
      <c r="N29" s="28" t="s">
        <v>16</v>
      </c>
      <c r="O29" s="28" t="s">
        <v>26</v>
      </c>
      <c r="P29" s="28" t="s">
        <v>27</v>
      </c>
      <c r="Q29" s="28" t="s">
        <v>28</v>
      </c>
      <c r="R29" s="28" t="s">
        <v>29</v>
      </c>
      <c r="S29" s="28" t="s">
        <v>30</v>
      </c>
      <c r="T29" s="28" t="s">
        <v>31</v>
      </c>
      <c r="U29" s="28" t="s">
        <v>32</v>
      </c>
      <c r="V29" s="28" t="s">
        <v>33</v>
      </c>
      <c r="W29" s="28" t="s">
        <v>12</v>
      </c>
    </row>
    <row r="30" ht="14.25" customHeight="1">
      <c r="A30" s="207" t="s">
        <v>32</v>
      </c>
      <c r="B30" s="208" t="s">
        <v>783</v>
      </c>
      <c r="C30" s="18"/>
      <c r="D30" s="20"/>
      <c r="E30" s="207">
        <v>3.0</v>
      </c>
      <c r="F30" s="207">
        <v>6.0</v>
      </c>
      <c r="G30" s="207"/>
      <c r="H30" s="207"/>
      <c r="I30" s="209"/>
      <c r="J30" s="9"/>
      <c r="M30" s="34" t="s">
        <v>36</v>
      </c>
      <c r="N30" s="35">
        <f>SUMIF($A66:$A75,"Pecho",$E66:$E75)</f>
        <v>0</v>
      </c>
      <c r="O30" s="35">
        <f>SUMIF($A66:$A75,"Espalda",$E66:$E75)</f>
        <v>0</v>
      </c>
      <c r="P30" s="35">
        <f>SUMIF($A66:$A75,"Hombros",$E66:$E75)</f>
        <v>0</v>
      </c>
      <c r="Q30" s="35">
        <f>SUMIF($A66:$A75,"Bíceps",$E66:$E75)</f>
        <v>0</v>
      </c>
      <c r="R30" s="35">
        <f>SUMIF($A66:$A75,"Tríceps",$E66:$E75)</f>
        <v>0</v>
      </c>
      <c r="S30" s="35">
        <f>SUMIF($A66:$A75,"Cuádriceps",$E66:$E75)</f>
        <v>0</v>
      </c>
      <c r="T30" s="35">
        <f>SUMIF($A66:$A75,"Isquios",$E66:$E75)</f>
        <v>0</v>
      </c>
      <c r="U30" s="35">
        <f>SUMIF($A66:$A75,"Glúteos",$E66:$E75)</f>
        <v>0</v>
      </c>
      <c r="V30" s="35">
        <f>SUMIF($A66:$A75,"Pantorrillas",$E66:$E75)</f>
        <v>0</v>
      </c>
      <c r="W30" s="35">
        <f>SUMIF($A66:$A75,"Otros",$E66:$E75)</f>
        <v>0</v>
      </c>
    </row>
    <row r="31" ht="14.25" customHeight="1">
      <c r="A31" s="207" t="s">
        <v>33</v>
      </c>
      <c r="B31" s="210" t="s">
        <v>788</v>
      </c>
      <c r="C31" s="8"/>
      <c r="D31" s="9"/>
      <c r="E31" s="207">
        <v>3.0</v>
      </c>
      <c r="F31" s="207" t="s">
        <v>71</v>
      </c>
      <c r="G31" s="207"/>
      <c r="H31" s="207"/>
      <c r="I31" s="209"/>
      <c r="J31" s="9"/>
      <c r="M31" s="34" t="s">
        <v>7</v>
      </c>
      <c r="N31" s="35">
        <f>AVERAGEIF($A66:$A75,"Pecho",$G66:$G75)</f>
        <v>6</v>
      </c>
      <c r="O31" s="35" t="str">
        <f>AVERAGEIF($A66:$A75,"Espalda",$G66:$G75)</f>
        <v>#DIV/0!</v>
      </c>
      <c r="P31" s="35" t="str">
        <f>AVERAGEIF($A66:$A75,"Hombros",$G66:$G75)</f>
        <v>#DIV/0!</v>
      </c>
      <c r="Q31" s="35">
        <f>AVERAGEIF($A66:$A75,"Bíceps",$G66:$G75)</f>
        <v>7</v>
      </c>
      <c r="R31" s="35" t="str">
        <f>AVERAGEIF($A66:$A75,"Tríceps",$G66:$G75)</f>
        <v>#DIV/0!</v>
      </c>
      <c r="S31" s="35" t="str">
        <f>AVERAGEIF($A66:$A75,"Cuádriceps",$G66:$G75)</f>
        <v>#DIV/0!</v>
      </c>
      <c r="T31" s="35">
        <f>AVERAGEIF($A66:$A75,"Isquios",$G66:$G75)</f>
        <v>6</v>
      </c>
      <c r="U31" s="35" t="str">
        <f>AVERAGEIF($A66:$A75,"Glúteos",$G66:$G75)</f>
        <v>#DIV/0!</v>
      </c>
      <c r="V31" s="35">
        <f>AVERAGEIF($A66:$A75,"Pantorrillas",$G66:$G75)</f>
        <v>7</v>
      </c>
      <c r="W31" s="35" t="str">
        <f>AVERAGEIF($A66:$A75,"Otros",$G66:$G75)</f>
        <v>#DIV/0!</v>
      </c>
    </row>
    <row r="32" ht="14.25" customHeight="1">
      <c r="A32" s="49" t="s">
        <v>113</v>
      </c>
      <c r="B32" s="62" t="s">
        <v>114</v>
      </c>
      <c r="C32" s="8"/>
      <c r="D32" s="9"/>
      <c r="E32" s="49">
        <v>3.0</v>
      </c>
      <c r="F32" s="49" t="s">
        <v>65</v>
      </c>
      <c r="G32" s="49"/>
      <c r="H32" s="49"/>
      <c r="I32" s="63"/>
      <c r="J32" s="64"/>
      <c r="M32" s="65"/>
      <c r="N32" s="25"/>
      <c r="O32" s="25"/>
      <c r="P32" s="25"/>
      <c r="Q32" s="25"/>
      <c r="R32" s="25"/>
      <c r="S32" s="25"/>
      <c r="T32" s="25"/>
      <c r="U32" s="25"/>
      <c r="V32" s="25"/>
      <c r="W32" s="25"/>
    </row>
    <row r="33" ht="14.25" customHeight="1">
      <c r="A33" s="49" t="s">
        <v>113</v>
      </c>
      <c r="B33" s="66" t="s">
        <v>800</v>
      </c>
      <c r="C33" s="8"/>
      <c r="D33" s="9"/>
      <c r="E33" s="49">
        <v>5.0</v>
      </c>
      <c r="F33" s="49"/>
      <c r="G33" s="49"/>
      <c r="H33" s="49"/>
      <c r="I33" s="51"/>
      <c r="J33" s="9"/>
    </row>
    <row r="34" ht="14.25" customHeight="1">
      <c r="B34" s="26"/>
      <c r="C34" s="29"/>
      <c r="D34" s="29"/>
    </row>
    <row r="35" ht="14.25" customHeight="1"/>
    <row r="36" ht="14.25" customHeight="1">
      <c r="A36" s="2" t="s">
        <v>117</v>
      </c>
      <c r="B36" s="3"/>
      <c r="C36" s="4"/>
      <c r="J36" s="1"/>
    </row>
    <row r="37" ht="14.25" customHeight="1">
      <c r="A37" s="5" t="s">
        <v>2</v>
      </c>
      <c r="B37" s="7" t="s">
        <v>4</v>
      </c>
      <c r="C37" s="8"/>
      <c r="D37" s="9"/>
      <c r="E37" s="5" t="s">
        <v>5</v>
      </c>
      <c r="F37" s="5" t="s">
        <v>6</v>
      </c>
      <c r="G37" s="5" t="s">
        <v>7</v>
      </c>
      <c r="H37" s="5" t="s">
        <v>8</v>
      </c>
      <c r="I37" s="7" t="s">
        <v>9</v>
      </c>
      <c r="J37" s="9"/>
    </row>
    <row r="38" ht="14.25" customHeight="1">
      <c r="A38" s="53" t="s">
        <v>12</v>
      </c>
      <c r="B38" s="54" t="s">
        <v>13</v>
      </c>
      <c r="C38" s="18"/>
      <c r="D38" s="20"/>
      <c r="E38" s="53">
        <v>2.0</v>
      </c>
      <c r="F38" s="53">
        <v>10.0</v>
      </c>
      <c r="G38" s="53"/>
      <c r="H38" s="53"/>
      <c r="I38" s="55"/>
      <c r="J38" s="9"/>
    </row>
    <row r="39" ht="14.25" customHeight="1">
      <c r="A39" s="53" t="s">
        <v>12</v>
      </c>
      <c r="B39" s="54" t="s">
        <v>804</v>
      </c>
      <c r="C39" s="18"/>
      <c r="D39" s="20"/>
      <c r="E39" s="53">
        <v>3.0</v>
      </c>
      <c r="F39" s="53">
        <v>12.0</v>
      </c>
      <c r="G39" s="53"/>
      <c r="H39" s="53"/>
      <c r="I39" s="55"/>
      <c r="J39" s="9"/>
    </row>
    <row r="40" ht="14.25" customHeight="1">
      <c r="A40" s="53" t="s">
        <v>12</v>
      </c>
      <c r="B40" s="54" t="s">
        <v>119</v>
      </c>
      <c r="C40" s="18"/>
      <c r="D40" s="20"/>
      <c r="E40" s="53">
        <v>3.0</v>
      </c>
      <c r="F40" s="53" t="s">
        <v>71</v>
      </c>
      <c r="G40" s="53"/>
      <c r="H40" s="53"/>
      <c r="I40" s="55"/>
      <c r="J40" s="9"/>
    </row>
    <row r="41" ht="14.25" customHeight="1">
      <c r="A41" s="49" t="s">
        <v>31</v>
      </c>
      <c r="B41" s="50" t="s">
        <v>701</v>
      </c>
      <c r="C41" s="18"/>
      <c r="D41" s="20"/>
      <c r="E41" s="49">
        <v>4.0</v>
      </c>
      <c r="F41" s="49">
        <v>8.0</v>
      </c>
      <c r="G41" s="49">
        <v>8.0</v>
      </c>
      <c r="H41" s="49" t="s">
        <v>55</v>
      </c>
      <c r="I41" s="51"/>
      <c r="J41" s="9"/>
    </row>
    <row r="42" ht="14.25" customHeight="1">
      <c r="A42" s="49" t="s">
        <v>26</v>
      </c>
      <c r="B42" s="50" t="s">
        <v>121</v>
      </c>
      <c r="C42" s="18"/>
      <c r="D42" s="20"/>
      <c r="E42" s="49">
        <v>3.0</v>
      </c>
      <c r="F42" s="49">
        <v>10.0</v>
      </c>
      <c r="G42" s="49">
        <v>8.0</v>
      </c>
      <c r="H42" s="49"/>
      <c r="I42" s="51"/>
      <c r="J42" s="9"/>
    </row>
    <row r="43" ht="14.25" customHeight="1">
      <c r="A43" s="53" t="s">
        <v>30</v>
      </c>
      <c r="B43" s="54" t="s">
        <v>809</v>
      </c>
      <c r="C43" s="18"/>
      <c r="D43" s="20"/>
      <c r="E43" s="53">
        <v>3.0</v>
      </c>
      <c r="F43" s="53">
        <v>8.0</v>
      </c>
      <c r="G43" s="53"/>
      <c r="H43" s="53"/>
      <c r="I43" s="55"/>
      <c r="J43" s="9"/>
    </row>
    <row r="44" ht="14.25" customHeight="1">
      <c r="A44" s="53" t="s">
        <v>26</v>
      </c>
      <c r="B44" s="54" t="s">
        <v>124</v>
      </c>
      <c r="C44" s="18"/>
      <c r="D44" s="20"/>
      <c r="E44" s="53">
        <v>4.0</v>
      </c>
      <c r="F44" s="53">
        <v>10.0</v>
      </c>
      <c r="G44" s="53"/>
      <c r="H44" s="53"/>
      <c r="I44" s="55"/>
      <c r="J44" s="9"/>
    </row>
    <row r="45" ht="14.25" customHeight="1">
      <c r="A45" s="211" t="s">
        <v>113</v>
      </c>
      <c r="B45" s="212" t="s">
        <v>126</v>
      </c>
      <c r="C45" s="18"/>
      <c r="D45" s="20"/>
      <c r="E45" s="211">
        <v>3.0</v>
      </c>
      <c r="F45" s="211">
        <v>15.0</v>
      </c>
      <c r="G45" s="211"/>
      <c r="H45" s="211"/>
      <c r="I45" s="213"/>
      <c r="J45" s="9"/>
    </row>
    <row r="46" ht="14.25" customHeight="1">
      <c r="A46" s="211" t="s">
        <v>32</v>
      </c>
      <c r="B46" s="212" t="s">
        <v>127</v>
      </c>
      <c r="C46" s="18"/>
      <c r="D46" s="20"/>
      <c r="E46" s="211">
        <v>3.0</v>
      </c>
      <c r="F46" s="211" t="s">
        <v>128</v>
      </c>
      <c r="G46" s="211"/>
      <c r="H46" s="211"/>
      <c r="I46" s="213"/>
      <c r="J46" s="9"/>
    </row>
    <row r="47" ht="14.25" customHeight="1">
      <c r="A47" s="211" t="s">
        <v>113</v>
      </c>
      <c r="B47" s="214" t="s">
        <v>730</v>
      </c>
      <c r="C47" s="8"/>
      <c r="D47" s="9"/>
      <c r="E47" s="211">
        <v>3.0</v>
      </c>
      <c r="F47" s="211">
        <v>50.0</v>
      </c>
      <c r="G47" s="211"/>
      <c r="H47" s="211"/>
      <c r="I47" s="213"/>
      <c r="J47" s="9"/>
    </row>
    <row r="48" ht="14.25" customHeight="1">
      <c r="B48" s="26"/>
      <c r="C48" s="29"/>
      <c r="D48" s="29"/>
    </row>
    <row r="49" ht="14.25" customHeight="1"/>
    <row r="50" ht="14.25" customHeight="1">
      <c r="A50" s="2" t="s">
        <v>132</v>
      </c>
      <c r="B50" s="3"/>
      <c r="C50" s="4"/>
      <c r="J50" s="1"/>
    </row>
    <row r="51" ht="14.25" customHeight="1">
      <c r="A51" s="5" t="s">
        <v>2</v>
      </c>
      <c r="B51" s="7" t="s">
        <v>4</v>
      </c>
      <c r="C51" s="8"/>
      <c r="D51" s="9"/>
      <c r="E51" s="5" t="s">
        <v>5</v>
      </c>
      <c r="F51" s="5" t="s">
        <v>6</v>
      </c>
      <c r="G51" s="5" t="s">
        <v>7</v>
      </c>
      <c r="H51" s="5" t="s">
        <v>8</v>
      </c>
      <c r="I51" s="7" t="s">
        <v>9</v>
      </c>
      <c r="J51" s="9"/>
    </row>
    <row r="52" ht="14.25" customHeight="1">
      <c r="A52" s="68" t="s">
        <v>113</v>
      </c>
      <c r="B52" s="69" t="s">
        <v>134</v>
      </c>
      <c r="C52" s="18"/>
      <c r="D52" s="20"/>
      <c r="E52" s="68"/>
      <c r="F52" s="68"/>
      <c r="G52" s="68"/>
      <c r="H52" s="68"/>
      <c r="I52" s="71"/>
      <c r="J52" s="9"/>
    </row>
    <row r="53" ht="14.25" customHeight="1">
      <c r="A53" s="68" t="s">
        <v>113</v>
      </c>
      <c r="B53" s="69" t="s">
        <v>136</v>
      </c>
      <c r="C53" s="18"/>
      <c r="D53" s="20"/>
      <c r="E53" s="68"/>
      <c r="F53" s="68"/>
      <c r="G53" s="68"/>
      <c r="H53" s="68"/>
      <c r="I53" s="71"/>
      <c r="J53" s="9"/>
    </row>
    <row r="54" ht="14.25" customHeight="1">
      <c r="A54" s="68" t="s">
        <v>12</v>
      </c>
      <c r="B54" s="69" t="s">
        <v>137</v>
      </c>
      <c r="C54" s="18"/>
      <c r="D54" s="20"/>
      <c r="E54" s="68"/>
      <c r="F54" s="68">
        <v>10.0</v>
      </c>
      <c r="G54" s="68"/>
      <c r="H54" s="68"/>
      <c r="I54" s="71"/>
      <c r="J54" s="9"/>
    </row>
    <row r="55" ht="14.25" customHeight="1">
      <c r="A55" s="49" t="s">
        <v>16</v>
      </c>
      <c r="B55" s="50" t="s">
        <v>744</v>
      </c>
      <c r="C55" s="18"/>
      <c r="D55" s="20"/>
      <c r="E55" s="49">
        <v>4.0</v>
      </c>
      <c r="F55" s="49">
        <v>10.0</v>
      </c>
      <c r="G55" s="49">
        <v>7.0</v>
      </c>
      <c r="H55" s="49"/>
      <c r="I55" s="51"/>
      <c r="J55" s="9"/>
    </row>
    <row r="56" ht="14.25" customHeight="1">
      <c r="A56" s="49" t="s">
        <v>26</v>
      </c>
      <c r="B56" s="50" t="s">
        <v>142</v>
      </c>
      <c r="C56" s="18"/>
      <c r="D56" s="20"/>
      <c r="E56" s="49">
        <v>4.0</v>
      </c>
      <c r="F56" s="49" t="s">
        <v>71</v>
      </c>
      <c r="G56" s="49">
        <v>8.0</v>
      </c>
      <c r="H56" s="49"/>
      <c r="I56" s="51"/>
      <c r="J56" s="9"/>
    </row>
    <row r="57" ht="14.25" customHeight="1">
      <c r="A57" s="49" t="s">
        <v>28</v>
      </c>
      <c r="B57" s="50" t="s">
        <v>83</v>
      </c>
      <c r="C57" s="18"/>
      <c r="D57" s="20"/>
      <c r="E57" s="49">
        <v>3.0</v>
      </c>
      <c r="F57" s="49">
        <v>10.0</v>
      </c>
      <c r="G57" s="49">
        <v>6.0</v>
      </c>
      <c r="H57" s="49"/>
      <c r="I57" s="51"/>
      <c r="J57" s="9"/>
    </row>
    <row r="58" ht="14.25" customHeight="1">
      <c r="A58" s="68" t="s">
        <v>113</v>
      </c>
      <c r="B58" s="69" t="s">
        <v>814</v>
      </c>
      <c r="C58" s="18"/>
      <c r="D58" s="20"/>
      <c r="E58" s="68">
        <v>3.0</v>
      </c>
      <c r="F58" s="68">
        <v>10.0</v>
      </c>
      <c r="G58" s="68">
        <v>6.0</v>
      </c>
      <c r="H58" s="68"/>
      <c r="I58" s="71"/>
      <c r="J58" s="9"/>
    </row>
    <row r="59" ht="14.25" customHeight="1">
      <c r="A59" s="211" t="s">
        <v>30</v>
      </c>
      <c r="B59" s="212" t="s">
        <v>534</v>
      </c>
      <c r="C59" s="18"/>
      <c r="D59" s="20"/>
      <c r="E59" s="211">
        <v>3.0</v>
      </c>
      <c r="F59" s="211">
        <v>8.0</v>
      </c>
      <c r="G59" s="211">
        <v>6.0</v>
      </c>
      <c r="H59" s="211"/>
      <c r="I59" s="213" t="s">
        <v>155</v>
      </c>
      <c r="J59" s="9"/>
    </row>
    <row r="60" ht="14.25" customHeight="1">
      <c r="A60" s="211" t="s">
        <v>31</v>
      </c>
      <c r="B60" s="212" t="s">
        <v>817</v>
      </c>
      <c r="C60" s="18"/>
      <c r="D60" s="20"/>
      <c r="E60" s="211">
        <v>3.0</v>
      </c>
      <c r="F60" s="211">
        <v>10.0</v>
      </c>
      <c r="G60" s="211">
        <v>7.0</v>
      </c>
      <c r="H60" s="211"/>
      <c r="I60" s="213"/>
      <c r="J60" s="9"/>
    </row>
    <row r="61" ht="14.25" customHeight="1">
      <c r="A61" s="211" t="s">
        <v>33</v>
      </c>
      <c r="B61" s="214" t="s">
        <v>819</v>
      </c>
      <c r="C61" s="8"/>
      <c r="D61" s="9"/>
      <c r="E61" s="211">
        <v>3.0</v>
      </c>
      <c r="F61" s="211">
        <v>6.0</v>
      </c>
      <c r="G61" s="211">
        <v>7.0</v>
      </c>
      <c r="H61" s="211"/>
      <c r="I61" s="213"/>
      <c r="J61" s="9"/>
    </row>
    <row r="62" ht="14.25" customHeight="1">
      <c r="B62" s="26"/>
      <c r="C62" s="29"/>
      <c r="D62" s="29"/>
    </row>
    <row r="63" ht="14.25" customHeight="1"/>
    <row r="64" ht="14.25" customHeight="1">
      <c r="A64" s="2" t="s">
        <v>160</v>
      </c>
      <c r="B64" s="3"/>
      <c r="C64" s="4"/>
      <c r="D64" s="82" t="s">
        <v>161</v>
      </c>
      <c r="J64" s="1"/>
    </row>
    <row r="65" ht="14.25" customHeight="1">
      <c r="A65" s="5" t="s">
        <v>2</v>
      </c>
      <c r="B65" s="7" t="s">
        <v>4</v>
      </c>
      <c r="C65" s="8"/>
      <c r="D65" s="9"/>
      <c r="E65" s="5" t="s">
        <v>5</v>
      </c>
      <c r="F65" s="5" t="s">
        <v>6</v>
      </c>
      <c r="G65" s="5" t="s">
        <v>7</v>
      </c>
      <c r="H65" s="5" t="s">
        <v>8</v>
      </c>
      <c r="I65" s="7" t="s">
        <v>9</v>
      </c>
      <c r="J65" s="9"/>
    </row>
    <row r="66" ht="14.25" customHeight="1">
      <c r="A66" s="83" t="s">
        <v>113</v>
      </c>
      <c r="B66" s="85" t="s">
        <v>163</v>
      </c>
      <c r="C66" s="18"/>
      <c r="D66" s="20"/>
      <c r="E66" s="83"/>
      <c r="F66" s="83">
        <v>10.0</v>
      </c>
      <c r="G66" s="83"/>
      <c r="H66" s="83"/>
      <c r="I66" s="86"/>
      <c r="J66" s="9"/>
    </row>
    <row r="67" ht="14.25" customHeight="1">
      <c r="A67" s="83" t="s">
        <v>113</v>
      </c>
      <c r="B67" s="85" t="s">
        <v>166</v>
      </c>
      <c r="C67" s="18"/>
      <c r="D67" s="20"/>
      <c r="E67" s="83"/>
      <c r="F67" s="83"/>
      <c r="G67" s="83"/>
      <c r="H67" s="83"/>
      <c r="I67" s="86"/>
      <c r="J67" s="9"/>
    </row>
    <row r="68" ht="14.25" customHeight="1">
      <c r="A68" s="83" t="s">
        <v>113</v>
      </c>
      <c r="B68" s="85" t="s">
        <v>169</v>
      </c>
      <c r="C68" s="18"/>
      <c r="D68" s="20"/>
      <c r="E68" s="83"/>
      <c r="F68" s="83"/>
      <c r="G68" s="83"/>
      <c r="H68" s="83"/>
      <c r="I68" s="86"/>
      <c r="J68" s="9"/>
    </row>
    <row r="69" ht="14.25" customHeight="1">
      <c r="A69" s="49" t="s">
        <v>31</v>
      </c>
      <c r="B69" s="50" t="s">
        <v>173</v>
      </c>
      <c r="C69" s="18"/>
      <c r="D69" s="20"/>
      <c r="E69" s="49"/>
      <c r="F69" s="49">
        <v>8.0</v>
      </c>
      <c r="G69" s="49">
        <v>6.0</v>
      </c>
      <c r="H69" s="49"/>
      <c r="I69" s="51"/>
      <c r="J69" s="9"/>
    </row>
    <row r="70" ht="14.25" customHeight="1">
      <c r="A70" s="49" t="s">
        <v>31</v>
      </c>
      <c r="B70" s="50" t="s">
        <v>176</v>
      </c>
      <c r="C70" s="18"/>
      <c r="D70" s="20"/>
      <c r="E70" s="49"/>
      <c r="F70" s="49">
        <v>6.0</v>
      </c>
      <c r="G70" s="49">
        <v>6.0</v>
      </c>
      <c r="H70" s="49"/>
      <c r="I70" s="51"/>
      <c r="J70" s="9"/>
    </row>
    <row r="71" ht="14.25" customHeight="1">
      <c r="A71" s="68" t="s">
        <v>16</v>
      </c>
      <c r="B71" s="69" t="s">
        <v>179</v>
      </c>
      <c r="C71" s="18"/>
      <c r="D71" s="20"/>
      <c r="E71" s="68"/>
      <c r="F71" s="68">
        <v>10.0</v>
      </c>
      <c r="G71" s="68">
        <v>6.0</v>
      </c>
      <c r="H71" s="68"/>
      <c r="I71" s="71"/>
      <c r="J71" s="9"/>
    </row>
    <row r="72" ht="14.25" customHeight="1">
      <c r="A72" s="68" t="s">
        <v>16</v>
      </c>
      <c r="B72" s="69" t="s">
        <v>554</v>
      </c>
      <c r="C72" s="18"/>
      <c r="D72" s="20"/>
      <c r="E72" s="68"/>
      <c r="F72" s="68">
        <v>10.0</v>
      </c>
      <c r="G72" s="68">
        <v>6.0</v>
      </c>
      <c r="H72" s="68"/>
      <c r="I72" s="71"/>
      <c r="J72" s="9"/>
    </row>
    <row r="73" ht="14.25" customHeight="1">
      <c r="A73" s="49" t="s">
        <v>28</v>
      </c>
      <c r="B73" s="50" t="s">
        <v>182</v>
      </c>
      <c r="C73" s="18"/>
      <c r="D73" s="20"/>
      <c r="E73" s="49"/>
      <c r="F73" s="49">
        <v>10.0</v>
      </c>
      <c r="G73" s="49">
        <v>7.0</v>
      </c>
      <c r="H73" s="49"/>
      <c r="I73" s="51"/>
      <c r="J73" s="9"/>
    </row>
    <row r="74" ht="14.25" customHeight="1">
      <c r="A74" s="49" t="s">
        <v>33</v>
      </c>
      <c r="B74" s="50" t="s">
        <v>183</v>
      </c>
      <c r="C74" s="18"/>
      <c r="D74" s="20"/>
      <c r="E74" s="49"/>
      <c r="F74" s="49">
        <v>12.0</v>
      </c>
      <c r="G74" s="49">
        <v>7.0</v>
      </c>
      <c r="H74" s="49"/>
      <c r="I74" s="51"/>
      <c r="J74" s="9"/>
    </row>
    <row r="75" ht="14.25" customHeight="1">
      <c r="A75" s="49" t="s">
        <v>32</v>
      </c>
      <c r="B75" s="66" t="s">
        <v>185</v>
      </c>
      <c r="C75" s="8"/>
      <c r="D75" s="9"/>
      <c r="E75" s="49"/>
      <c r="F75" s="49" t="s">
        <v>178</v>
      </c>
      <c r="G75" s="49"/>
      <c r="H75" s="49"/>
      <c r="I75" s="51"/>
      <c r="J75" s="9"/>
    </row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7">
    <mergeCell ref="I27:J27"/>
    <mergeCell ref="I28:J28"/>
    <mergeCell ref="I11:J11"/>
    <mergeCell ref="I13:J13"/>
    <mergeCell ref="I22:J22"/>
    <mergeCell ref="I23:J23"/>
    <mergeCell ref="I24:J24"/>
    <mergeCell ref="I25:J25"/>
    <mergeCell ref="I26:J26"/>
    <mergeCell ref="A6:C6"/>
    <mergeCell ref="B7:D7"/>
    <mergeCell ref="I7:J7"/>
    <mergeCell ref="M7:W7"/>
    <mergeCell ref="Z7:AB7"/>
    <mergeCell ref="B8:D8"/>
    <mergeCell ref="B9:D9"/>
    <mergeCell ref="I12:J12"/>
    <mergeCell ref="M12:W12"/>
    <mergeCell ref="I8:J8"/>
    <mergeCell ref="I9:J9"/>
    <mergeCell ref="B10:D10"/>
    <mergeCell ref="I10:J10"/>
    <mergeCell ref="B11:D11"/>
    <mergeCell ref="B12:D12"/>
    <mergeCell ref="B13:D13"/>
    <mergeCell ref="I16:J16"/>
    <mergeCell ref="I18:J18"/>
    <mergeCell ref="M18:W18"/>
    <mergeCell ref="M23:W23"/>
    <mergeCell ref="B14:D14"/>
    <mergeCell ref="I14:J14"/>
    <mergeCell ref="B15:D15"/>
    <mergeCell ref="I15:J15"/>
    <mergeCell ref="B16:D16"/>
    <mergeCell ref="B17:D17"/>
    <mergeCell ref="B18:D18"/>
    <mergeCell ref="B27:D27"/>
    <mergeCell ref="B28:D28"/>
    <mergeCell ref="M28:W28"/>
    <mergeCell ref="I29:J29"/>
    <mergeCell ref="B19:D19"/>
    <mergeCell ref="A21:C21"/>
    <mergeCell ref="B22:D22"/>
    <mergeCell ref="B23:D23"/>
    <mergeCell ref="B24:D24"/>
    <mergeCell ref="B25:D25"/>
    <mergeCell ref="B26:D26"/>
    <mergeCell ref="B51:D51"/>
    <mergeCell ref="B52:D52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62:D62"/>
    <mergeCell ref="A64:C64"/>
    <mergeCell ref="B65:D65"/>
    <mergeCell ref="B73:D73"/>
    <mergeCell ref="B74:D74"/>
    <mergeCell ref="B75:D75"/>
    <mergeCell ref="B66:D66"/>
    <mergeCell ref="B67:D67"/>
    <mergeCell ref="B68:D68"/>
    <mergeCell ref="B69:D69"/>
    <mergeCell ref="B70:D70"/>
    <mergeCell ref="B71:D71"/>
    <mergeCell ref="B72:D72"/>
    <mergeCell ref="I71:J71"/>
    <mergeCell ref="I72:J72"/>
    <mergeCell ref="I73:J73"/>
    <mergeCell ref="I74:J74"/>
    <mergeCell ref="I75:J75"/>
    <mergeCell ref="I61:J61"/>
    <mergeCell ref="I65:J65"/>
    <mergeCell ref="I66:J66"/>
    <mergeCell ref="I67:J67"/>
    <mergeCell ref="I68:J68"/>
    <mergeCell ref="I69:J69"/>
    <mergeCell ref="I70:J70"/>
    <mergeCell ref="B29:D29"/>
    <mergeCell ref="B30:D30"/>
    <mergeCell ref="I30:J30"/>
    <mergeCell ref="B31:D31"/>
    <mergeCell ref="I31:J31"/>
    <mergeCell ref="B32:D32"/>
    <mergeCell ref="I33:J33"/>
    <mergeCell ref="I38:J38"/>
    <mergeCell ref="I39:J39"/>
    <mergeCell ref="B33:D33"/>
    <mergeCell ref="B34:D34"/>
    <mergeCell ref="A36:C36"/>
    <mergeCell ref="B37:D37"/>
    <mergeCell ref="I37:J37"/>
    <mergeCell ref="B38:D38"/>
    <mergeCell ref="B39:D39"/>
    <mergeCell ref="B40:D40"/>
    <mergeCell ref="I40:J40"/>
    <mergeCell ref="B41:D41"/>
    <mergeCell ref="I41:J41"/>
    <mergeCell ref="B42:D42"/>
    <mergeCell ref="I42:J42"/>
    <mergeCell ref="I43:J43"/>
    <mergeCell ref="B43:D43"/>
    <mergeCell ref="B44:D44"/>
    <mergeCell ref="B45:D45"/>
    <mergeCell ref="B46:D46"/>
    <mergeCell ref="B47:D47"/>
    <mergeCell ref="B48:D48"/>
    <mergeCell ref="A50:C50"/>
    <mergeCell ref="I44:J44"/>
    <mergeCell ref="I45:J45"/>
    <mergeCell ref="I46:J46"/>
    <mergeCell ref="I47:J47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60:J60"/>
  </mergeCells>
  <dataValidations>
    <dataValidation type="list" allowBlank="1" showErrorMessage="1" sqref="A8:A18 A23:A33 A38:A47 A52:A61 A66:A75">
      <formula1>Datos!$D$2:$D$11</formula1>
    </dataValidation>
    <dataValidation type="list" allowBlank="1" showErrorMessage="1" sqref="J5">
      <formula1>Datos!$B$2:$B$12</formula1>
    </dataValidation>
    <dataValidation type="list" allowBlank="1" showErrorMessage="1" sqref="J6 J21 J36 J50 J64">
      <formula1>Datos!$D$2:$D$14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10.71"/>
    <col customWidth="1" min="24" max="24" width="7.86"/>
    <col customWidth="1" min="25" max="25" width="15.43"/>
    <col customWidth="1" min="26" max="28" width="10.71"/>
  </cols>
  <sheetData>
    <row r="1" ht="14.25" customHeight="1"/>
    <row r="2" ht="14.25" customHeight="1"/>
    <row r="3" ht="14.25" customHeight="1"/>
    <row r="4" ht="14.25" customHeight="1"/>
    <row r="5" ht="14.25" customHeight="1">
      <c r="J5" s="1"/>
    </row>
    <row r="6" ht="14.25" customHeight="1">
      <c r="A6" s="2" t="s">
        <v>0</v>
      </c>
      <c r="B6" s="3"/>
      <c r="C6" s="4"/>
      <c r="J6" s="1"/>
    </row>
    <row r="7" ht="14.25" customHeight="1">
      <c r="A7" s="6" t="s">
        <v>2</v>
      </c>
      <c r="B7" s="10" t="s">
        <v>4</v>
      </c>
      <c r="C7" s="8"/>
      <c r="D7" s="9"/>
      <c r="E7" s="6" t="s">
        <v>5</v>
      </c>
      <c r="F7" s="6" t="s">
        <v>6</v>
      </c>
      <c r="G7" s="6" t="s">
        <v>7</v>
      </c>
      <c r="H7" s="6" t="s">
        <v>8</v>
      </c>
      <c r="I7" s="10" t="s">
        <v>9</v>
      </c>
      <c r="J7" s="9"/>
      <c r="M7" s="11" t="s">
        <v>0</v>
      </c>
      <c r="N7" s="12"/>
      <c r="O7" s="12"/>
      <c r="P7" s="12"/>
      <c r="Q7" s="12"/>
      <c r="R7" s="12"/>
      <c r="S7" s="12"/>
      <c r="T7" s="12"/>
      <c r="U7" s="12"/>
      <c r="V7" s="12"/>
      <c r="W7" s="13"/>
      <c r="Y7" s="1"/>
      <c r="Z7" s="14" t="s">
        <v>10</v>
      </c>
      <c r="AA7" s="12"/>
      <c r="AB7" s="13"/>
    </row>
    <row r="8" ht="14.25" customHeight="1">
      <c r="A8" s="27"/>
      <c r="B8" s="30" t="s">
        <v>749</v>
      </c>
      <c r="C8" s="18"/>
      <c r="D8" s="20"/>
      <c r="E8" s="27">
        <v>2.0</v>
      </c>
      <c r="F8" s="27">
        <v>10.0</v>
      </c>
      <c r="G8" s="27"/>
      <c r="H8" s="27"/>
      <c r="I8" s="24"/>
      <c r="J8" s="9"/>
      <c r="M8" s="25"/>
      <c r="N8" s="28" t="s">
        <v>16</v>
      </c>
      <c r="O8" s="28" t="s">
        <v>26</v>
      </c>
      <c r="P8" s="28" t="s">
        <v>27</v>
      </c>
      <c r="Q8" s="28" t="s">
        <v>28</v>
      </c>
      <c r="R8" s="28" t="s">
        <v>29</v>
      </c>
      <c r="S8" s="28" t="s">
        <v>30</v>
      </c>
      <c r="T8" s="28" t="s">
        <v>31</v>
      </c>
      <c r="U8" s="28" t="s">
        <v>32</v>
      </c>
      <c r="V8" s="28" t="s">
        <v>33</v>
      </c>
      <c r="W8" s="28" t="s">
        <v>12</v>
      </c>
      <c r="Z8" s="28" t="s">
        <v>16</v>
      </c>
      <c r="AA8" s="1">
        <f>SUM(N9,N14,N19,N24,N29)</f>
        <v>20</v>
      </c>
    </row>
    <row r="9" ht="14.25" customHeight="1">
      <c r="A9" s="27"/>
      <c r="B9" s="30" t="s">
        <v>492</v>
      </c>
      <c r="C9" s="18"/>
      <c r="D9" s="20"/>
      <c r="E9" s="27">
        <v>3.0</v>
      </c>
      <c r="F9" s="27">
        <v>10.0</v>
      </c>
      <c r="G9" s="27"/>
      <c r="H9" s="27"/>
      <c r="I9" s="24"/>
      <c r="J9" s="9"/>
      <c r="M9" s="34" t="s">
        <v>36</v>
      </c>
      <c r="N9" s="37">
        <f>SUMIF(A8:A17,"Pecho",E8:E17)</f>
        <v>14</v>
      </c>
      <c r="O9" s="37">
        <f>SUMIF(A8:A17,"Espalda",E8:E17)</f>
        <v>0</v>
      </c>
      <c r="P9" s="37">
        <f>SUMIF($A8:$A17,"Hombros",$E8:$E17)</f>
        <v>0</v>
      </c>
      <c r="Q9" s="37">
        <f>SUMIF($A8:$A17,"Bíceps",$E8:$E17)</f>
        <v>0</v>
      </c>
      <c r="R9" s="37">
        <f>SUMIF($A8:$A17,"Tríceps",$E8:$E17)</f>
        <v>0</v>
      </c>
      <c r="S9" s="38">
        <f>SUMIF(A8:A17,"Cuádriceps",E8:E17)</f>
        <v>0</v>
      </c>
      <c r="T9" s="37">
        <f>SUMIF($A8:$A17,"Isquios",$E8:$E17)</f>
        <v>0</v>
      </c>
      <c r="U9" s="37">
        <f>SUMIF($A8:$A17,"Glúteos",$E8:$E17)</f>
        <v>0</v>
      </c>
      <c r="V9" s="37">
        <f>SUMIF($A8:$A17,"Pantorrillas",$E8:$E17)</f>
        <v>0</v>
      </c>
      <c r="W9" s="37">
        <f>SUMIF($A8:$A17,"Otros",$E8:$E17)</f>
        <v>8</v>
      </c>
      <c r="Z9" s="28" t="s">
        <v>26</v>
      </c>
      <c r="AA9" s="1">
        <f>SUM(O9,O14,O19,O24,O29)</f>
        <v>18</v>
      </c>
    </row>
    <row r="10" ht="14.25" customHeight="1">
      <c r="A10" s="27"/>
      <c r="B10" s="30" t="s">
        <v>208</v>
      </c>
      <c r="C10" s="18"/>
      <c r="D10" s="20"/>
      <c r="E10" s="27">
        <v>3.0</v>
      </c>
      <c r="F10" s="27">
        <v>10.0</v>
      </c>
      <c r="G10" s="27"/>
      <c r="H10" s="27"/>
      <c r="I10" s="24"/>
      <c r="J10" s="9"/>
      <c r="M10" s="34" t="s">
        <v>7</v>
      </c>
      <c r="N10" s="35">
        <f>AVERAGEIF($A8:$A17,"Pecho",$G8:$G17)</f>
        <v>8</v>
      </c>
      <c r="O10" s="35" t="str">
        <f>AVERAGEIF($A8:$A17,"Espalda",$G8:$G17)</f>
        <v>#DIV/0!</v>
      </c>
      <c r="P10" s="35" t="str">
        <f>AVERAGEIF($A8:$A17,"Hombros",$G8:$G17)</f>
        <v>#DIV/0!</v>
      </c>
      <c r="Q10" s="35" t="str">
        <f>AVERAGEIF($A8:$A17,"Bíceps",$G8:$G17)</f>
        <v>#DIV/0!</v>
      </c>
      <c r="R10" s="35" t="str">
        <f>AVERAGEIF($A8:$A17,"Tríceps",$G8:$G17)</f>
        <v>#DIV/0!</v>
      </c>
      <c r="S10" s="35" t="str">
        <f>AVERAGEIF($A8:$A17,"Cuádriceps",$G8:$G17)</f>
        <v>#DIV/0!</v>
      </c>
      <c r="T10" s="35" t="str">
        <f>AVERAGEIF($A8:$A17,"Isquios",$G8:$G17)</f>
        <v>#DIV/0!</v>
      </c>
      <c r="U10" s="35" t="str">
        <f>AVERAGEIF($A8:$A17,"Glúteos",$G8:$G17)</f>
        <v>#DIV/0!</v>
      </c>
      <c r="V10" s="35" t="str">
        <f>AVERAGEIF($A8:$A17,"Pantorrillas",$G8:$G17)</f>
        <v>#DIV/0!</v>
      </c>
      <c r="W10" s="35" t="str">
        <f>AVERAGEIF($A8:$A17,"Otros",$G8:$G17)</f>
        <v>#DIV/0!</v>
      </c>
      <c r="Z10" s="28" t="s">
        <v>27</v>
      </c>
      <c r="AA10" s="1">
        <f>SUM(P9,P14,P19,P24,P29)</f>
        <v>3</v>
      </c>
    </row>
    <row r="11" ht="14.25" customHeight="1">
      <c r="A11" s="49" t="s">
        <v>16</v>
      </c>
      <c r="B11" s="50" t="s">
        <v>761</v>
      </c>
      <c r="C11" s="18"/>
      <c r="D11" s="20"/>
      <c r="E11" s="49">
        <v>3.0</v>
      </c>
      <c r="F11" s="49">
        <v>10.0</v>
      </c>
      <c r="G11" s="49">
        <v>8.0</v>
      </c>
      <c r="H11" s="49" t="s">
        <v>55</v>
      </c>
      <c r="I11" s="24"/>
      <c r="J11" s="9"/>
      <c r="M11" s="25"/>
      <c r="N11" s="25"/>
      <c r="O11" s="25"/>
      <c r="P11" s="25"/>
      <c r="Q11" s="25"/>
      <c r="R11" s="25"/>
      <c r="S11" s="25"/>
      <c r="T11" s="25"/>
      <c r="U11" s="25"/>
      <c r="Z11" s="28" t="s">
        <v>28</v>
      </c>
      <c r="AA11" s="1">
        <f>SUM(Q9,Q14,Q19,Q24,Q29)</f>
        <v>0</v>
      </c>
    </row>
    <row r="12" ht="14.25" customHeight="1">
      <c r="A12" s="27" t="s">
        <v>16</v>
      </c>
      <c r="B12" s="30" t="s">
        <v>613</v>
      </c>
      <c r="C12" s="18"/>
      <c r="D12" s="20"/>
      <c r="E12" s="27">
        <v>4.0</v>
      </c>
      <c r="F12" s="27">
        <v>10.0</v>
      </c>
      <c r="G12" s="27"/>
      <c r="H12" s="27"/>
      <c r="I12" s="24"/>
      <c r="J12" s="9"/>
      <c r="M12" s="11" t="s">
        <v>45</v>
      </c>
      <c r="N12" s="12"/>
      <c r="O12" s="12"/>
      <c r="P12" s="12"/>
      <c r="Q12" s="12"/>
      <c r="R12" s="12"/>
      <c r="S12" s="12"/>
      <c r="T12" s="12"/>
      <c r="U12" s="12"/>
      <c r="V12" s="12"/>
      <c r="W12" s="13"/>
      <c r="Z12" s="28" t="s">
        <v>29</v>
      </c>
      <c r="AA12" s="1">
        <f>SUM(R9,R14,R19,R24,R29)</f>
        <v>0</v>
      </c>
    </row>
    <row r="13" ht="14.25" customHeight="1">
      <c r="A13" s="27" t="s">
        <v>16</v>
      </c>
      <c r="B13" s="30" t="s">
        <v>765</v>
      </c>
      <c r="C13" s="18"/>
      <c r="D13" s="20"/>
      <c r="E13" s="27">
        <v>3.0</v>
      </c>
      <c r="F13" s="27">
        <v>10.0</v>
      </c>
      <c r="G13" s="27"/>
      <c r="H13" s="27"/>
      <c r="I13" s="24"/>
      <c r="J13" s="9"/>
      <c r="M13" s="25"/>
      <c r="N13" s="28" t="s">
        <v>16</v>
      </c>
      <c r="O13" s="28" t="s">
        <v>26</v>
      </c>
      <c r="P13" s="28" t="s">
        <v>27</v>
      </c>
      <c r="Q13" s="28" t="s">
        <v>28</v>
      </c>
      <c r="R13" s="28" t="s">
        <v>29</v>
      </c>
      <c r="S13" s="28" t="s">
        <v>30</v>
      </c>
      <c r="T13" s="28" t="s">
        <v>31</v>
      </c>
      <c r="U13" s="28" t="s">
        <v>32</v>
      </c>
      <c r="V13" s="28" t="s">
        <v>33</v>
      </c>
      <c r="W13" s="28" t="s">
        <v>12</v>
      </c>
      <c r="Z13" s="28" t="s">
        <v>30</v>
      </c>
      <c r="AA13" s="1">
        <f>SUM(S9,S14,S19,S24,S29)</f>
        <v>21</v>
      </c>
    </row>
    <row r="14" ht="14.25" customHeight="1">
      <c r="A14" s="49" t="s">
        <v>16</v>
      </c>
      <c r="B14" s="50" t="s">
        <v>767</v>
      </c>
      <c r="C14" s="18"/>
      <c r="D14" s="20"/>
      <c r="E14" s="49">
        <v>4.0</v>
      </c>
      <c r="F14" s="49" t="s">
        <v>499</v>
      </c>
      <c r="G14" s="49"/>
      <c r="H14" s="49"/>
      <c r="I14" s="24"/>
      <c r="J14" s="9"/>
      <c r="M14" s="34" t="s">
        <v>36</v>
      </c>
      <c r="N14" s="35">
        <f>SUMIF($A22:$A31,"Pecho",$E22:$E31)</f>
        <v>0</v>
      </c>
      <c r="O14" s="35">
        <f>SUMIF($A22:$A31,"Espalda",$E22:$E31)</f>
        <v>0</v>
      </c>
      <c r="P14" s="35">
        <f>SUMIF($A22:$A31,"Hombros",$E22:$E31)</f>
        <v>0</v>
      </c>
      <c r="Q14" s="35">
        <f>SUMIF($A22:$A31,"Bíceps",$E22:$E31)</f>
        <v>0</v>
      </c>
      <c r="R14" s="35">
        <f>SUMIF($A22:$A31,"Tríceps",$E22:$E31)</f>
        <v>0</v>
      </c>
      <c r="S14" s="35">
        <f>SUMIF($A22:$A31,"Cuádriceps",$E22:$E31)</f>
        <v>11</v>
      </c>
      <c r="T14" s="35">
        <f>SUMIF($A22:$A31,"Isquios",$E22:$E31)</f>
        <v>0</v>
      </c>
      <c r="U14" s="35">
        <f>SUMIF($A22:$A31,"Glúteos",$E22:$E31)</f>
        <v>0</v>
      </c>
      <c r="V14" s="35">
        <f>SUMIF($A22:$A31,"Pantorrillas",$E22:$E31)</f>
        <v>0</v>
      </c>
      <c r="W14" s="35">
        <f>SUMIF($A22:$A31,"Otros",$E22:$E31)</f>
        <v>11</v>
      </c>
      <c r="Z14" s="28" t="s">
        <v>31</v>
      </c>
      <c r="AA14" s="1">
        <f>SUM(T9,T14,T19,T24,T29)</f>
        <v>3</v>
      </c>
    </row>
    <row r="15" ht="14.25" customHeight="1">
      <c r="A15" s="27" t="s">
        <v>113</v>
      </c>
      <c r="B15" s="30"/>
      <c r="C15" s="18"/>
      <c r="D15" s="20"/>
      <c r="E15" s="27">
        <v>4.0</v>
      </c>
      <c r="F15" s="27">
        <v>10.0</v>
      </c>
      <c r="G15" s="27"/>
      <c r="H15" s="27"/>
      <c r="I15" s="24"/>
      <c r="J15" s="9"/>
      <c r="M15" s="34" t="s">
        <v>7</v>
      </c>
      <c r="N15" s="35" t="str">
        <f>AVERAGEIF($A22:$A31,"Pecho",$G22:$G31)</f>
        <v>#DIV/0!</v>
      </c>
      <c r="O15" s="35" t="str">
        <f>AVERAGEIF($A22:$A31,"Espalda",$G22:$G31)</f>
        <v>#DIV/0!</v>
      </c>
      <c r="P15" s="35" t="str">
        <f>AVERAGEIF($A22:$A31,"Hombros",$G22:$G31)</f>
        <v>#DIV/0!</v>
      </c>
      <c r="Q15" s="35" t="str">
        <f>AVERAGEIF($A22:$A31,"Bíceps",$G22:$G31)</f>
        <v>#DIV/0!</v>
      </c>
      <c r="R15" s="35" t="str">
        <f>AVERAGEIF($A22:$A31,"Tríceps",$G22:$G31)</f>
        <v>#DIV/0!</v>
      </c>
      <c r="S15" s="35">
        <f>AVERAGEIF($A22:$A31,"Cuádriceps",$G22:$G31)</f>
        <v>8</v>
      </c>
      <c r="T15" s="35" t="str">
        <f>AVERAGEIF($A22:$A31,"Isquios",$G22:$G31)</f>
        <v>#DIV/0!</v>
      </c>
      <c r="U15" s="35" t="str">
        <f>AVERAGEIF($A22:$A31,"Glúteos",$G22:$G31)</f>
        <v>#DIV/0!</v>
      </c>
      <c r="V15" s="35" t="str">
        <f>AVERAGEIF($A22:$A31,"Pantorrillas",$G22:$G31)</f>
        <v>#DIV/0!</v>
      </c>
      <c r="W15" s="35" t="str">
        <f>AVERAGEIF($A22:$A31,"Otros",$G22:$G31)</f>
        <v>#DIV/0!</v>
      </c>
      <c r="Z15" s="28" t="s">
        <v>32</v>
      </c>
      <c r="AA15" s="1">
        <f>SUM(U9,U14,U19,U24,U29)</f>
        <v>20</v>
      </c>
    </row>
    <row r="16" ht="14.25" customHeight="1">
      <c r="A16" s="27" t="s">
        <v>113</v>
      </c>
      <c r="B16" s="30"/>
      <c r="C16" s="18"/>
      <c r="D16" s="20"/>
      <c r="E16" s="27">
        <v>3.0</v>
      </c>
      <c r="F16" s="27">
        <v>12.0</v>
      </c>
      <c r="G16" s="27"/>
      <c r="H16" s="27"/>
      <c r="I16" s="24"/>
      <c r="J16" s="9"/>
      <c r="M16" s="25"/>
      <c r="N16" s="25"/>
      <c r="O16" s="25"/>
      <c r="P16" s="25"/>
      <c r="Q16" s="25"/>
      <c r="R16" s="25"/>
      <c r="S16" s="25"/>
      <c r="T16" s="25"/>
      <c r="U16" s="25"/>
      <c r="Z16" s="28" t="s">
        <v>33</v>
      </c>
      <c r="AA16" s="1">
        <f>SUM(V9,V14,V19,V24,V29)</f>
        <v>0</v>
      </c>
    </row>
    <row r="17" ht="14.25" customHeight="1">
      <c r="A17" s="49" t="s">
        <v>12</v>
      </c>
      <c r="B17" s="50" t="s">
        <v>757</v>
      </c>
      <c r="C17" s="18"/>
      <c r="D17" s="20"/>
      <c r="E17" s="49">
        <v>1.0</v>
      </c>
      <c r="F17" s="49" t="s">
        <v>758</v>
      </c>
      <c r="G17" s="49"/>
      <c r="H17" s="49"/>
      <c r="I17" s="24"/>
      <c r="J17" s="9"/>
      <c r="M17" s="11" t="s">
        <v>57</v>
      </c>
      <c r="N17" s="12"/>
      <c r="O17" s="12"/>
      <c r="P17" s="12"/>
      <c r="Q17" s="12"/>
      <c r="R17" s="12"/>
      <c r="S17" s="12"/>
      <c r="T17" s="12"/>
      <c r="U17" s="12"/>
      <c r="V17" s="12"/>
      <c r="W17" s="13"/>
      <c r="Z17" s="28" t="s">
        <v>12</v>
      </c>
      <c r="AA17" s="1">
        <f>SUM(W9,W14,W19,W24,W29)</f>
        <v>20</v>
      </c>
    </row>
    <row r="18" ht="14.25" customHeight="1">
      <c r="B18" s="26"/>
      <c r="C18" s="29"/>
      <c r="D18" s="29"/>
      <c r="M18" s="25"/>
      <c r="N18" s="28" t="s">
        <v>16</v>
      </c>
      <c r="O18" s="28" t="s">
        <v>26</v>
      </c>
      <c r="P18" s="28" t="s">
        <v>27</v>
      </c>
      <c r="Q18" s="28" t="s">
        <v>28</v>
      </c>
      <c r="R18" s="28" t="s">
        <v>29</v>
      </c>
      <c r="S18" s="28" t="s">
        <v>30</v>
      </c>
      <c r="T18" s="28" t="s">
        <v>31</v>
      </c>
      <c r="U18" s="28" t="s">
        <v>32</v>
      </c>
      <c r="V18" s="28" t="s">
        <v>33</v>
      </c>
      <c r="W18" s="28" t="s">
        <v>12</v>
      </c>
    </row>
    <row r="19" ht="14.25" customHeight="1">
      <c r="M19" s="34" t="s">
        <v>36</v>
      </c>
      <c r="N19" s="35">
        <f>SUMIF($A37:$A46,"Pecho",$E37:$E46)</f>
        <v>0</v>
      </c>
      <c r="O19" s="35">
        <f>SUMIF($A37:$A46,"Espalda",$E37:$E46)</f>
        <v>18</v>
      </c>
      <c r="P19" s="35">
        <f>SUMIF($A37:$A46,"Hombros",$E37:$E46)</f>
        <v>3</v>
      </c>
      <c r="Q19" s="35">
        <f>SUMIF($A37:$A46,"Bíceps",$E37:$E46)</f>
        <v>0</v>
      </c>
      <c r="R19" s="35">
        <f>SUMIF($A37:$A46,"Tríceps",$E37:$E46)</f>
        <v>0</v>
      </c>
      <c r="S19" s="35">
        <f>SUMIF($A37:$A46,"Cuádriceps",$E37:$E46)</f>
        <v>0</v>
      </c>
      <c r="T19" s="35">
        <f>SUMIF($A37:$A46,"Isquios",$E37:$E46)</f>
        <v>0</v>
      </c>
      <c r="U19" s="35">
        <f>SUMIF($A37:$A46,"Glúteos",$E37:$E46)</f>
        <v>0</v>
      </c>
      <c r="V19" s="35">
        <f>SUMIF($A37:$A46,"Pantorrillas",$E37:$E46)</f>
        <v>0</v>
      </c>
      <c r="W19" s="35">
        <f>SUMIF($A37:$A46,"Otros",$E37:$E46)</f>
        <v>1</v>
      </c>
    </row>
    <row r="20" ht="14.25" customHeight="1">
      <c r="A20" s="2" t="s">
        <v>45</v>
      </c>
      <c r="B20" s="3"/>
      <c r="C20" s="4"/>
      <c r="J20" s="1"/>
      <c r="M20" s="34" t="s">
        <v>7</v>
      </c>
      <c r="N20" s="35" t="str">
        <f>AVERAGEIF($A37:$A46,"Pecho",$G37:$G46)</f>
        <v>#DIV/0!</v>
      </c>
      <c r="O20" s="35">
        <f>AVERAGEIF($A37:$A46,"Espalda",$G37:$G46)</f>
        <v>8</v>
      </c>
      <c r="P20" s="35" t="str">
        <f>AVERAGEIF($A37:$A46,"Hombros",$G37:$G46)</f>
        <v>#DIV/0!</v>
      </c>
      <c r="Q20" s="35" t="str">
        <f>AVERAGEIF($A37:$A46,"Bíceps",$G37:$G46)</f>
        <v>#DIV/0!</v>
      </c>
      <c r="R20" s="35" t="str">
        <f>AVERAGEIF($A37:$A46,"Tríceps",$G37:$G46)</f>
        <v>#DIV/0!</v>
      </c>
      <c r="S20" s="35" t="str">
        <f>AVERAGEIF($A37:$A46,"Cuádriceps",$G37:$G46)</f>
        <v>#DIV/0!</v>
      </c>
      <c r="T20" s="35" t="str">
        <f>AVERAGEIF($A37:$A46,"Isquios",$G37:$G46)</f>
        <v>#DIV/0!</v>
      </c>
      <c r="U20" s="35" t="str">
        <f>AVERAGEIF($A37:$A46,"Glúteos",$G37:$G46)</f>
        <v>#DIV/0!</v>
      </c>
      <c r="V20" s="35" t="str">
        <f>AVERAGEIF($A37:$A46,"Pantorrillas",$G37:$G46)</f>
        <v>#DIV/0!</v>
      </c>
      <c r="W20" s="35" t="str">
        <f>AVERAGEIF($A37:$A46,"Otros",$G37:$G46)</f>
        <v>#DIV/0!</v>
      </c>
    </row>
    <row r="21" ht="14.25" customHeight="1">
      <c r="A21" s="6" t="s">
        <v>2</v>
      </c>
      <c r="B21" s="10" t="s">
        <v>4</v>
      </c>
      <c r="C21" s="8"/>
      <c r="D21" s="9"/>
      <c r="E21" s="6" t="s">
        <v>5</v>
      </c>
      <c r="F21" s="6" t="s">
        <v>6</v>
      </c>
      <c r="G21" s="6" t="s">
        <v>7</v>
      </c>
      <c r="H21" s="6" t="s">
        <v>8</v>
      </c>
      <c r="I21" s="10" t="s">
        <v>9</v>
      </c>
      <c r="J21" s="9"/>
      <c r="M21" s="25"/>
      <c r="N21" s="25"/>
      <c r="O21" s="25"/>
      <c r="P21" s="25"/>
      <c r="Q21" s="25"/>
      <c r="R21" s="25"/>
      <c r="S21" s="25"/>
      <c r="T21" s="25"/>
      <c r="U21" s="25"/>
    </row>
    <row r="22" ht="14.25" customHeight="1">
      <c r="A22" s="27"/>
      <c r="B22" s="30" t="s">
        <v>642</v>
      </c>
      <c r="C22" s="18"/>
      <c r="D22" s="20"/>
      <c r="E22" s="27">
        <v>1.0</v>
      </c>
      <c r="F22" s="27" t="s">
        <v>763</v>
      </c>
      <c r="G22" s="27"/>
      <c r="H22" s="27"/>
      <c r="I22" s="24"/>
      <c r="J22" s="9"/>
      <c r="M22" s="11" t="s">
        <v>66</v>
      </c>
      <c r="N22" s="12"/>
      <c r="O22" s="12"/>
      <c r="P22" s="12"/>
      <c r="Q22" s="12"/>
      <c r="R22" s="12"/>
      <c r="S22" s="12"/>
      <c r="T22" s="12"/>
      <c r="U22" s="12"/>
      <c r="V22" s="12"/>
      <c r="W22" s="13"/>
    </row>
    <row r="23" ht="14.25" customHeight="1">
      <c r="A23" s="27"/>
      <c r="B23" s="30" t="s">
        <v>764</v>
      </c>
      <c r="C23" s="18"/>
      <c r="D23" s="20"/>
      <c r="E23" s="27">
        <v>3.0</v>
      </c>
      <c r="F23" s="27" t="s">
        <v>289</v>
      </c>
      <c r="G23" s="27"/>
      <c r="H23" s="27"/>
      <c r="I23" s="24"/>
      <c r="J23" s="9"/>
      <c r="M23" s="25"/>
      <c r="N23" s="28" t="s">
        <v>16</v>
      </c>
      <c r="O23" s="28" t="s">
        <v>26</v>
      </c>
      <c r="P23" s="28" t="s">
        <v>27</v>
      </c>
      <c r="Q23" s="28" t="s">
        <v>28</v>
      </c>
      <c r="R23" s="28" t="s">
        <v>29</v>
      </c>
      <c r="S23" s="28" t="s">
        <v>30</v>
      </c>
      <c r="T23" s="28" t="s">
        <v>31</v>
      </c>
      <c r="U23" s="28" t="s">
        <v>32</v>
      </c>
      <c r="V23" s="28" t="s">
        <v>33</v>
      </c>
      <c r="W23" s="28" t="s">
        <v>12</v>
      </c>
    </row>
    <row r="24" ht="14.25" customHeight="1">
      <c r="A24" s="27"/>
      <c r="B24" s="30" t="s">
        <v>766</v>
      </c>
      <c r="C24" s="18"/>
      <c r="D24" s="20"/>
      <c r="E24" s="27">
        <v>3.0</v>
      </c>
      <c r="F24" s="27">
        <v>10.0</v>
      </c>
      <c r="G24" s="27"/>
      <c r="H24" s="27"/>
      <c r="I24" s="24"/>
      <c r="J24" s="9"/>
      <c r="M24" s="34" t="s">
        <v>36</v>
      </c>
      <c r="N24" s="35">
        <f>SUMIF($A51:$A60,"Pecho",$E51:$E60)</f>
        <v>3</v>
      </c>
      <c r="O24" s="35">
        <f>SUMIF($A51:$A60,"Espalda",$E51:$E60)</f>
        <v>0</v>
      </c>
      <c r="P24" s="35">
        <f>SUMIF($A51:$A60,"Hombros",$E51:$E60)</f>
        <v>0</v>
      </c>
      <c r="Q24" s="35">
        <f>SUMIF($A51:$A60,"Bíceps",$E51:$E60)</f>
        <v>0</v>
      </c>
      <c r="R24" s="35">
        <f>SUMIF($A51:$A60,"Tríceps",$E51:$E60)</f>
        <v>0</v>
      </c>
      <c r="S24" s="35">
        <f>SUMIF($A51:$A60,"Cuádriceps",$E51:$E60)</f>
        <v>10</v>
      </c>
      <c r="T24" s="35">
        <f>SUMIF($A51:$A60,"Isquios",$E51:$E60)</f>
        <v>0</v>
      </c>
      <c r="U24" s="35">
        <f>SUMIF($A51:$A60,"Glúteos",$E51:$E60)</f>
        <v>3</v>
      </c>
      <c r="V24" s="35">
        <f>SUMIF($A51:$A60,"Pantorrillas",$E51:$E60)</f>
        <v>0</v>
      </c>
      <c r="W24" s="35">
        <f>SUMIF($A51:$A60,"Otros",$E51:$E60)</f>
        <v>0</v>
      </c>
    </row>
    <row r="25" ht="14.25" customHeight="1">
      <c r="A25" s="99" t="s">
        <v>30</v>
      </c>
      <c r="B25" s="100" t="s">
        <v>785</v>
      </c>
      <c r="C25" s="18"/>
      <c r="D25" s="20"/>
      <c r="E25" s="99">
        <v>3.0</v>
      </c>
      <c r="F25" s="99">
        <v>10.0</v>
      </c>
      <c r="G25" s="99">
        <v>8.0</v>
      </c>
      <c r="H25" s="99" t="s">
        <v>55</v>
      </c>
      <c r="I25" s="24"/>
      <c r="J25" s="9"/>
      <c r="M25" s="34" t="s">
        <v>7</v>
      </c>
      <c r="N25" s="35" t="str">
        <f>AVERAGEIF($A51:$A60,"Pecho",$G51:$G60)</f>
        <v>#DIV/0!</v>
      </c>
      <c r="O25" s="35" t="str">
        <f>AVERAGEIF($A51:$A60,"Espalda",$G51:$G60)</f>
        <v>#DIV/0!</v>
      </c>
      <c r="P25" s="35" t="str">
        <f>AVERAGEIF($A51:$A60,"Hombros",$G51:$G60)</f>
        <v>#DIV/0!</v>
      </c>
      <c r="Q25" s="35" t="str">
        <f>AVERAGEIF($A51:$A60,"Bíceps",$G51:$G60)</f>
        <v>#DIV/0!</v>
      </c>
      <c r="R25" s="35" t="str">
        <f>AVERAGEIF($A51:$A60,"Tríceps",$G51:$G60)</f>
        <v>#DIV/0!</v>
      </c>
      <c r="S25" s="35" t="str">
        <f>AVERAGEIF($A51:$A60,"Cuádriceps",$G51:$G60)</f>
        <v>#DIV/0!</v>
      </c>
      <c r="T25" s="35" t="str">
        <f>AVERAGEIF($A51:$A60,"Isquios",$G51:$G60)</f>
        <v>#DIV/0!</v>
      </c>
      <c r="U25" s="35" t="str">
        <f>AVERAGEIF($A51:$A60,"Glúteos",$G51:$G60)</f>
        <v>#DIV/0!</v>
      </c>
      <c r="V25" s="35" t="str">
        <f>AVERAGEIF($A51:$A60,"Pantorrillas",$G51:$G60)</f>
        <v>#DIV/0!</v>
      </c>
      <c r="W25" s="35" t="str">
        <f>AVERAGEIF($A51:$A60,"Otros",$G51:$G60)</f>
        <v>#DIV/0!</v>
      </c>
    </row>
    <row r="26" ht="14.25" customHeight="1">
      <c r="A26" s="99" t="s">
        <v>30</v>
      </c>
      <c r="B26" s="100" t="s">
        <v>790</v>
      </c>
      <c r="C26" s="18"/>
      <c r="D26" s="20"/>
      <c r="E26" s="99">
        <v>4.0</v>
      </c>
      <c r="F26" s="99" t="s">
        <v>522</v>
      </c>
      <c r="G26" s="99"/>
      <c r="H26" s="99"/>
      <c r="I26" s="24"/>
      <c r="J26" s="9"/>
      <c r="M26" s="25"/>
      <c r="N26" s="25"/>
      <c r="O26" s="25"/>
      <c r="P26" s="25"/>
      <c r="Q26" s="25"/>
      <c r="R26" s="25"/>
      <c r="S26" s="25"/>
      <c r="T26" s="25"/>
      <c r="U26" s="25"/>
    </row>
    <row r="27" ht="14.25" customHeight="1">
      <c r="A27" s="27" t="s">
        <v>30</v>
      </c>
      <c r="B27" s="30" t="s">
        <v>793</v>
      </c>
      <c r="C27" s="18"/>
      <c r="D27" s="20"/>
      <c r="E27" s="27">
        <v>4.0</v>
      </c>
      <c r="F27" s="27">
        <v>10.0</v>
      </c>
      <c r="G27" s="27"/>
      <c r="H27" s="27"/>
      <c r="I27" s="24"/>
      <c r="J27" s="9"/>
      <c r="M27" s="11" t="s">
        <v>76</v>
      </c>
      <c r="N27" s="12"/>
      <c r="O27" s="12"/>
      <c r="P27" s="12"/>
      <c r="Q27" s="12"/>
      <c r="R27" s="12"/>
      <c r="S27" s="12"/>
      <c r="T27" s="12"/>
      <c r="U27" s="12"/>
      <c r="V27" s="12"/>
      <c r="W27" s="13"/>
    </row>
    <row r="28" ht="14.25" customHeight="1">
      <c r="A28" s="27" t="s">
        <v>113</v>
      </c>
      <c r="B28" s="30" t="s">
        <v>242</v>
      </c>
      <c r="C28" s="18"/>
      <c r="D28" s="20"/>
      <c r="E28" s="27">
        <v>3.0</v>
      </c>
      <c r="F28" s="27">
        <v>10.0</v>
      </c>
      <c r="G28" s="27"/>
      <c r="H28" s="27"/>
      <c r="I28" s="24"/>
      <c r="J28" s="9"/>
      <c r="M28" s="25"/>
      <c r="N28" s="28" t="s">
        <v>16</v>
      </c>
      <c r="O28" s="28" t="s">
        <v>26</v>
      </c>
      <c r="P28" s="28" t="s">
        <v>27</v>
      </c>
      <c r="Q28" s="28" t="s">
        <v>28</v>
      </c>
      <c r="R28" s="28" t="s">
        <v>29</v>
      </c>
      <c r="S28" s="28" t="s">
        <v>30</v>
      </c>
      <c r="T28" s="28" t="s">
        <v>31</v>
      </c>
      <c r="U28" s="28" t="s">
        <v>32</v>
      </c>
      <c r="V28" s="28" t="s">
        <v>33</v>
      </c>
      <c r="W28" s="28" t="s">
        <v>12</v>
      </c>
    </row>
    <row r="29" ht="14.25" customHeight="1">
      <c r="A29" s="49" t="s">
        <v>113</v>
      </c>
      <c r="B29" s="50" t="s">
        <v>770</v>
      </c>
      <c r="C29" s="18"/>
      <c r="D29" s="20"/>
      <c r="E29" s="49">
        <v>3.0</v>
      </c>
      <c r="F29" s="49">
        <v>10.0</v>
      </c>
      <c r="G29" s="49"/>
      <c r="H29" s="49"/>
      <c r="I29" s="24"/>
      <c r="J29" s="9"/>
      <c r="M29" s="34" t="s">
        <v>36</v>
      </c>
      <c r="N29" s="35">
        <f>SUMIF($A65:$A74,"Pecho",$E65:$E74)</f>
        <v>3</v>
      </c>
      <c r="O29" s="35">
        <f>SUMIF($A65:$A74,"Espalda",$E65:$E74)</f>
        <v>0</v>
      </c>
      <c r="P29" s="35">
        <f>SUMIF($A65:$A74,"Hombros",$E65:$E74)</f>
        <v>0</v>
      </c>
      <c r="Q29" s="35">
        <f>SUMIF($A65:$A74,"Bíceps",$E65:$E74)</f>
        <v>0</v>
      </c>
      <c r="R29" s="35">
        <f>SUMIF($A65:$A74,"Tríceps",$E65:$E74)</f>
        <v>0</v>
      </c>
      <c r="S29" s="35">
        <f>SUMIF($A65:$A74,"Cuádriceps",$E65:$E74)</f>
        <v>0</v>
      </c>
      <c r="T29" s="35">
        <f>SUMIF($A65:$A74,"Isquios",$E65:$E74)</f>
        <v>3</v>
      </c>
      <c r="U29" s="35">
        <f>SUMIF($A65:$A74,"Glúteos",$E65:$E74)</f>
        <v>17</v>
      </c>
      <c r="V29" s="35">
        <f>SUMIF($A65:$A74,"Pantorrillas",$E65:$E74)</f>
        <v>0</v>
      </c>
      <c r="W29" s="35">
        <f>SUMIF($A65:$A74,"Otros",$E65:$E74)</f>
        <v>0</v>
      </c>
    </row>
    <row r="30" ht="14.25" customHeight="1">
      <c r="A30" s="49" t="s">
        <v>113</v>
      </c>
      <c r="B30" s="50" t="s">
        <v>772</v>
      </c>
      <c r="C30" s="18"/>
      <c r="D30" s="20"/>
      <c r="E30" s="49">
        <v>4.0</v>
      </c>
      <c r="F30" s="49">
        <v>10.0</v>
      </c>
      <c r="G30" s="49"/>
      <c r="H30" s="49"/>
      <c r="I30" s="24"/>
      <c r="J30" s="9"/>
      <c r="M30" s="34" t="s">
        <v>7</v>
      </c>
      <c r="N30" s="35" t="str">
        <f>AVERAGEIF($A65:$A74,"Pecho",$G65:$G74)</f>
        <v>#DIV/0!</v>
      </c>
      <c r="O30" s="35" t="str">
        <f>AVERAGEIF($A65:$A74,"Espalda",$G65:$G74)</f>
        <v>#DIV/0!</v>
      </c>
      <c r="P30" s="35" t="str">
        <f>AVERAGEIF($A65:$A74,"Hombros",$G65:$G74)</f>
        <v>#DIV/0!</v>
      </c>
      <c r="Q30" s="35" t="str">
        <f>AVERAGEIF($A65:$A74,"Bíceps",$G65:$G74)</f>
        <v>#DIV/0!</v>
      </c>
      <c r="R30" s="35" t="str">
        <f>AVERAGEIF($A65:$A74,"Tríceps",$G65:$G74)</f>
        <v>#DIV/0!</v>
      </c>
      <c r="S30" s="35" t="str">
        <f>AVERAGEIF($A65:$A74,"Cuádriceps",$G65:$G74)</f>
        <v>#DIV/0!</v>
      </c>
      <c r="T30" s="35" t="str">
        <f>AVERAGEIF($A65:$A74,"Isquios",$G65:$G74)</f>
        <v>#DIV/0!</v>
      </c>
      <c r="U30" s="35" t="str">
        <f>AVERAGEIF($A65:$A74,"Glúteos",$G65:$G74)</f>
        <v>#DIV/0!</v>
      </c>
      <c r="V30" s="35" t="str">
        <f>AVERAGEIF($A65:$A74,"Pantorrillas",$G65:$G74)</f>
        <v>#DIV/0!</v>
      </c>
      <c r="W30" s="35" t="str">
        <f>AVERAGEIF($A65:$A74,"Otros",$G65:$G74)</f>
        <v>#DIV/0!</v>
      </c>
    </row>
    <row r="31" ht="14.25" customHeight="1">
      <c r="A31" s="16" t="s">
        <v>12</v>
      </c>
      <c r="B31" s="118" t="s">
        <v>774</v>
      </c>
      <c r="C31" s="8"/>
      <c r="D31" s="9"/>
      <c r="E31" s="115">
        <v>1.0</v>
      </c>
      <c r="F31" s="68" t="s">
        <v>763</v>
      </c>
      <c r="G31" s="68"/>
      <c r="H31" s="68"/>
      <c r="I31" s="24"/>
      <c r="J31" s="9"/>
    </row>
    <row r="32" ht="14.25" customHeight="1">
      <c r="A32" s="1" t="s">
        <v>113</v>
      </c>
      <c r="B32" s="120"/>
      <c r="C32" s="119"/>
      <c r="D32" s="123"/>
      <c r="E32" s="115"/>
      <c r="F32" s="121"/>
      <c r="G32" s="121"/>
      <c r="H32" s="121"/>
      <c r="I32" s="25"/>
      <c r="J32" s="1"/>
    </row>
    <row r="33" ht="14.25" customHeight="1">
      <c r="B33" s="26"/>
      <c r="C33" s="29"/>
      <c r="D33" s="29"/>
    </row>
    <row r="34" ht="14.25" customHeight="1"/>
    <row r="35" ht="14.25" customHeight="1">
      <c r="A35" s="2" t="s">
        <v>57</v>
      </c>
      <c r="B35" s="3"/>
      <c r="C35" s="4"/>
      <c r="J35" s="1"/>
    </row>
    <row r="36" ht="14.25" customHeight="1">
      <c r="A36" s="6" t="s">
        <v>2</v>
      </c>
      <c r="B36" s="10" t="s">
        <v>4</v>
      </c>
      <c r="C36" s="8"/>
      <c r="D36" s="9"/>
      <c r="E36" s="6" t="s">
        <v>5</v>
      </c>
      <c r="F36" s="6" t="s">
        <v>6</v>
      </c>
      <c r="G36" s="6" t="s">
        <v>7</v>
      </c>
      <c r="H36" s="6" t="s">
        <v>8</v>
      </c>
      <c r="I36" s="10" t="s">
        <v>9</v>
      </c>
      <c r="J36" s="9"/>
    </row>
    <row r="37" ht="14.25" customHeight="1">
      <c r="A37" s="99"/>
      <c r="B37" s="100" t="s">
        <v>775</v>
      </c>
      <c r="C37" s="18"/>
      <c r="D37" s="20"/>
      <c r="E37" s="99">
        <v>2.0</v>
      </c>
      <c r="F37" s="99">
        <v>10.0</v>
      </c>
      <c r="G37" s="99"/>
      <c r="H37" s="99"/>
      <c r="I37" s="101"/>
      <c r="J37" s="9"/>
    </row>
    <row r="38" ht="14.25" customHeight="1">
      <c r="A38" s="99"/>
      <c r="B38" s="100" t="s">
        <v>776</v>
      </c>
      <c r="C38" s="18"/>
      <c r="D38" s="20"/>
      <c r="E38" s="99">
        <v>3.0</v>
      </c>
      <c r="F38" s="99">
        <v>12.0</v>
      </c>
      <c r="G38" s="99"/>
      <c r="H38" s="99"/>
      <c r="I38" s="101"/>
      <c r="J38" s="9"/>
    </row>
    <row r="39" ht="14.25" customHeight="1">
      <c r="A39" s="99"/>
      <c r="B39" s="100" t="s">
        <v>705</v>
      </c>
      <c r="C39" s="18"/>
      <c r="D39" s="20"/>
      <c r="E39" s="99">
        <v>3.0</v>
      </c>
      <c r="F39" s="99">
        <v>12.0</v>
      </c>
      <c r="G39" s="99"/>
      <c r="H39" s="99"/>
      <c r="I39" s="101"/>
      <c r="J39" s="9"/>
    </row>
    <row r="40" ht="14.25" customHeight="1">
      <c r="A40" s="27" t="s">
        <v>26</v>
      </c>
      <c r="B40" s="30" t="s">
        <v>192</v>
      </c>
      <c r="C40" s="18"/>
      <c r="D40" s="20"/>
      <c r="E40" s="27">
        <v>4.0</v>
      </c>
      <c r="F40" s="27">
        <v>10.0</v>
      </c>
      <c r="G40" s="27">
        <v>8.0</v>
      </c>
      <c r="H40" s="27" t="s">
        <v>55</v>
      </c>
      <c r="I40" s="33"/>
      <c r="J40" s="9"/>
    </row>
    <row r="41" ht="14.25" customHeight="1">
      <c r="A41" s="27" t="s">
        <v>26</v>
      </c>
      <c r="B41" s="30" t="s">
        <v>415</v>
      </c>
      <c r="C41" s="18"/>
      <c r="D41" s="20"/>
      <c r="E41" s="27">
        <v>3.0</v>
      </c>
      <c r="F41" s="27">
        <v>10.0</v>
      </c>
      <c r="G41" s="27"/>
      <c r="H41" s="27"/>
      <c r="I41" s="33"/>
      <c r="J41" s="9"/>
    </row>
    <row r="42" ht="14.25" customHeight="1">
      <c r="A42" s="99" t="s">
        <v>26</v>
      </c>
      <c r="B42" s="100" t="s">
        <v>559</v>
      </c>
      <c r="C42" s="18"/>
      <c r="D42" s="20"/>
      <c r="E42" s="99">
        <v>4.0</v>
      </c>
      <c r="F42" s="99">
        <v>12.0</v>
      </c>
      <c r="G42" s="99"/>
      <c r="H42" s="99"/>
      <c r="I42" s="101"/>
      <c r="J42" s="9"/>
    </row>
    <row r="43" ht="14.25" customHeight="1">
      <c r="A43" s="99" t="s">
        <v>26</v>
      </c>
      <c r="B43" s="100" t="s">
        <v>811</v>
      </c>
      <c r="C43" s="18"/>
      <c r="D43" s="20"/>
      <c r="E43" s="99">
        <v>4.0</v>
      </c>
      <c r="F43" s="99">
        <v>10.0</v>
      </c>
      <c r="G43" s="99"/>
      <c r="H43" s="99"/>
      <c r="I43" s="101"/>
      <c r="J43" s="9"/>
    </row>
    <row r="44" ht="14.25" customHeight="1">
      <c r="A44" s="27" t="s">
        <v>27</v>
      </c>
      <c r="B44" s="30" t="s">
        <v>713</v>
      </c>
      <c r="C44" s="18"/>
      <c r="D44" s="20"/>
      <c r="E44" s="27">
        <v>3.0</v>
      </c>
      <c r="F44" s="27">
        <v>12.0</v>
      </c>
      <c r="G44" s="27"/>
      <c r="H44" s="27"/>
      <c r="I44" s="33"/>
      <c r="J44" s="9"/>
    </row>
    <row r="45" ht="14.25" customHeight="1">
      <c r="A45" s="27" t="s">
        <v>26</v>
      </c>
      <c r="B45" s="30" t="s">
        <v>778</v>
      </c>
      <c r="C45" s="18"/>
      <c r="D45" s="20"/>
      <c r="E45" s="27">
        <v>3.0</v>
      </c>
      <c r="F45" s="27">
        <v>10.0</v>
      </c>
      <c r="G45" s="27"/>
      <c r="H45" s="27"/>
      <c r="I45" s="33"/>
      <c r="J45" s="9"/>
    </row>
    <row r="46" ht="14.25" customHeight="1">
      <c r="A46" s="27" t="s">
        <v>12</v>
      </c>
      <c r="B46" s="60" t="s">
        <v>779</v>
      </c>
      <c r="C46" s="8"/>
      <c r="D46" s="9"/>
      <c r="E46" s="27">
        <v>1.0</v>
      </c>
      <c r="F46" s="27" t="s">
        <v>780</v>
      </c>
      <c r="G46" s="27"/>
      <c r="H46" s="27"/>
      <c r="I46" s="33"/>
      <c r="J46" s="9"/>
    </row>
    <row r="47" ht="14.25" customHeight="1">
      <c r="B47" s="26"/>
      <c r="C47" s="29"/>
      <c r="D47" s="29"/>
    </row>
    <row r="48" ht="14.25" customHeight="1"/>
    <row r="49" ht="14.25" customHeight="1">
      <c r="A49" s="2" t="s">
        <v>66</v>
      </c>
      <c r="B49" s="3"/>
      <c r="C49" s="4"/>
      <c r="J49" s="1"/>
    </row>
    <row r="50" ht="14.25" customHeight="1">
      <c r="A50" s="6" t="s">
        <v>2</v>
      </c>
      <c r="B50" s="10" t="s">
        <v>4</v>
      </c>
      <c r="C50" s="8"/>
      <c r="D50" s="9"/>
      <c r="E50" s="6" t="s">
        <v>5</v>
      </c>
      <c r="F50" s="6" t="s">
        <v>6</v>
      </c>
      <c r="G50" s="6" t="s">
        <v>7</v>
      </c>
      <c r="H50" s="6" t="s">
        <v>8</v>
      </c>
      <c r="I50" s="10" t="s">
        <v>9</v>
      </c>
      <c r="J50" s="9"/>
    </row>
    <row r="51" ht="14.25" customHeight="1">
      <c r="A51" s="99"/>
      <c r="B51" s="100" t="s">
        <v>642</v>
      </c>
      <c r="C51" s="18"/>
      <c r="D51" s="20"/>
      <c r="E51" s="99"/>
      <c r="F51" s="99"/>
      <c r="G51" s="99"/>
      <c r="H51" s="99"/>
      <c r="I51" s="24"/>
      <c r="J51" s="9"/>
    </row>
    <row r="52" ht="14.25" customHeight="1">
      <c r="A52" s="99"/>
      <c r="B52" s="100" t="s">
        <v>784</v>
      </c>
      <c r="C52" s="18"/>
      <c r="D52" s="20"/>
      <c r="E52" s="99"/>
      <c r="F52" s="99"/>
      <c r="G52" s="99"/>
      <c r="H52" s="99"/>
      <c r="I52" s="24"/>
      <c r="J52" s="9"/>
    </row>
    <row r="53" ht="14.25" customHeight="1">
      <c r="A53" s="99" t="s">
        <v>12</v>
      </c>
      <c r="B53" s="100" t="s">
        <v>208</v>
      </c>
      <c r="C53" s="18"/>
      <c r="D53" s="20"/>
      <c r="E53" s="99"/>
      <c r="F53" s="99">
        <v>10.0</v>
      </c>
      <c r="G53" s="99"/>
      <c r="H53" s="99"/>
      <c r="I53" s="24"/>
      <c r="J53" s="9"/>
    </row>
    <row r="54" ht="14.25" customHeight="1">
      <c r="A54" s="16" t="s">
        <v>30</v>
      </c>
      <c r="B54" s="30" t="s">
        <v>786</v>
      </c>
      <c r="C54" s="18"/>
      <c r="D54" s="20"/>
      <c r="E54" s="27">
        <v>3.0</v>
      </c>
      <c r="F54" s="27">
        <v>10.0</v>
      </c>
      <c r="G54" s="27"/>
      <c r="H54" s="27"/>
      <c r="I54" s="24"/>
      <c r="J54" s="9"/>
    </row>
    <row r="55" ht="14.25" customHeight="1">
      <c r="A55" s="16" t="s">
        <v>32</v>
      </c>
      <c r="B55" s="30" t="s">
        <v>658</v>
      </c>
      <c r="C55" s="18"/>
      <c r="D55" s="20"/>
      <c r="E55" s="27">
        <v>3.0</v>
      </c>
      <c r="F55" s="27" t="s">
        <v>71</v>
      </c>
      <c r="G55" s="27"/>
      <c r="H55" s="27"/>
      <c r="I55" s="24"/>
      <c r="J55" s="9"/>
    </row>
    <row r="56" ht="14.25" customHeight="1">
      <c r="A56" s="16" t="s">
        <v>29</v>
      </c>
      <c r="B56" s="30" t="s">
        <v>787</v>
      </c>
      <c r="C56" s="18"/>
      <c r="D56" s="20"/>
      <c r="E56" s="27"/>
      <c r="F56" s="27">
        <v>10.0</v>
      </c>
      <c r="G56" s="27"/>
      <c r="H56" s="27"/>
      <c r="I56" s="24"/>
      <c r="J56" s="9"/>
    </row>
    <row r="57" ht="14.25" customHeight="1">
      <c r="A57" s="16" t="s">
        <v>30</v>
      </c>
      <c r="B57" s="30" t="s">
        <v>338</v>
      </c>
      <c r="C57" s="18"/>
      <c r="D57" s="20"/>
      <c r="E57" s="27">
        <v>3.0</v>
      </c>
      <c r="F57" s="27" t="s">
        <v>71</v>
      </c>
      <c r="G57" s="27"/>
      <c r="H57" s="27"/>
      <c r="I57" s="24"/>
      <c r="J57" s="9"/>
    </row>
    <row r="58" ht="14.25" customHeight="1">
      <c r="A58" s="16" t="s">
        <v>16</v>
      </c>
      <c r="B58" s="30" t="s">
        <v>789</v>
      </c>
      <c r="C58" s="18"/>
      <c r="D58" s="20"/>
      <c r="E58" s="27">
        <v>3.0</v>
      </c>
      <c r="F58" s="27">
        <v>10.0</v>
      </c>
      <c r="G58" s="27"/>
      <c r="H58" s="27"/>
      <c r="I58" s="24"/>
      <c r="J58" s="9"/>
    </row>
    <row r="59" ht="14.25" customHeight="1">
      <c r="A59" s="16" t="s">
        <v>30</v>
      </c>
      <c r="B59" s="30" t="s">
        <v>791</v>
      </c>
      <c r="C59" s="18"/>
      <c r="D59" s="20"/>
      <c r="E59" s="27">
        <v>4.0</v>
      </c>
      <c r="F59" s="27">
        <v>10.0</v>
      </c>
      <c r="G59" s="27"/>
      <c r="H59" s="27"/>
      <c r="I59" s="24"/>
      <c r="J59" s="9"/>
    </row>
    <row r="60" ht="14.25" customHeight="1">
      <c r="A60" s="16"/>
      <c r="B60" s="60" t="s">
        <v>757</v>
      </c>
      <c r="C60" s="8"/>
      <c r="D60" s="9"/>
      <c r="E60" s="27">
        <v>1.0</v>
      </c>
      <c r="F60" s="27" t="s">
        <v>403</v>
      </c>
      <c r="G60" s="27"/>
      <c r="H60" s="27"/>
      <c r="I60" s="24"/>
      <c r="J60" s="9"/>
    </row>
    <row r="61" ht="14.25" customHeight="1">
      <c r="B61" s="26"/>
      <c r="C61" s="29"/>
      <c r="D61" s="29"/>
    </row>
    <row r="62" ht="14.25" customHeight="1"/>
    <row r="63" ht="14.25" customHeight="1">
      <c r="A63" s="2" t="s">
        <v>76</v>
      </c>
      <c r="B63" s="3"/>
      <c r="C63" s="4"/>
      <c r="J63" s="1"/>
    </row>
    <row r="64" ht="14.25" customHeight="1">
      <c r="A64" s="6" t="s">
        <v>2</v>
      </c>
      <c r="B64" s="10" t="s">
        <v>4</v>
      </c>
      <c r="C64" s="8"/>
      <c r="D64" s="9"/>
      <c r="E64" s="6" t="s">
        <v>5</v>
      </c>
      <c r="F64" s="6" t="s">
        <v>6</v>
      </c>
      <c r="G64" s="6" t="s">
        <v>7</v>
      </c>
      <c r="H64" s="6" t="s">
        <v>8</v>
      </c>
      <c r="I64" s="10" t="s">
        <v>9</v>
      </c>
      <c r="J64" s="9"/>
    </row>
    <row r="65" ht="14.25" customHeight="1">
      <c r="A65" s="99"/>
      <c r="B65" s="100" t="s">
        <v>796</v>
      </c>
      <c r="C65" s="18"/>
      <c r="D65" s="20"/>
      <c r="E65" s="99">
        <v>3.0</v>
      </c>
      <c r="F65" s="99">
        <v>10.0</v>
      </c>
      <c r="G65" s="99"/>
      <c r="H65" s="99"/>
      <c r="I65" s="101"/>
      <c r="J65" s="9"/>
    </row>
    <row r="66" ht="14.25" customHeight="1">
      <c r="A66" s="99"/>
      <c r="B66" s="100" t="s">
        <v>799</v>
      </c>
      <c r="C66" s="18"/>
      <c r="D66" s="20"/>
      <c r="E66" s="99">
        <v>3.0</v>
      </c>
      <c r="F66" s="99">
        <v>10.0</v>
      </c>
      <c r="G66" s="99"/>
      <c r="H66" s="99"/>
      <c r="I66" s="101"/>
      <c r="J66" s="9"/>
    </row>
    <row r="67" ht="14.25" customHeight="1">
      <c r="A67" s="99" t="s">
        <v>32</v>
      </c>
      <c r="B67" s="100" t="s">
        <v>801</v>
      </c>
      <c r="C67" s="18"/>
      <c r="D67" s="20"/>
      <c r="E67" s="99">
        <v>3.0</v>
      </c>
      <c r="F67" s="99" t="s">
        <v>178</v>
      </c>
      <c r="G67" s="99"/>
      <c r="H67" s="99"/>
      <c r="I67" s="101"/>
      <c r="J67" s="9"/>
    </row>
    <row r="68" ht="14.25" customHeight="1">
      <c r="A68" s="27" t="s">
        <v>31</v>
      </c>
      <c r="B68" s="30" t="s">
        <v>802</v>
      </c>
      <c r="C68" s="18"/>
      <c r="D68" s="20"/>
      <c r="E68" s="27">
        <v>3.0</v>
      </c>
      <c r="F68" s="27">
        <v>12.0</v>
      </c>
      <c r="G68" s="27"/>
      <c r="H68" s="27"/>
      <c r="I68" s="33"/>
      <c r="J68" s="9"/>
    </row>
    <row r="69" ht="14.25" customHeight="1">
      <c r="A69" s="27" t="s">
        <v>32</v>
      </c>
      <c r="B69" s="30" t="s">
        <v>277</v>
      </c>
      <c r="C69" s="18"/>
      <c r="D69" s="20"/>
      <c r="E69" s="27">
        <v>4.0</v>
      </c>
      <c r="F69" s="27">
        <v>10.0</v>
      </c>
      <c r="G69" s="27"/>
      <c r="H69" s="27"/>
      <c r="I69" s="33"/>
      <c r="J69" s="9"/>
    </row>
    <row r="70" ht="14.25" customHeight="1">
      <c r="A70" s="99" t="s">
        <v>32</v>
      </c>
      <c r="B70" s="100" t="s">
        <v>803</v>
      </c>
      <c r="C70" s="18"/>
      <c r="D70" s="20"/>
      <c r="E70" s="99">
        <v>3.0</v>
      </c>
      <c r="F70" s="99">
        <v>12.0</v>
      </c>
      <c r="G70" s="99"/>
      <c r="H70" s="99"/>
      <c r="I70" s="101"/>
      <c r="J70" s="9"/>
    </row>
    <row r="71" ht="14.25" customHeight="1">
      <c r="A71" s="99" t="s">
        <v>32</v>
      </c>
      <c r="B71" s="100" t="s">
        <v>805</v>
      </c>
      <c r="C71" s="18"/>
      <c r="D71" s="20"/>
      <c r="E71" s="99">
        <v>4.0</v>
      </c>
      <c r="F71" s="99" t="s">
        <v>71</v>
      </c>
      <c r="G71" s="99"/>
      <c r="H71" s="99"/>
      <c r="I71" s="101"/>
      <c r="J71" s="9"/>
    </row>
    <row r="72" ht="14.25" customHeight="1">
      <c r="A72" s="27" t="s">
        <v>16</v>
      </c>
      <c r="B72" s="30" t="s">
        <v>170</v>
      </c>
      <c r="C72" s="18"/>
      <c r="D72" s="20"/>
      <c r="E72" s="27">
        <v>3.0</v>
      </c>
      <c r="F72" s="27">
        <v>10.0</v>
      </c>
      <c r="G72" s="27"/>
      <c r="H72" s="27"/>
      <c r="I72" s="33"/>
      <c r="J72" s="9"/>
    </row>
    <row r="73" ht="14.25" customHeight="1">
      <c r="A73" s="27" t="s">
        <v>32</v>
      </c>
      <c r="B73" s="30" t="s">
        <v>807</v>
      </c>
      <c r="C73" s="18"/>
      <c r="D73" s="20"/>
      <c r="E73" s="27">
        <v>3.0</v>
      </c>
      <c r="F73" s="27">
        <v>15.0</v>
      </c>
      <c r="G73" s="27"/>
      <c r="H73" s="27"/>
      <c r="I73" s="33"/>
      <c r="J73" s="9"/>
    </row>
    <row r="74" ht="14.25" customHeight="1">
      <c r="A74" s="49"/>
      <c r="B74" s="66" t="s">
        <v>808</v>
      </c>
      <c r="C74" s="8"/>
      <c r="D74" s="9"/>
      <c r="E74" s="49">
        <v>1.0</v>
      </c>
      <c r="F74" s="49" t="s">
        <v>403</v>
      </c>
      <c r="G74" s="49"/>
      <c r="H74" s="49"/>
      <c r="I74" s="51"/>
      <c r="J74" s="9"/>
    </row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5">
    <mergeCell ref="I26:J26"/>
    <mergeCell ref="I27:J27"/>
    <mergeCell ref="I11:J11"/>
    <mergeCell ref="I13:J13"/>
    <mergeCell ref="I21:J21"/>
    <mergeCell ref="I22:J22"/>
    <mergeCell ref="I23:J23"/>
    <mergeCell ref="I24:J24"/>
    <mergeCell ref="I25:J25"/>
    <mergeCell ref="B26:D26"/>
    <mergeCell ref="B27:D27"/>
    <mergeCell ref="M27:W27"/>
    <mergeCell ref="I28:J28"/>
    <mergeCell ref="B28:D28"/>
    <mergeCell ref="B29:D29"/>
    <mergeCell ref="I29:J29"/>
    <mergeCell ref="B30:D30"/>
    <mergeCell ref="I30:J30"/>
    <mergeCell ref="B31:D31"/>
    <mergeCell ref="I31:J31"/>
    <mergeCell ref="A6:C6"/>
    <mergeCell ref="B7:D7"/>
    <mergeCell ref="I7:J7"/>
    <mergeCell ref="M7:W7"/>
    <mergeCell ref="Z7:AB7"/>
    <mergeCell ref="B8:D8"/>
    <mergeCell ref="B9:D9"/>
    <mergeCell ref="I12:J12"/>
    <mergeCell ref="M12:W12"/>
    <mergeCell ref="I8:J8"/>
    <mergeCell ref="I9:J9"/>
    <mergeCell ref="B10:D10"/>
    <mergeCell ref="I10:J10"/>
    <mergeCell ref="B11:D11"/>
    <mergeCell ref="B12:D12"/>
    <mergeCell ref="B13:D13"/>
    <mergeCell ref="I17:J17"/>
    <mergeCell ref="M17:W17"/>
    <mergeCell ref="M22:W22"/>
    <mergeCell ref="B14:D14"/>
    <mergeCell ref="I14:J14"/>
    <mergeCell ref="B15:D15"/>
    <mergeCell ref="I15:J15"/>
    <mergeCell ref="B16:D16"/>
    <mergeCell ref="I16:J16"/>
    <mergeCell ref="B17:D17"/>
    <mergeCell ref="B18:D18"/>
    <mergeCell ref="A20:C20"/>
    <mergeCell ref="B21:D21"/>
    <mergeCell ref="B22:D22"/>
    <mergeCell ref="B23:D23"/>
    <mergeCell ref="B24:D24"/>
    <mergeCell ref="B25:D25"/>
    <mergeCell ref="I39:J39"/>
    <mergeCell ref="I40:J40"/>
    <mergeCell ref="A49:C49"/>
    <mergeCell ref="B50:D50"/>
    <mergeCell ref="I50:J50"/>
    <mergeCell ref="B51:D51"/>
    <mergeCell ref="I51:J51"/>
    <mergeCell ref="B52:D52"/>
    <mergeCell ref="B53:D53"/>
    <mergeCell ref="B54:D54"/>
    <mergeCell ref="I54:J54"/>
    <mergeCell ref="B55:D55"/>
    <mergeCell ref="I55:J55"/>
    <mergeCell ref="B56:D56"/>
    <mergeCell ref="I56:J56"/>
    <mergeCell ref="I57:J57"/>
    <mergeCell ref="I68:J68"/>
    <mergeCell ref="I69:J69"/>
    <mergeCell ref="I58:J58"/>
    <mergeCell ref="I59:J59"/>
    <mergeCell ref="I60:J60"/>
    <mergeCell ref="I64:J64"/>
    <mergeCell ref="I65:J65"/>
    <mergeCell ref="I66:J66"/>
    <mergeCell ref="I67:J67"/>
    <mergeCell ref="B33:D33"/>
    <mergeCell ref="A35:C35"/>
    <mergeCell ref="B36:D36"/>
    <mergeCell ref="I36:J36"/>
    <mergeCell ref="B37:D37"/>
    <mergeCell ref="I37:J37"/>
    <mergeCell ref="I38:J38"/>
    <mergeCell ref="I42:J42"/>
    <mergeCell ref="I43:J43"/>
    <mergeCell ref="B38:D38"/>
    <mergeCell ref="B39:D39"/>
    <mergeCell ref="B40:D40"/>
    <mergeCell ref="B41:D41"/>
    <mergeCell ref="I41:J41"/>
    <mergeCell ref="B42:D42"/>
    <mergeCell ref="B43:D43"/>
    <mergeCell ref="B44:D44"/>
    <mergeCell ref="I44:J44"/>
    <mergeCell ref="B45:D45"/>
    <mergeCell ref="I45:J45"/>
    <mergeCell ref="B46:D46"/>
    <mergeCell ref="I46:J46"/>
    <mergeCell ref="B47:D47"/>
    <mergeCell ref="I52:J52"/>
    <mergeCell ref="I53:J53"/>
    <mergeCell ref="I70:J70"/>
    <mergeCell ref="I71:J71"/>
    <mergeCell ref="I72:J72"/>
    <mergeCell ref="I73:J73"/>
    <mergeCell ref="I74:J74"/>
    <mergeCell ref="B57:D57"/>
    <mergeCell ref="B58:D58"/>
    <mergeCell ref="B59:D59"/>
    <mergeCell ref="B60:D60"/>
    <mergeCell ref="B61:D61"/>
    <mergeCell ref="A63:C63"/>
    <mergeCell ref="B64:D64"/>
    <mergeCell ref="B72:D72"/>
    <mergeCell ref="B73:D73"/>
    <mergeCell ref="B74:D74"/>
    <mergeCell ref="B65:D65"/>
    <mergeCell ref="B66:D66"/>
    <mergeCell ref="B67:D67"/>
    <mergeCell ref="B68:D68"/>
    <mergeCell ref="B69:D69"/>
    <mergeCell ref="B70:D70"/>
    <mergeCell ref="B71:D71"/>
  </mergeCells>
  <dataValidations>
    <dataValidation type="list" allowBlank="1" showErrorMessage="1" sqref="A8:A17 A22:A32 A37:A46 A51:A60 A65:A74">
      <formula1>Datos!$D$2:$D$11</formula1>
    </dataValidation>
    <dataValidation type="list" allowBlank="1" showErrorMessage="1" sqref="J5">
      <formula1>Datos!$B$2:$B$12</formula1>
    </dataValidation>
    <dataValidation type="list" allowBlank="1" showErrorMessage="1" sqref="J6 J20 J35 J49 J63">
      <formula1>Datos!$D$2:$D$14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10.71"/>
    <col customWidth="1" min="24" max="24" width="7.86"/>
    <col customWidth="1" min="25" max="25" width="15.43"/>
    <col customWidth="1" min="26" max="28" width="10.71"/>
  </cols>
  <sheetData>
    <row r="1" ht="14.25" customHeight="1"/>
    <row r="2" ht="14.25" customHeight="1"/>
    <row r="3" ht="14.25" customHeight="1"/>
    <row r="4" ht="14.25" customHeight="1"/>
    <row r="5" ht="14.25" customHeight="1">
      <c r="J5" s="1"/>
    </row>
    <row r="6" ht="14.25" customHeight="1">
      <c r="A6" s="2" t="s">
        <v>0</v>
      </c>
      <c r="B6" s="3"/>
      <c r="C6" s="4"/>
      <c r="J6" s="1"/>
    </row>
    <row r="7" ht="14.25" customHeight="1">
      <c r="A7" s="6" t="s">
        <v>2</v>
      </c>
      <c r="B7" s="10" t="s">
        <v>4</v>
      </c>
      <c r="C7" s="8"/>
      <c r="D7" s="9"/>
      <c r="E7" s="6" t="s">
        <v>5</v>
      </c>
      <c r="F7" s="6" t="s">
        <v>6</v>
      </c>
      <c r="G7" s="6" t="s">
        <v>7</v>
      </c>
      <c r="H7" s="6" t="s">
        <v>8</v>
      </c>
      <c r="I7" s="10" t="s">
        <v>9</v>
      </c>
      <c r="J7" s="9"/>
      <c r="M7" s="11" t="s">
        <v>0</v>
      </c>
      <c r="N7" s="12"/>
      <c r="O7" s="12"/>
      <c r="P7" s="12"/>
      <c r="Q7" s="12"/>
      <c r="R7" s="12"/>
      <c r="S7" s="12"/>
      <c r="T7" s="12"/>
      <c r="U7" s="12"/>
      <c r="V7" s="12"/>
      <c r="W7" s="13"/>
      <c r="Y7" s="1"/>
      <c r="Z7" s="14" t="s">
        <v>10</v>
      </c>
      <c r="AA7" s="12"/>
      <c r="AB7" s="13"/>
    </row>
    <row r="8" ht="14.25" customHeight="1">
      <c r="A8" s="40"/>
      <c r="B8" s="39" t="s">
        <v>823</v>
      </c>
      <c r="C8" s="18"/>
      <c r="D8" s="20"/>
      <c r="E8" s="40">
        <v>2.0</v>
      </c>
      <c r="F8" s="40">
        <v>10.0</v>
      </c>
      <c r="G8" s="40"/>
      <c r="H8" s="40"/>
      <c r="I8" s="24"/>
      <c r="J8" s="9"/>
      <c r="M8" s="25"/>
      <c r="N8" s="28" t="s">
        <v>16</v>
      </c>
      <c r="O8" s="28" t="s">
        <v>26</v>
      </c>
      <c r="P8" s="28" t="s">
        <v>27</v>
      </c>
      <c r="Q8" s="28" t="s">
        <v>28</v>
      </c>
      <c r="R8" s="28" t="s">
        <v>29</v>
      </c>
      <c r="S8" s="28" t="s">
        <v>30</v>
      </c>
      <c r="T8" s="28" t="s">
        <v>31</v>
      </c>
      <c r="U8" s="28" t="s">
        <v>32</v>
      </c>
      <c r="V8" s="28" t="s">
        <v>33</v>
      </c>
      <c r="W8" s="28" t="s">
        <v>12</v>
      </c>
      <c r="Z8" s="28" t="s">
        <v>16</v>
      </c>
      <c r="AA8" s="1">
        <f>SUM(N9,N14,N19,N24,N29)</f>
        <v>17</v>
      </c>
    </row>
    <row r="9" ht="14.25" customHeight="1">
      <c r="A9" s="40"/>
      <c r="B9" s="39" t="s">
        <v>824</v>
      </c>
      <c r="C9" s="18"/>
      <c r="D9" s="20"/>
      <c r="E9" s="40">
        <v>3.0</v>
      </c>
      <c r="F9" s="40">
        <v>12.0</v>
      </c>
      <c r="G9" s="40"/>
      <c r="H9" s="40"/>
      <c r="I9" s="24"/>
      <c r="J9" s="9"/>
      <c r="M9" s="34" t="s">
        <v>36</v>
      </c>
      <c r="N9" s="37">
        <f>SUMIF(A8:A17,"Pecho",E8:E17)</f>
        <v>11</v>
      </c>
      <c r="O9" s="37">
        <f>SUMIF(A8:A17,"Espalda",E8:E17)</f>
        <v>0</v>
      </c>
      <c r="P9" s="37">
        <f>SUMIF($A8:$A17,"Hombros",$E8:$E17)</f>
        <v>0</v>
      </c>
      <c r="Q9" s="37">
        <f>SUMIF($A8:$A17,"Bíceps",$E8:$E17)</f>
        <v>0</v>
      </c>
      <c r="R9" s="37">
        <f>SUMIF($A8:$A17,"Tríceps",$E8:$E17)</f>
        <v>0</v>
      </c>
      <c r="S9" s="38">
        <f>SUMIF(A8:A17,"Cuádriceps",E8:E17)</f>
        <v>7</v>
      </c>
      <c r="T9" s="37">
        <f>SUMIF($A8:$A17,"Isquios",$E8:$E17)</f>
        <v>0</v>
      </c>
      <c r="U9" s="37">
        <f>SUMIF($A8:$A17,"Glúteos",$E8:$E17)</f>
        <v>0</v>
      </c>
      <c r="V9" s="37">
        <f>SUMIF($A8:$A17,"Pantorrillas",$E8:$E17)</f>
        <v>0</v>
      </c>
      <c r="W9" s="37">
        <f>SUMIF($A8:$A17,"Otros",$E8:$E17)</f>
        <v>6</v>
      </c>
      <c r="Z9" s="28" t="s">
        <v>26</v>
      </c>
      <c r="AA9" s="1">
        <f>SUM(O9,O14,O19,O24,O29)</f>
        <v>25</v>
      </c>
    </row>
    <row r="10" ht="14.25" customHeight="1">
      <c r="A10" s="40"/>
      <c r="B10" s="39" t="s">
        <v>145</v>
      </c>
      <c r="C10" s="18"/>
      <c r="D10" s="20"/>
      <c r="E10" s="40">
        <v>3.0</v>
      </c>
      <c r="F10" s="40">
        <v>10.0</v>
      </c>
      <c r="G10" s="40"/>
      <c r="H10" s="40"/>
      <c r="I10" s="24"/>
      <c r="J10" s="9"/>
      <c r="M10" s="34" t="s">
        <v>7</v>
      </c>
      <c r="N10" s="35">
        <f>AVERAGEIF($A8:$A17,"Pecho",$G8:$G17)</f>
        <v>8</v>
      </c>
      <c r="O10" s="35" t="str">
        <f>AVERAGEIF($A8:$A17,"Espalda",$G8:$G17)</f>
        <v>#DIV/0!</v>
      </c>
      <c r="P10" s="35" t="str">
        <f>AVERAGEIF($A8:$A17,"Hombros",$G8:$G17)</f>
        <v>#DIV/0!</v>
      </c>
      <c r="Q10" s="35" t="str">
        <f>AVERAGEIF($A8:$A17,"Bíceps",$G8:$G17)</f>
        <v>#DIV/0!</v>
      </c>
      <c r="R10" s="35" t="str">
        <f>AVERAGEIF($A8:$A17,"Tríceps",$G8:$G17)</f>
        <v>#DIV/0!</v>
      </c>
      <c r="S10" s="35" t="str">
        <f>AVERAGEIF($A8:$A17,"Cuádriceps",$G8:$G17)</f>
        <v>#DIV/0!</v>
      </c>
      <c r="T10" s="35" t="str">
        <f>AVERAGEIF($A8:$A17,"Isquios",$G8:$G17)</f>
        <v>#DIV/0!</v>
      </c>
      <c r="U10" s="35" t="str">
        <f>AVERAGEIF($A8:$A17,"Glúteos",$G8:$G17)</f>
        <v>#DIV/0!</v>
      </c>
      <c r="V10" s="35" t="str">
        <f>AVERAGEIF($A8:$A17,"Pantorrillas",$G8:$G17)</f>
        <v>#DIV/0!</v>
      </c>
      <c r="W10" s="35" t="str">
        <f>AVERAGEIF($A8:$A17,"Otros",$G8:$G17)</f>
        <v>#DIV/0!</v>
      </c>
      <c r="Z10" s="28" t="s">
        <v>27</v>
      </c>
      <c r="AA10" s="1">
        <f>SUM(P9,P14,P19,P24,P29)</f>
        <v>6</v>
      </c>
    </row>
    <row r="11" ht="14.25" customHeight="1">
      <c r="A11" s="49" t="s">
        <v>16</v>
      </c>
      <c r="B11" s="50" t="s">
        <v>825</v>
      </c>
      <c r="C11" s="18"/>
      <c r="D11" s="20"/>
      <c r="E11" s="49">
        <v>4.0</v>
      </c>
      <c r="F11" s="49">
        <v>10.0</v>
      </c>
      <c r="G11" s="49">
        <v>8.0</v>
      </c>
      <c r="H11" s="49" t="s">
        <v>55</v>
      </c>
      <c r="I11" s="24"/>
      <c r="J11" s="9"/>
      <c r="M11" s="25"/>
      <c r="N11" s="25"/>
      <c r="O11" s="25"/>
      <c r="P11" s="25"/>
      <c r="Q11" s="25"/>
      <c r="R11" s="25"/>
      <c r="S11" s="25"/>
      <c r="T11" s="25"/>
      <c r="U11" s="25"/>
      <c r="Z11" s="28" t="s">
        <v>28</v>
      </c>
      <c r="AA11" s="1">
        <f>SUM(Q9,Q14,Q19,Q24,Q29)</f>
        <v>4</v>
      </c>
    </row>
    <row r="12" ht="14.25" customHeight="1">
      <c r="A12" s="49" t="s">
        <v>16</v>
      </c>
      <c r="B12" s="50" t="s">
        <v>150</v>
      </c>
      <c r="C12" s="18"/>
      <c r="D12" s="20"/>
      <c r="E12" s="49">
        <v>4.0</v>
      </c>
      <c r="F12" s="49">
        <v>10.0</v>
      </c>
      <c r="G12" s="49"/>
      <c r="H12" s="49"/>
      <c r="I12" s="24"/>
      <c r="J12" s="9"/>
      <c r="M12" s="11" t="s">
        <v>45</v>
      </c>
      <c r="N12" s="12"/>
      <c r="O12" s="12"/>
      <c r="P12" s="12"/>
      <c r="Q12" s="12"/>
      <c r="R12" s="12"/>
      <c r="S12" s="12"/>
      <c r="T12" s="12"/>
      <c r="U12" s="12"/>
      <c r="V12" s="12"/>
      <c r="W12" s="13"/>
      <c r="Z12" s="28" t="s">
        <v>29</v>
      </c>
      <c r="AA12" s="1">
        <f>SUM(R9,R14,R19,R24,R29)</f>
        <v>0</v>
      </c>
    </row>
    <row r="13" ht="14.25" customHeight="1">
      <c r="A13" s="49" t="s">
        <v>30</v>
      </c>
      <c r="B13" s="50" t="s">
        <v>79</v>
      </c>
      <c r="C13" s="18"/>
      <c r="D13" s="20"/>
      <c r="E13" s="49">
        <v>3.0</v>
      </c>
      <c r="F13" s="49">
        <v>12.0</v>
      </c>
      <c r="G13" s="49"/>
      <c r="H13" s="49"/>
      <c r="I13" s="24"/>
      <c r="J13" s="9"/>
      <c r="M13" s="25"/>
      <c r="N13" s="28" t="s">
        <v>16</v>
      </c>
      <c r="O13" s="28" t="s">
        <v>26</v>
      </c>
      <c r="P13" s="28" t="s">
        <v>27</v>
      </c>
      <c r="Q13" s="28" t="s">
        <v>28</v>
      </c>
      <c r="R13" s="28" t="s">
        <v>29</v>
      </c>
      <c r="S13" s="28" t="s">
        <v>30</v>
      </c>
      <c r="T13" s="28" t="s">
        <v>31</v>
      </c>
      <c r="U13" s="28" t="s">
        <v>32</v>
      </c>
      <c r="V13" s="28" t="s">
        <v>33</v>
      </c>
      <c r="W13" s="28" t="s">
        <v>12</v>
      </c>
      <c r="Z13" s="28" t="s">
        <v>30</v>
      </c>
      <c r="AA13" s="1">
        <f>SUM(S9,S14,S19,S24,S29)</f>
        <v>21</v>
      </c>
    </row>
    <row r="14" ht="14.25" customHeight="1">
      <c r="A14" s="49" t="s">
        <v>16</v>
      </c>
      <c r="B14" s="50" t="s">
        <v>826</v>
      </c>
      <c r="C14" s="18"/>
      <c r="D14" s="20"/>
      <c r="E14" s="49">
        <v>3.0</v>
      </c>
      <c r="F14" s="49" t="s">
        <v>499</v>
      </c>
      <c r="G14" s="49"/>
      <c r="H14" s="49"/>
      <c r="I14" s="24"/>
      <c r="J14" s="9"/>
      <c r="M14" s="34" t="s">
        <v>36</v>
      </c>
      <c r="N14" s="35">
        <f>SUMIF($A22:$A31,"Pecho",$E22:$E31)</f>
        <v>0</v>
      </c>
      <c r="O14" s="35">
        <f>SUMIF($A22:$A31,"Espalda",$E22:$E31)</f>
        <v>7</v>
      </c>
      <c r="P14" s="35">
        <f>SUMIF($A22:$A31,"Hombros",$E22:$E31)</f>
        <v>3</v>
      </c>
      <c r="Q14" s="35">
        <f>SUMIF($A22:$A31,"Bíceps",$E22:$E31)</f>
        <v>4</v>
      </c>
      <c r="R14" s="35">
        <f>SUMIF($A22:$A31,"Tríceps",$E22:$E31)</f>
        <v>0</v>
      </c>
      <c r="S14" s="35">
        <f>SUMIF($A22:$A31,"Cuádriceps",$E22:$E31)</f>
        <v>4</v>
      </c>
      <c r="T14" s="35">
        <f>SUMIF($A22:$A31,"Isquios",$E22:$E31)</f>
        <v>0</v>
      </c>
      <c r="U14" s="35">
        <f>SUMIF($A22:$A31,"Glúteos",$E22:$E31)</f>
        <v>3</v>
      </c>
      <c r="V14" s="35">
        <f>SUMIF($A22:$A31,"Pantorrillas",$E22:$E31)</f>
        <v>0</v>
      </c>
      <c r="W14" s="35">
        <f>SUMIF($A22:$A31,"Otros",$E22:$E31)</f>
        <v>0</v>
      </c>
      <c r="Z14" s="28" t="s">
        <v>31</v>
      </c>
      <c r="AA14" s="1">
        <f>SUM(T9,T14,T19,T24,T29)</f>
        <v>3</v>
      </c>
    </row>
    <row r="15" ht="14.25" customHeight="1">
      <c r="A15" s="68" t="s">
        <v>30</v>
      </c>
      <c r="B15" s="69" t="s">
        <v>668</v>
      </c>
      <c r="C15" s="18"/>
      <c r="D15" s="20"/>
      <c r="E15" s="68">
        <v>4.0</v>
      </c>
      <c r="F15" s="68">
        <v>10.0</v>
      </c>
      <c r="G15" s="68"/>
      <c r="H15" s="68"/>
      <c r="I15" s="24"/>
      <c r="J15" s="9"/>
      <c r="M15" s="34" t="s">
        <v>7</v>
      </c>
      <c r="N15" s="35" t="str">
        <f>AVERAGEIF($A22:$A31,"Pecho",$G22:$G31)</f>
        <v>#DIV/0!</v>
      </c>
      <c r="O15" s="35" t="str">
        <f>AVERAGEIF($A22:$A31,"Espalda",$G22:$G31)</f>
        <v>#DIV/0!</v>
      </c>
      <c r="P15" s="35" t="str">
        <f>AVERAGEIF($A22:$A31,"Hombros",$G22:$G31)</f>
        <v>#DIV/0!</v>
      </c>
      <c r="Q15" s="35" t="str">
        <f>AVERAGEIF($A22:$A31,"Bíceps",$G22:$G31)</f>
        <v>#DIV/0!</v>
      </c>
      <c r="R15" s="35" t="str">
        <f>AVERAGEIF($A22:$A31,"Tríceps",$G22:$G31)</f>
        <v>#DIV/0!</v>
      </c>
      <c r="S15" s="35">
        <f>AVERAGEIF($A22:$A31,"Cuádriceps",$G22:$G31)</f>
        <v>8</v>
      </c>
      <c r="T15" s="35" t="str">
        <f>AVERAGEIF($A22:$A31,"Isquios",$G22:$G31)</f>
        <v>#DIV/0!</v>
      </c>
      <c r="U15" s="35" t="str">
        <f>AVERAGEIF($A22:$A31,"Glúteos",$G22:$G31)</f>
        <v>#DIV/0!</v>
      </c>
      <c r="V15" s="35" t="str">
        <f>AVERAGEIF($A22:$A31,"Pantorrillas",$G22:$G31)</f>
        <v>#DIV/0!</v>
      </c>
      <c r="W15" s="35" t="str">
        <f>AVERAGEIF($A22:$A31,"Otros",$G22:$G31)</f>
        <v>#DIV/0!</v>
      </c>
      <c r="Z15" s="28" t="s">
        <v>32</v>
      </c>
      <c r="AA15" s="1">
        <f>SUM(U9,U14,U19,U24,U29)</f>
        <v>23</v>
      </c>
    </row>
    <row r="16" ht="14.25" customHeight="1">
      <c r="A16" s="68" t="s">
        <v>113</v>
      </c>
      <c r="B16" s="69" t="s">
        <v>827</v>
      </c>
      <c r="C16" s="18"/>
      <c r="D16" s="20"/>
      <c r="E16" s="68">
        <v>3.0</v>
      </c>
      <c r="F16" s="68">
        <v>12.0</v>
      </c>
      <c r="G16" s="68"/>
      <c r="H16" s="68"/>
      <c r="I16" s="24"/>
      <c r="J16" s="9"/>
      <c r="M16" s="25"/>
      <c r="N16" s="25"/>
      <c r="O16" s="25"/>
      <c r="P16" s="25"/>
      <c r="Q16" s="25"/>
      <c r="R16" s="25"/>
      <c r="S16" s="25"/>
      <c r="T16" s="25"/>
      <c r="U16" s="25"/>
      <c r="Z16" s="28" t="s">
        <v>33</v>
      </c>
      <c r="AA16" s="1">
        <f>SUM(V9,V14,V19,V24,V29)</f>
        <v>0</v>
      </c>
    </row>
    <row r="17" ht="14.25" customHeight="1">
      <c r="A17" s="68" t="s">
        <v>12</v>
      </c>
      <c r="B17" s="69" t="s">
        <v>828</v>
      </c>
      <c r="C17" s="18"/>
      <c r="D17" s="20"/>
      <c r="E17" s="68">
        <v>3.0</v>
      </c>
      <c r="F17" s="68">
        <v>12.0</v>
      </c>
      <c r="G17" s="68"/>
      <c r="H17" s="68"/>
      <c r="I17" s="24"/>
      <c r="J17" s="9"/>
      <c r="M17" s="11" t="s">
        <v>57</v>
      </c>
      <c r="N17" s="12"/>
      <c r="O17" s="12"/>
      <c r="P17" s="12"/>
      <c r="Q17" s="12"/>
      <c r="R17" s="12"/>
      <c r="S17" s="12"/>
      <c r="T17" s="12"/>
      <c r="U17" s="12"/>
      <c r="V17" s="12"/>
      <c r="W17" s="13"/>
      <c r="Z17" s="28" t="s">
        <v>12</v>
      </c>
      <c r="AA17" s="1">
        <f>SUM(W9,W14,W19,W24,W29)</f>
        <v>7</v>
      </c>
    </row>
    <row r="18" ht="14.25" customHeight="1">
      <c r="B18" s="26"/>
      <c r="C18" s="29"/>
      <c r="D18" s="29"/>
      <c r="M18" s="25"/>
      <c r="N18" s="28" t="s">
        <v>16</v>
      </c>
      <c r="O18" s="28" t="s">
        <v>26</v>
      </c>
      <c r="P18" s="28" t="s">
        <v>27</v>
      </c>
      <c r="Q18" s="28" t="s">
        <v>28</v>
      </c>
      <c r="R18" s="28" t="s">
        <v>29</v>
      </c>
      <c r="S18" s="28" t="s">
        <v>30</v>
      </c>
      <c r="T18" s="28" t="s">
        <v>31</v>
      </c>
      <c r="U18" s="28" t="s">
        <v>32</v>
      </c>
      <c r="V18" s="28" t="s">
        <v>33</v>
      </c>
      <c r="W18" s="28" t="s">
        <v>12</v>
      </c>
    </row>
    <row r="19" ht="14.25" customHeight="1">
      <c r="M19" s="34" t="s">
        <v>36</v>
      </c>
      <c r="N19" s="35">
        <f>SUMIF($A37:$A46,"Pecho",$E37:$E46)</f>
        <v>0</v>
      </c>
      <c r="O19" s="35">
        <f>SUMIF($A37:$A46,"Espalda",$E37:$E46)</f>
        <v>18</v>
      </c>
      <c r="P19" s="35">
        <f>SUMIF($A37:$A46,"Hombros",$E37:$E46)</f>
        <v>3</v>
      </c>
      <c r="Q19" s="35">
        <f>SUMIF($A37:$A46,"Bíceps",$E37:$E46)</f>
        <v>0</v>
      </c>
      <c r="R19" s="35">
        <f>SUMIF($A37:$A46,"Tríceps",$E37:$E46)</f>
        <v>0</v>
      </c>
      <c r="S19" s="35">
        <f>SUMIF($A37:$A46,"Cuádriceps",$E37:$E46)</f>
        <v>0</v>
      </c>
      <c r="T19" s="35">
        <f>SUMIF($A37:$A46,"Isquios",$E37:$E46)</f>
        <v>0</v>
      </c>
      <c r="U19" s="35">
        <f>SUMIF($A37:$A46,"Glúteos",$E37:$E46)</f>
        <v>0</v>
      </c>
      <c r="V19" s="35">
        <f>SUMIF($A37:$A46,"Pantorrillas",$E37:$E46)</f>
        <v>0</v>
      </c>
      <c r="W19" s="35">
        <f>SUMIF($A37:$A46,"Otros",$E37:$E46)</f>
        <v>1</v>
      </c>
    </row>
    <row r="20" ht="14.25" customHeight="1">
      <c r="A20" s="2" t="s">
        <v>45</v>
      </c>
      <c r="B20" s="3"/>
      <c r="C20" s="4"/>
      <c r="J20" s="1"/>
      <c r="M20" s="34" t="s">
        <v>7</v>
      </c>
      <c r="N20" s="35" t="str">
        <f>AVERAGEIF($A37:$A46,"Pecho",$G37:$G46)</f>
        <v>#DIV/0!</v>
      </c>
      <c r="O20" s="35">
        <f>AVERAGEIF($A37:$A46,"Espalda",$G37:$G46)</f>
        <v>8</v>
      </c>
      <c r="P20" s="35" t="str">
        <f>AVERAGEIF($A37:$A46,"Hombros",$G37:$G46)</f>
        <v>#DIV/0!</v>
      </c>
      <c r="Q20" s="35" t="str">
        <f>AVERAGEIF($A37:$A46,"Bíceps",$G37:$G46)</f>
        <v>#DIV/0!</v>
      </c>
      <c r="R20" s="35" t="str">
        <f>AVERAGEIF($A37:$A46,"Tríceps",$G37:$G46)</f>
        <v>#DIV/0!</v>
      </c>
      <c r="S20" s="35" t="str">
        <f>AVERAGEIF($A37:$A46,"Cuádriceps",$G37:$G46)</f>
        <v>#DIV/0!</v>
      </c>
      <c r="T20" s="35" t="str">
        <f>AVERAGEIF($A37:$A46,"Isquios",$G37:$G46)</f>
        <v>#DIV/0!</v>
      </c>
      <c r="U20" s="35" t="str">
        <f>AVERAGEIF($A37:$A46,"Glúteos",$G37:$G46)</f>
        <v>#DIV/0!</v>
      </c>
      <c r="V20" s="35" t="str">
        <f>AVERAGEIF($A37:$A46,"Pantorrillas",$G37:$G46)</f>
        <v>#DIV/0!</v>
      </c>
      <c r="W20" s="35" t="str">
        <f>AVERAGEIF($A37:$A46,"Otros",$G37:$G46)</f>
        <v>#DIV/0!</v>
      </c>
    </row>
    <row r="21" ht="14.25" customHeight="1">
      <c r="A21" s="6" t="s">
        <v>2</v>
      </c>
      <c r="B21" s="10" t="s">
        <v>4</v>
      </c>
      <c r="C21" s="8"/>
      <c r="D21" s="9"/>
      <c r="E21" s="6" t="s">
        <v>5</v>
      </c>
      <c r="F21" s="6" t="s">
        <v>6</v>
      </c>
      <c r="G21" s="6" t="s">
        <v>7</v>
      </c>
      <c r="H21" s="6" t="s">
        <v>8</v>
      </c>
      <c r="I21" s="10" t="s">
        <v>9</v>
      </c>
      <c r="J21" s="9"/>
      <c r="M21" s="25"/>
      <c r="N21" s="25"/>
      <c r="O21" s="25"/>
      <c r="P21" s="25"/>
      <c r="Q21" s="25"/>
      <c r="R21" s="25"/>
      <c r="S21" s="25"/>
      <c r="T21" s="25"/>
      <c r="U21" s="25"/>
    </row>
    <row r="22" ht="14.25" customHeight="1">
      <c r="A22" s="40"/>
      <c r="B22" s="39" t="s">
        <v>642</v>
      </c>
      <c r="C22" s="18"/>
      <c r="D22" s="20"/>
      <c r="E22" s="40">
        <v>1.0</v>
      </c>
      <c r="F22" s="40" t="s">
        <v>763</v>
      </c>
      <c r="G22" s="40"/>
      <c r="H22" s="40"/>
      <c r="I22" s="24"/>
      <c r="J22" s="9"/>
      <c r="M22" s="11" t="s">
        <v>66</v>
      </c>
      <c r="N22" s="12"/>
      <c r="O22" s="12"/>
      <c r="P22" s="12"/>
      <c r="Q22" s="12"/>
      <c r="R22" s="12"/>
      <c r="S22" s="12"/>
      <c r="T22" s="12"/>
      <c r="U22" s="12"/>
      <c r="V22" s="12"/>
      <c r="W22" s="13"/>
    </row>
    <row r="23" ht="14.25" customHeight="1">
      <c r="A23" s="40"/>
      <c r="B23" s="39" t="s">
        <v>764</v>
      </c>
      <c r="C23" s="18"/>
      <c r="D23" s="20"/>
      <c r="E23" s="40">
        <v>3.0</v>
      </c>
      <c r="F23" s="40" t="s">
        <v>376</v>
      </c>
      <c r="G23" s="40"/>
      <c r="H23" s="40"/>
      <c r="I23" s="24"/>
      <c r="J23" s="9"/>
      <c r="M23" s="25"/>
      <c r="N23" s="28" t="s">
        <v>16</v>
      </c>
      <c r="O23" s="28" t="s">
        <v>26</v>
      </c>
      <c r="P23" s="28" t="s">
        <v>27</v>
      </c>
      <c r="Q23" s="28" t="s">
        <v>28</v>
      </c>
      <c r="R23" s="28" t="s">
        <v>29</v>
      </c>
      <c r="S23" s="28" t="s">
        <v>30</v>
      </c>
      <c r="T23" s="28" t="s">
        <v>31</v>
      </c>
      <c r="U23" s="28" t="s">
        <v>32</v>
      </c>
      <c r="V23" s="28" t="s">
        <v>33</v>
      </c>
      <c r="W23" s="28" t="s">
        <v>12</v>
      </c>
    </row>
    <row r="24" ht="14.25" customHeight="1">
      <c r="A24" s="40"/>
      <c r="B24" s="39" t="s">
        <v>832</v>
      </c>
      <c r="C24" s="18"/>
      <c r="D24" s="20"/>
      <c r="E24" s="40">
        <v>3.0</v>
      </c>
      <c r="F24" s="216" t="s">
        <v>71</v>
      </c>
      <c r="G24" s="40"/>
      <c r="H24" s="40"/>
      <c r="I24" s="24"/>
      <c r="J24" s="9"/>
      <c r="M24" s="34" t="s">
        <v>36</v>
      </c>
      <c r="N24" s="35">
        <f>SUMIF($A51:$A60,"Pecho",$E51:$E60)</f>
        <v>3</v>
      </c>
      <c r="O24" s="35">
        <f>SUMIF($A51:$A60,"Espalda",$E51:$E60)</f>
        <v>0</v>
      </c>
      <c r="P24" s="35">
        <f>SUMIF($A51:$A60,"Hombros",$E51:$E60)</f>
        <v>0</v>
      </c>
      <c r="Q24" s="35">
        <f>SUMIF($A51:$A60,"Bíceps",$E51:$E60)</f>
        <v>0</v>
      </c>
      <c r="R24" s="35">
        <f>SUMIF($A51:$A60,"Tríceps",$E51:$E60)</f>
        <v>0</v>
      </c>
      <c r="S24" s="35">
        <f>SUMIF($A51:$A60,"Cuádriceps",$E51:$E60)</f>
        <v>10</v>
      </c>
      <c r="T24" s="35">
        <f>SUMIF($A51:$A60,"Isquios",$E51:$E60)</f>
        <v>0</v>
      </c>
      <c r="U24" s="35">
        <f>SUMIF($A51:$A60,"Glúteos",$E51:$E60)</f>
        <v>3</v>
      </c>
      <c r="V24" s="35">
        <f>SUMIF($A51:$A60,"Pantorrillas",$E51:$E60)</f>
        <v>0</v>
      </c>
      <c r="W24" s="35">
        <f>SUMIF($A51:$A60,"Otros",$E51:$E60)</f>
        <v>0</v>
      </c>
    </row>
    <row r="25" ht="14.25" customHeight="1">
      <c r="A25" s="49" t="s">
        <v>30</v>
      </c>
      <c r="B25" s="50" t="s">
        <v>785</v>
      </c>
      <c r="C25" s="18"/>
      <c r="D25" s="20"/>
      <c r="E25" s="49">
        <v>4.0</v>
      </c>
      <c r="F25" s="49">
        <v>10.0</v>
      </c>
      <c r="G25" s="49">
        <v>8.0</v>
      </c>
      <c r="H25" s="49" t="s">
        <v>55</v>
      </c>
      <c r="I25" s="24"/>
      <c r="J25" s="9"/>
      <c r="M25" s="34" t="s">
        <v>7</v>
      </c>
      <c r="N25" s="35" t="str">
        <f>AVERAGEIF($A51:$A60,"Pecho",$G51:$G60)</f>
        <v>#DIV/0!</v>
      </c>
      <c r="O25" s="35" t="str">
        <f>AVERAGEIF($A51:$A60,"Espalda",$G51:$G60)</f>
        <v>#DIV/0!</v>
      </c>
      <c r="P25" s="35" t="str">
        <f>AVERAGEIF($A51:$A60,"Hombros",$G51:$G60)</f>
        <v>#DIV/0!</v>
      </c>
      <c r="Q25" s="35" t="str">
        <f>AVERAGEIF($A51:$A60,"Bíceps",$G51:$G60)</f>
        <v>#DIV/0!</v>
      </c>
      <c r="R25" s="35" t="str">
        <f>AVERAGEIF($A51:$A60,"Tríceps",$G51:$G60)</f>
        <v>#DIV/0!</v>
      </c>
      <c r="S25" s="35" t="str">
        <f>AVERAGEIF($A51:$A60,"Cuádriceps",$G51:$G60)</f>
        <v>#DIV/0!</v>
      </c>
      <c r="T25" s="35" t="str">
        <f>AVERAGEIF($A51:$A60,"Isquios",$G51:$G60)</f>
        <v>#DIV/0!</v>
      </c>
      <c r="U25" s="35" t="str">
        <f>AVERAGEIF($A51:$A60,"Glúteos",$G51:$G60)</f>
        <v>#DIV/0!</v>
      </c>
      <c r="V25" s="35" t="str">
        <f>AVERAGEIF($A51:$A60,"Pantorrillas",$G51:$G60)</f>
        <v>#DIV/0!</v>
      </c>
      <c r="W25" s="35" t="str">
        <f>AVERAGEIF($A51:$A60,"Otros",$G51:$G60)</f>
        <v>#DIV/0!</v>
      </c>
    </row>
    <row r="26" ht="14.25" customHeight="1">
      <c r="A26" s="49" t="s">
        <v>26</v>
      </c>
      <c r="B26" s="50" t="s">
        <v>679</v>
      </c>
      <c r="C26" s="18"/>
      <c r="D26" s="20"/>
      <c r="E26" s="49">
        <v>4.0</v>
      </c>
      <c r="F26" s="49">
        <v>10.0</v>
      </c>
      <c r="G26" s="49"/>
      <c r="H26" s="49"/>
      <c r="I26" s="24"/>
      <c r="J26" s="9"/>
      <c r="M26" s="25"/>
      <c r="N26" s="25"/>
      <c r="O26" s="25"/>
      <c r="P26" s="25"/>
      <c r="Q26" s="25"/>
      <c r="R26" s="25"/>
      <c r="S26" s="25"/>
      <c r="T26" s="25"/>
      <c r="U26" s="25"/>
    </row>
    <row r="27" ht="14.25" customHeight="1">
      <c r="A27" s="49" t="s">
        <v>32</v>
      </c>
      <c r="B27" s="50" t="s">
        <v>64</v>
      </c>
      <c r="C27" s="18"/>
      <c r="D27" s="20"/>
      <c r="E27" s="49">
        <v>3.0</v>
      </c>
      <c r="F27" s="49">
        <v>8.0</v>
      </c>
      <c r="G27" s="49"/>
      <c r="H27" s="49"/>
      <c r="I27" s="24"/>
      <c r="J27" s="9"/>
      <c r="M27" s="11" t="s">
        <v>76</v>
      </c>
      <c r="N27" s="12"/>
      <c r="O27" s="12"/>
      <c r="P27" s="12"/>
      <c r="Q27" s="12"/>
      <c r="R27" s="12"/>
      <c r="S27" s="12"/>
      <c r="T27" s="12"/>
      <c r="U27" s="12"/>
      <c r="V27" s="12"/>
      <c r="W27" s="13"/>
    </row>
    <row r="28" ht="14.25" customHeight="1">
      <c r="A28" s="49" t="s">
        <v>26</v>
      </c>
      <c r="B28" s="50" t="s">
        <v>745</v>
      </c>
      <c r="C28" s="18"/>
      <c r="D28" s="20"/>
      <c r="E28" s="49">
        <v>3.0</v>
      </c>
      <c r="F28" s="49">
        <v>10.0</v>
      </c>
      <c r="G28" s="49"/>
      <c r="H28" s="49"/>
      <c r="I28" s="24"/>
      <c r="J28" s="9"/>
      <c r="M28" s="25"/>
      <c r="N28" s="28" t="s">
        <v>16</v>
      </c>
      <c r="O28" s="28" t="s">
        <v>26</v>
      </c>
      <c r="P28" s="28" t="s">
        <v>27</v>
      </c>
      <c r="Q28" s="28" t="s">
        <v>28</v>
      </c>
      <c r="R28" s="28" t="s">
        <v>29</v>
      </c>
      <c r="S28" s="28" t="s">
        <v>30</v>
      </c>
      <c r="T28" s="28" t="s">
        <v>31</v>
      </c>
      <c r="U28" s="28" t="s">
        <v>32</v>
      </c>
      <c r="V28" s="28" t="s">
        <v>33</v>
      </c>
      <c r="W28" s="28" t="s">
        <v>12</v>
      </c>
    </row>
    <row r="29" ht="14.25" customHeight="1">
      <c r="A29" s="68" t="s">
        <v>27</v>
      </c>
      <c r="B29" s="69" t="s">
        <v>836</v>
      </c>
      <c r="C29" s="18"/>
      <c r="D29" s="20"/>
      <c r="E29" s="68">
        <v>3.0</v>
      </c>
      <c r="F29" s="68">
        <v>10.0</v>
      </c>
      <c r="G29" s="68"/>
      <c r="H29" s="68"/>
      <c r="I29" s="24"/>
      <c r="J29" s="9"/>
      <c r="M29" s="34" t="s">
        <v>36</v>
      </c>
      <c r="N29" s="35">
        <f>SUMIF($A65:$A74,"Pecho",$E65:$E74)</f>
        <v>3</v>
      </c>
      <c r="O29" s="35">
        <f>SUMIF($A65:$A74,"Espalda",$E65:$E74)</f>
        <v>0</v>
      </c>
      <c r="P29" s="35">
        <f>SUMIF($A65:$A74,"Hombros",$E65:$E74)</f>
        <v>0</v>
      </c>
      <c r="Q29" s="35">
        <f>SUMIF($A65:$A74,"Bíceps",$E65:$E74)</f>
        <v>0</v>
      </c>
      <c r="R29" s="35">
        <f>SUMIF($A65:$A74,"Tríceps",$E65:$E74)</f>
        <v>0</v>
      </c>
      <c r="S29" s="35">
        <f>SUMIF($A65:$A74,"Cuádriceps",$E65:$E74)</f>
        <v>0</v>
      </c>
      <c r="T29" s="35">
        <f>SUMIF($A65:$A74,"Isquios",$E65:$E74)</f>
        <v>3</v>
      </c>
      <c r="U29" s="35">
        <f>SUMIF($A65:$A74,"Glúteos",$E65:$E74)</f>
        <v>17</v>
      </c>
      <c r="V29" s="35">
        <f>SUMIF($A65:$A74,"Pantorrillas",$E65:$E74)</f>
        <v>0</v>
      </c>
      <c r="W29" s="35">
        <f>SUMIF($A65:$A74,"Otros",$E65:$E74)</f>
        <v>0</v>
      </c>
    </row>
    <row r="30" ht="14.25" customHeight="1">
      <c r="A30" s="68" t="s">
        <v>28</v>
      </c>
      <c r="B30" s="69" t="s">
        <v>837</v>
      </c>
      <c r="C30" s="18"/>
      <c r="D30" s="20"/>
      <c r="E30" s="68">
        <v>4.0</v>
      </c>
      <c r="F30" s="68">
        <v>10.0</v>
      </c>
      <c r="G30" s="68"/>
      <c r="H30" s="68"/>
      <c r="I30" s="24"/>
      <c r="J30" s="9"/>
      <c r="M30" s="34" t="s">
        <v>7</v>
      </c>
      <c r="N30" s="35" t="str">
        <f>AVERAGEIF($A65:$A74,"Pecho",$G65:$G74)</f>
        <v>#DIV/0!</v>
      </c>
      <c r="O30" s="35" t="str">
        <f>AVERAGEIF($A65:$A74,"Espalda",$G65:$G74)</f>
        <v>#DIV/0!</v>
      </c>
      <c r="P30" s="35" t="str">
        <f>AVERAGEIF($A65:$A74,"Hombros",$G65:$G74)</f>
        <v>#DIV/0!</v>
      </c>
      <c r="Q30" s="35" t="str">
        <f>AVERAGEIF($A65:$A74,"Bíceps",$G65:$G74)</f>
        <v>#DIV/0!</v>
      </c>
      <c r="R30" s="35" t="str">
        <f>AVERAGEIF($A65:$A74,"Tríceps",$G65:$G74)</f>
        <v>#DIV/0!</v>
      </c>
      <c r="S30" s="35" t="str">
        <f>AVERAGEIF($A65:$A74,"Cuádriceps",$G65:$G74)</f>
        <v>#DIV/0!</v>
      </c>
      <c r="T30" s="35" t="str">
        <f>AVERAGEIF($A65:$A74,"Isquios",$G65:$G74)</f>
        <v>#DIV/0!</v>
      </c>
      <c r="U30" s="35" t="str">
        <f>AVERAGEIF($A65:$A74,"Glúteos",$G65:$G74)</f>
        <v>#DIV/0!</v>
      </c>
      <c r="V30" s="35" t="str">
        <f>AVERAGEIF($A65:$A74,"Pantorrillas",$G65:$G74)</f>
        <v>#DIV/0!</v>
      </c>
      <c r="W30" s="35" t="str">
        <f>AVERAGEIF($A65:$A74,"Otros",$G65:$G74)</f>
        <v>#DIV/0!</v>
      </c>
    </row>
    <row r="31" ht="14.25" customHeight="1">
      <c r="A31" s="68"/>
      <c r="B31" s="118"/>
      <c r="C31" s="8"/>
      <c r="D31" s="9"/>
      <c r="E31" s="68">
        <v>1.0</v>
      </c>
      <c r="F31" s="68" t="s">
        <v>763</v>
      </c>
      <c r="G31" s="68"/>
      <c r="H31" s="68"/>
      <c r="I31" s="24"/>
      <c r="J31" s="9"/>
    </row>
    <row r="32" ht="14.25" customHeight="1">
      <c r="A32" s="1"/>
      <c r="B32" s="120"/>
      <c r="C32" s="119"/>
      <c r="D32" s="123"/>
      <c r="E32" s="115"/>
      <c r="F32" s="121"/>
      <c r="G32" s="121"/>
      <c r="H32" s="121"/>
      <c r="I32" s="25"/>
      <c r="J32" s="1"/>
    </row>
    <row r="33" ht="14.25" customHeight="1">
      <c r="B33" s="26"/>
      <c r="C33" s="29"/>
      <c r="D33" s="29"/>
    </row>
    <row r="34" ht="14.25" customHeight="1"/>
    <row r="35" ht="14.25" customHeight="1">
      <c r="A35" s="2" t="s">
        <v>57</v>
      </c>
      <c r="B35" s="3"/>
      <c r="C35" s="4"/>
      <c r="J35" s="1"/>
    </row>
    <row r="36" ht="14.25" customHeight="1">
      <c r="A36" s="6" t="s">
        <v>2</v>
      </c>
      <c r="B36" s="10" t="s">
        <v>4</v>
      </c>
      <c r="C36" s="8"/>
      <c r="D36" s="9"/>
      <c r="E36" s="6" t="s">
        <v>5</v>
      </c>
      <c r="F36" s="6" t="s">
        <v>6</v>
      </c>
      <c r="G36" s="6" t="s">
        <v>7</v>
      </c>
      <c r="H36" s="6" t="s">
        <v>8</v>
      </c>
      <c r="I36" s="10" t="s">
        <v>9</v>
      </c>
      <c r="J36" s="9"/>
    </row>
    <row r="37" ht="14.25" customHeight="1">
      <c r="A37" s="99"/>
      <c r="B37" s="100" t="s">
        <v>775</v>
      </c>
      <c r="C37" s="18"/>
      <c r="D37" s="20"/>
      <c r="E37" s="99">
        <v>2.0</v>
      </c>
      <c r="F37" s="99">
        <v>10.0</v>
      </c>
      <c r="G37" s="99"/>
      <c r="H37" s="99"/>
      <c r="I37" s="101"/>
      <c r="J37" s="9"/>
    </row>
    <row r="38" ht="14.25" customHeight="1">
      <c r="A38" s="99"/>
      <c r="B38" s="100" t="s">
        <v>776</v>
      </c>
      <c r="C38" s="18"/>
      <c r="D38" s="20"/>
      <c r="E38" s="99">
        <v>3.0</v>
      </c>
      <c r="F38" s="99">
        <v>12.0</v>
      </c>
      <c r="G38" s="99"/>
      <c r="H38" s="99"/>
      <c r="I38" s="101"/>
      <c r="J38" s="9"/>
    </row>
    <row r="39" ht="14.25" customHeight="1">
      <c r="A39" s="99"/>
      <c r="B39" s="100" t="s">
        <v>705</v>
      </c>
      <c r="C39" s="18"/>
      <c r="D39" s="20"/>
      <c r="E39" s="99">
        <v>3.0</v>
      </c>
      <c r="F39" s="99">
        <v>12.0</v>
      </c>
      <c r="G39" s="99"/>
      <c r="H39" s="99"/>
      <c r="I39" s="101"/>
      <c r="J39" s="9"/>
    </row>
    <row r="40" ht="14.25" customHeight="1">
      <c r="A40" s="27" t="s">
        <v>26</v>
      </c>
      <c r="B40" s="30" t="s">
        <v>192</v>
      </c>
      <c r="C40" s="18"/>
      <c r="D40" s="20"/>
      <c r="E40" s="27">
        <v>4.0</v>
      </c>
      <c r="F40" s="27">
        <v>10.0</v>
      </c>
      <c r="G40" s="27">
        <v>8.0</v>
      </c>
      <c r="H40" s="27" t="s">
        <v>55</v>
      </c>
      <c r="I40" s="33"/>
      <c r="J40" s="9"/>
    </row>
    <row r="41" ht="14.25" customHeight="1">
      <c r="A41" s="27" t="s">
        <v>26</v>
      </c>
      <c r="B41" s="30" t="s">
        <v>415</v>
      </c>
      <c r="C41" s="18"/>
      <c r="D41" s="20"/>
      <c r="E41" s="27">
        <v>3.0</v>
      </c>
      <c r="F41" s="27">
        <v>10.0</v>
      </c>
      <c r="G41" s="27"/>
      <c r="H41" s="27"/>
      <c r="I41" s="33"/>
      <c r="J41" s="9"/>
    </row>
    <row r="42" ht="14.25" customHeight="1">
      <c r="A42" s="99" t="s">
        <v>26</v>
      </c>
      <c r="B42" s="100" t="s">
        <v>559</v>
      </c>
      <c r="C42" s="18"/>
      <c r="D42" s="20"/>
      <c r="E42" s="99">
        <v>4.0</v>
      </c>
      <c r="F42" s="99">
        <v>12.0</v>
      </c>
      <c r="G42" s="99"/>
      <c r="H42" s="99"/>
      <c r="I42" s="101"/>
      <c r="J42" s="9"/>
    </row>
    <row r="43" ht="14.25" customHeight="1">
      <c r="A43" s="99" t="s">
        <v>26</v>
      </c>
      <c r="B43" s="100" t="s">
        <v>811</v>
      </c>
      <c r="C43" s="18"/>
      <c r="D43" s="20"/>
      <c r="E43" s="99">
        <v>4.0</v>
      </c>
      <c r="F43" s="99">
        <v>10.0</v>
      </c>
      <c r="G43" s="99"/>
      <c r="H43" s="99"/>
      <c r="I43" s="101"/>
      <c r="J43" s="9"/>
    </row>
    <row r="44" ht="14.25" customHeight="1">
      <c r="A44" s="27" t="s">
        <v>27</v>
      </c>
      <c r="B44" s="30" t="s">
        <v>713</v>
      </c>
      <c r="C44" s="18"/>
      <c r="D44" s="20"/>
      <c r="E44" s="27">
        <v>3.0</v>
      </c>
      <c r="F44" s="27">
        <v>12.0</v>
      </c>
      <c r="G44" s="27"/>
      <c r="H44" s="27"/>
      <c r="I44" s="33"/>
      <c r="J44" s="9"/>
    </row>
    <row r="45" ht="14.25" customHeight="1">
      <c r="A45" s="27" t="s">
        <v>26</v>
      </c>
      <c r="B45" s="30" t="s">
        <v>778</v>
      </c>
      <c r="C45" s="18"/>
      <c r="D45" s="20"/>
      <c r="E45" s="27">
        <v>3.0</v>
      </c>
      <c r="F45" s="27">
        <v>10.0</v>
      </c>
      <c r="G45" s="27"/>
      <c r="H45" s="27"/>
      <c r="I45" s="33"/>
      <c r="J45" s="9"/>
    </row>
    <row r="46" ht="14.25" customHeight="1">
      <c r="A46" s="27" t="s">
        <v>12</v>
      </c>
      <c r="B46" s="60" t="s">
        <v>779</v>
      </c>
      <c r="C46" s="8"/>
      <c r="D46" s="9"/>
      <c r="E46" s="27">
        <v>1.0</v>
      </c>
      <c r="F46" s="27" t="s">
        <v>780</v>
      </c>
      <c r="G46" s="27"/>
      <c r="H46" s="27"/>
      <c r="I46" s="33"/>
      <c r="J46" s="9"/>
    </row>
    <row r="47" ht="14.25" customHeight="1">
      <c r="B47" s="26"/>
      <c r="C47" s="29"/>
      <c r="D47" s="29"/>
    </row>
    <row r="48" ht="14.25" customHeight="1"/>
    <row r="49" ht="14.25" customHeight="1">
      <c r="A49" s="2" t="s">
        <v>66</v>
      </c>
      <c r="B49" s="3"/>
      <c r="C49" s="4"/>
      <c r="J49" s="1"/>
    </row>
    <row r="50" ht="14.25" customHeight="1">
      <c r="A50" s="6" t="s">
        <v>2</v>
      </c>
      <c r="B50" s="10" t="s">
        <v>4</v>
      </c>
      <c r="C50" s="8"/>
      <c r="D50" s="9"/>
      <c r="E50" s="6" t="s">
        <v>5</v>
      </c>
      <c r="F50" s="6" t="s">
        <v>6</v>
      </c>
      <c r="G50" s="6" t="s">
        <v>7</v>
      </c>
      <c r="H50" s="6" t="s">
        <v>8</v>
      </c>
      <c r="I50" s="10" t="s">
        <v>9</v>
      </c>
      <c r="J50" s="9"/>
    </row>
    <row r="51" ht="14.25" customHeight="1">
      <c r="A51" s="99"/>
      <c r="B51" s="100" t="s">
        <v>642</v>
      </c>
      <c r="C51" s="18"/>
      <c r="D51" s="20"/>
      <c r="E51" s="99"/>
      <c r="F51" s="99"/>
      <c r="G51" s="99"/>
      <c r="H51" s="99"/>
      <c r="I51" s="24"/>
      <c r="J51" s="9"/>
    </row>
    <row r="52" ht="14.25" customHeight="1">
      <c r="A52" s="99"/>
      <c r="B52" s="100" t="s">
        <v>784</v>
      </c>
      <c r="C52" s="18"/>
      <c r="D52" s="20"/>
      <c r="E52" s="99"/>
      <c r="F52" s="99"/>
      <c r="G52" s="99"/>
      <c r="H52" s="99"/>
      <c r="I52" s="24"/>
      <c r="J52" s="9"/>
    </row>
    <row r="53" ht="14.25" customHeight="1">
      <c r="A53" s="99" t="s">
        <v>12</v>
      </c>
      <c r="B53" s="100" t="s">
        <v>208</v>
      </c>
      <c r="C53" s="18"/>
      <c r="D53" s="20"/>
      <c r="E53" s="99"/>
      <c r="F53" s="99">
        <v>10.0</v>
      </c>
      <c r="G53" s="99"/>
      <c r="H53" s="99"/>
      <c r="I53" s="24"/>
      <c r="J53" s="9"/>
    </row>
    <row r="54" ht="14.25" customHeight="1">
      <c r="A54" s="16" t="s">
        <v>30</v>
      </c>
      <c r="B54" s="30" t="s">
        <v>786</v>
      </c>
      <c r="C54" s="18"/>
      <c r="D54" s="20"/>
      <c r="E54" s="27">
        <v>3.0</v>
      </c>
      <c r="F54" s="27">
        <v>10.0</v>
      </c>
      <c r="G54" s="27"/>
      <c r="H54" s="27"/>
      <c r="I54" s="24"/>
      <c r="J54" s="9"/>
    </row>
    <row r="55" ht="14.25" customHeight="1">
      <c r="A55" s="16" t="s">
        <v>32</v>
      </c>
      <c r="B55" s="30" t="s">
        <v>658</v>
      </c>
      <c r="C55" s="18"/>
      <c r="D55" s="20"/>
      <c r="E55" s="27">
        <v>3.0</v>
      </c>
      <c r="F55" s="27" t="s">
        <v>71</v>
      </c>
      <c r="G55" s="27"/>
      <c r="H55" s="27"/>
      <c r="I55" s="24"/>
      <c r="J55" s="9"/>
    </row>
    <row r="56" ht="14.25" customHeight="1">
      <c r="A56" s="16" t="s">
        <v>29</v>
      </c>
      <c r="B56" s="30" t="s">
        <v>787</v>
      </c>
      <c r="C56" s="18"/>
      <c r="D56" s="20"/>
      <c r="E56" s="27"/>
      <c r="F56" s="27">
        <v>10.0</v>
      </c>
      <c r="G56" s="27"/>
      <c r="H56" s="27"/>
      <c r="I56" s="24"/>
      <c r="J56" s="9"/>
    </row>
    <row r="57" ht="14.25" customHeight="1">
      <c r="A57" s="16" t="s">
        <v>30</v>
      </c>
      <c r="B57" s="30" t="s">
        <v>338</v>
      </c>
      <c r="C57" s="18"/>
      <c r="D57" s="20"/>
      <c r="E57" s="27">
        <v>3.0</v>
      </c>
      <c r="F57" s="27" t="s">
        <v>71</v>
      </c>
      <c r="G57" s="27"/>
      <c r="H57" s="27"/>
      <c r="I57" s="24"/>
      <c r="J57" s="9"/>
    </row>
    <row r="58" ht="14.25" customHeight="1">
      <c r="A58" s="16" t="s">
        <v>16</v>
      </c>
      <c r="B58" s="30" t="s">
        <v>789</v>
      </c>
      <c r="C58" s="18"/>
      <c r="D58" s="20"/>
      <c r="E58" s="27">
        <v>3.0</v>
      </c>
      <c r="F58" s="27">
        <v>10.0</v>
      </c>
      <c r="G58" s="27"/>
      <c r="H58" s="27"/>
      <c r="I58" s="24"/>
      <c r="J58" s="9"/>
    </row>
    <row r="59" ht="14.25" customHeight="1">
      <c r="A59" s="16" t="s">
        <v>30</v>
      </c>
      <c r="B59" s="30" t="s">
        <v>791</v>
      </c>
      <c r="C59" s="18"/>
      <c r="D59" s="20"/>
      <c r="E59" s="27">
        <v>4.0</v>
      </c>
      <c r="F59" s="27">
        <v>10.0</v>
      </c>
      <c r="G59" s="27"/>
      <c r="H59" s="27"/>
      <c r="I59" s="24"/>
      <c r="J59" s="9"/>
    </row>
    <row r="60" ht="14.25" customHeight="1">
      <c r="A60" s="16"/>
      <c r="B60" s="60" t="s">
        <v>757</v>
      </c>
      <c r="C60" s="8"/>
      <c r="D60" s="9"/>
      <c r="E60" s="27">
        <v>1.0</v>
      </c>
      <c r="F60" s="27" t="s">
        <v>403</v>
      </c>
      <c r="G60" s="27"/>
      <c r="H60" s="27"/>
      <c r="I60" s="24"/>
      <c r="J60" s="9"/>
    </row>
    <row r="61" ht="14.25" customHeight="1">
      <c r="B61" s="26"/>
      <c r="C61" s="29"/>
      <c r="D61" s="29"/>
    </row>
    <row r="62" ht="14.25" customHeight="1"/>
    <row r="63" ht="14.25" customHeight="1">
      <c r="A63" s="2" t="s">
        <v>76</v>
      </c>
      <c r="B63" s="3"/>
      <c r="C63" s="4"/>
      <c r="J63" s="1"/>
    </row>
    <row r="64" ht="14.25" customHeight="1">
      <c r="A64" s="6" t="s">
        <v>2</v>
      </c>
      <c r="B64" s="10" t="s">
        <v>4</v>
      </c>
      <c r="C64" s="8"/>
      <c r="D64" s="9"/>
      <c r="E64" s="6" t="s">
        <v>5</v>
      </c>
      <c r="F64" s="6" t="s">
        <v>6</v>
      </c>
      <c r="G64" s="6" t="s">
        <v>7</v>
      </c>
      <c r="H64" s="6" t="s">
        <v>8</v>
      </c>
      <c r="I64" s="10" t="s">
        <v>9</v>
      </c>
      <c r="J64" s="9"/>
    </row>
    <row r="65" ht="14.25" customHeight="1">
      <c r="A65" s="99"/>
      <c r="B65" s="100" t="s">
        <v>796</v>
      </c>
      <c r="C65" s="18"/>
      <c r="D65" s="20"/>
      <c r="E65" s="99">
        <v>3.0</v>
      </c>
      <c r="F65" s="99">
        <v>10.0</v>
      </c>
      <c r="G65" s="99"/>
      <c r="H65" s="99"/>
      <c r="I65" s="101"/>
      <c r="J65" s="9"/>
    </row>
    <row r="66" ht="14.25" customHeight="1">
      <c r="A66" s="99"/>
      <c r="B66" s="100" t="s">
        <v>799</v>
      </c>
      <c r="C66" s="18"/>
      <c r="D66" s="20"/>
      <c r="E66" s="99">
        <v>3.0</v>
      </c>
      <c r="F66" s="99">
        <v>10.0</v>
      </c>
      <c r="G66" s="99"/>
      <c r="H66" s="99"/>
      <c r="I66" s="101"/>
      <c r="J66" s="9"/>
    </row>
    <row r="67" ht="14.25" customHeight="1">
      <c r="A67" s="99" t="s">
        <v>32</v>
      </c>
      <c r="B67" s="100" t="s">
        <v>801</v>
      </c>
      <c r="C67" s="18"/>
      <c r="D67" s="20"/>
      <c r="E67" s="99">
        <v>3.0</v>
      </c>
      <c r="F67" s="99" t="s">
        <v>178</v>
      </c>
      <c r="G67" s="99"/>
      <c r="H67" s="99"/>
      <c r="I67" s="101"/>
      <c r="J67" s="9"/>
    </row>
    <row r="68" ht="14.25" customHeight="1">
      <c r="A68" s="27" t="s">
        <v>31</v>
      </c>
      <c r="B68" s="30" t="s">
        <v>802</v>
      </c>
      <c r="C68" s="18"/>
      <c r="D68" s="20"/>
      <c r="E68" s="27">
        <v>3.0</v>
      </c>
      <c r="F68" s="27">
        <v>12.0</v>
      </c>
      <c r="G68" s="27"/>
      <c r="H68" s="27"/>
      <c r="I68" s="33"/>
      <c r="J68" s="9"/>
    </row>
    <row r="69" ht="14.25" customHeight="1">
      <c r="A69" s="27" t="s">
        <v>32</v>
      </c>
      <c r="B69" s="30" t="s">
        <v>277</v>
      </c>
      <c r="C69" s="18"/>
      <c r="D69" s="20"/>
      <c r="E69" s="27">
        <v>4.0</v>
      </c>
      <c r="F69" s="27">
        <v>10.0</v>
      </c>
      <c r="G69" s="27"/>
      <c r="H69" s="27"/>
      <c r="I69" s="33"/>
      <c r="J69" s="9"/>
    </row>
    <row r="70" ht="14.25" customHeight="1">
      <c r="A70" s="99" t="s">
        <v>32</v>
      </c>
      <c r="B70" s="100" t="s">
        <v>803</v>
      </c>
      <c r="C70" s="18"/>
      <c r="D70" s="20"/>
      <c r="E70" s="99">
        <v>3.0</v>
      </c>
      <c r="F70" s="99">
        <v>12.0</v>
      </c>
      <c r="G70" s="99"/>
      <c r="H70" s="99"/>
      <c r="I70" s="101"/>
      <c r="J70" s="9"/>
    </row>
    <row r="71" ht="14.25" customHeight="1">
      <c r="A71" s="99" t="s">
        <v>32</v>
      </c>
      <c r="B71" s="100" t="s">
        <v>805</v>
      </c>
      <c r="C71" s="18"/>
      <c r="D71" s="20"/>
      <c r="E71" s="99">
        <v>4.0</v>
      </c>
      <c r="F71" s="99" t="s">
        <v>71</v>
      </c>
      <c r="G71" s="99"/>
      <c r="H71" s="99"/>
      <c r="I71" s="101"/>
      <c r="J71" s="9"/>
    </row>
    <row r="72" ht="14.25" customHeight="1">
      <c r="A72" s="27" t="s">
        <v>16</v>
      </c>
      <c r="B72" s="30" t="s">
        <v>170</v>
      </c>
      <c r="C72" s="18"/>
      <c r="D72" s="20"/>
      <c r="E72" s="27">
        <v>3.0</v>
      </c>
      <c r="F72" s="27">
        <v>10.0</v>
      </c>
      <c r="G72" s="27"/>
      <c r="H72" s="27"/>
      <c r="I72" s="33"/>
      <c r="J72" s="9"/>
    </row>
    <row r="73" ht="14.25" customHeight="1">
      <c r="A73" s="27" t="s">
        <v>32</v>
      </c>
      <c r="B73" s="30" t="s">
        <v>807</v>
      </c>
      <c r="C73" s="18"/>
      <c r="D73" s="20"/>
      <c r="E73" s="27">
        <v>3.0</v>
      </c>
      <c r="F73" s="27">
        <v>15.0</v>
      </c>
      <c r="G73" s="27"/>
      <c r="H73" s="27"/>
      <c r="I73" s="33"/>
      <c r="J73" s="9"/>
    </row>
    <row r="74" ht="14.25" customHeight="1">
      <c r="A74" s="49"/>
      <c r="B74" s="66" t="s">
        <v>808</v>
      </c>
      <c r="C74" s="8"/>
      <c r="D74" s="9"/>
      <c r="E74" s="49">
        <v>1.0</v>
      </c>
      <c r="F74" s="49" t="s">
        <v>403</v>
      </c>
      <c r="G74" s="49"/>
      <c r="H74" s="49"/>
      <c r="I74" s="51"/>
      <c r="J74" s="9"/>
    </row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5">
    <mergeCell ref="I26:J26"/>
    <mergeCell ref="I27:J27"/>
    <mergeCell ref="I11:J11"/>
    <mergeCell ref="I13:J13"/>
    <mergeCell ref="I21:J21"/>
    <mergeCell ref="I22:J22"/>
    <mergeCell ref="I23:J23"/>
    <mergeCell ref="I24:J24"/>
    <mergeCell ref="I25:J25"/>
    <mergeCell ref="B26:D26"/>
    <mergeCell ref="B27:D27"/>
    <mergeCell ref="M27:W27"/>
    <mergeCell ref="I28:J28"/>
    <mergeCell ref="B28:D28"/>
    <mergeCell ref="B29:D29"/>
    <mergeCell ref="I29:J29"/>
    <mergeCell ref="B30:D30"/>
    <mergeCell ref="I30:J30"/>
    <mergeCell ref="B31:D31"/>
    <mergeCell ref="I31:J31"/>
    <mergeCell ref="A6:C6"/>
    <mergeCell ref="B7:D7"/>
    <mergeCell ref="I7:J7"/>
    <mergeCell ref="M7:W7"/>
    <mergeCell ref="Z7:AB7"/>
    <mergeCell ref="B8:D8"/>
    <mergeCell ref="B9:D9"/>
    <mergeCell ref="I12:J12"/>
    <mergeCell ref="M12:W12"/>
    <mergeCell ref="I8:J8"/>
    <mergeCell ref="I9:J9"/>
    <mergeCell ref="B10:D10"/>
    <mergeCell ref="I10:J10"/>
    <mergeCell ref="B11:D11"/>
    <mergeCell ref="B12:D12"/>
    <mergeCell ref="B13:D13"/>
    <mergeCell ref="I17:J17"/>
    <mergeCell ref="M17:W17"/>
    <mergeCell ref="M22:W22"/>
    <mergeCell ref="B14:D14"/>
    <mergeCell ref="I14:J14"/>
    <mergeCell ref="B15:D15"/>
    <mergeCell ref="I15:J15"/>
    <mergeCell ref="B16:D16"/>
    <mergeCell ref="I16:J16"/>
    <mergeCell ref="B17:D17"/>
    <mergeCell ref="B18:D18"/>
    <mergeCell ref="A20:C20"/>
    <mergeCell ref="B21:D21"/>
    <mergeCell ref="B22:D22"/>
    <mergeCell ref="B23:D23"/>
    <mergeCell ref="B24:D24"/>
    <mergeCell ref="B25:D25"/>
    <mergeCell ref="I39:J39"/>
    <mergeCell ref="I40:J40"/>
    <mergeCell ref="A49:C49"/>
    <mergeCell ref="B50:D50"/>
    <mergeCell ref="I50:J50"/>
    <mergeCell ref="B51:D51"/>
    <mergeCell ref="I51:J51"/>
    <mergeCell ref="B52:D52"/>
    <mergeCell ref="B53:D53"/>
    <mergeCell ref="B54:D54"/>
    <mergeCell ref="I54:J54"/>
    <mergeCell ref="B55:D55"/>
    <mergeCell ref="I55:J55"/>
    <mergeCell ref="B56:D56"/>
    <mergeCell ref="I56:J56"/>
    <mergeCell ref="I57:J57"/>
    <mergeCell ref="I68:J68"/>
    <mergeCell ref="I69:J69"/>
    <mergeCell ref="I58:J58"/>
    <mergeCell ref="I59:J59"/>
    <mergeCell ref="I60:J60"/>
    <mergeCell ref="I64:J64"/>
    <mergeCell ref="I65:J65"/>
    <mergeCell ref="I66:J66"/>
    <mergeCell ref="I67:J67"/>
    <mergeCell ref="B33:D33"/>
    <mergeCell ref="A35:C35"/>
    <mergeCell ref="B36:D36"/>
    <mergeCell ref="I36:J36"/>
    <mergeCell ref="B37:D37"/>
    <mergeCell ref="I37:J37"/>
    <mergeCell ref="I38:J38"/>
    <mergeCell ref="I42:J42"/>
    <mergeCell ref="I43:J43"/>
    <mergeCell ref="B38:D38"/>
    <mergeCell ref="B39:D39"/>
    <mergeCell ref="B40:D40"/>
    <mergeCell ref="B41:D41"/>
    <mergeCell ref="I41:J41"/>
    <mergeCell ref="B42:D42"/>
    <mergeCell ref="B43:D43"/>
    <mergeCell ref="B44:D44"/>
    <mergeCell ref="I44:J44"/>
    <mergeCell ref="B45:D45"/>
    <mergeCell ref="I45:J45"/>
    <mergeCell ref="B46:D46"/>
    <mergeCell ref="I46:J46"/>
    <mergeCell ref="B47:D47"/>
    <mergeCell ref="I52:J52"/>
    <mergeCell ref="I53:J53"/>
    <mergeCell ref="I70:J70"/>
    <mergeCell ref="I71:J71"/>
    <mergeCell ref="I72:J72"/>
    <mergeCell ref="I73:J73"/>
    <mergeCell ref="I74:J74"/>
    <mergeCell ref="B57:D57"/>
    <mergeCell ref="B58:D58"/>
    <mergeCell ref="B59:D59"/>
    <mergeCell ref="B60:D60"/>
    <mergeCell ref="B61:D61"/>
    <mergeCell ref="A63:C63"/>
    <mergeCell ref="B64:D64"/>
    <mergeCell ref="B72:D72"/>
    <mergeCell ref="B73:D73"/>
    <mergeCell ref="B74:D74"/>
    <mergeCell ref="B65:D65"/>
    <mergeCell ref="B66:D66"/>
    <mergeCell ref="B67:D67"/>
    <mergeCell ref="B68:D68"/>
    <mergeCell ref="B69:D69"/>
    <mergeCell ref="B70:D70"/>
    <mergeCell ref="B71:D71"/>
  </mergeCells>
  <dataValidations>
    <dataValidation type="list" allowBlank="1" showErrorMessage="1" sqref="A8:A17 A22:A32 A37:A46 A51:A60 A65:A74">
      <formula1>Datos!$D$2:$D$11</formula1>
    </dataValidation>
    <dataValidation type="list" allowBlank="1" showErrorMessage="1" sqref="J5">
      <formula1>Datos!$B$2:$B$12</formula1>
    </dataValidation>
    <dataValidation type="list" allowBlank="1" showErrorMessage="1" sqref="J6 J20 J35 J49 J63">
      <formula1>Datos!$D$2:$D$14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10.71"/>
    <col customWidth="1" min="24" max="24" width="7.86"/>
    <col customWidth="1" min="25" max="25" width="15.43"/>
    <col customWidth="1" min="26" max="28" width="10.71"/>
  </cols>
  <sheetData>
    <row r="1" ht="14.25" customHeight="1"/>
    <row r="2" ht="14.25" customHeight="1"/>
    <row r="3" ht="14.25" customHeight="1"/>
    <row r="4" ht="14.25" customHeight="1"/>
    <row r="5" ht="14.25" customHeight="1">
      <c r="J5" s="1"/>
    </row>
    <row r="6" ht="14.25" customHeight="1">
      <c r="A6" s="2" t="s">
        <v>1</v>
      </c>
      <c r="B6" s="3"/>
      <c r="C6" s="4"/>
      <c r="J6" s="1"/>
    </row>
    <row r="7" ht="14.25" customHeight="1">
      <c r="A7" s="5" t="s">
        <v>2</v>
      </c>
      <c r="B7" s="7" t="s">
        <v>4</v>
      </c>
      <c r="C7" s="8"/>
      <c r="D7" s="9"/>
      <c r="E7" s="5" t="s">
        <v>5</v>
      </c>
      <c r="F7" s="5" t="s">
        <v>6</v>
      </c>
      <c r="G7" s="5" t="s">
        <v>7</v>
      </c>
      <c r="H7" s="5" t="s">
        <v>8</v>
      </c>
      <c r="I7" s="7" t="s">
        <v>9</v>
      </c>
      <c r="J7" s="9"/>
      <c r="M7" s="11" t="s">
        <v>0</v>
      </c>
      <c r="N7" s="12"/>
      <c r="O7" s="12"/>
      <c r="P7" s="12"/>
      <c r="Q7" s="12"/>
      <c r="R7" s="12"/>
      <c r="S7" s="12"/>
      <c r="T7" s="12"/>
      <c r="U7" s="12"/>
      <c r="V7" s="12"/>
      <c r="W7" s="13"/>
      <c r="Y7" s="1"/>
      <c r="Z7" s="14" t="s">
        <v>10</v>
      </c>
      <c r="AA7" s="12"/>
      <c r="AB7" s="13"/>
    </row>
    <row r="8" ht="14.25" customHeight="1">
      <c r="A8" s="184" t="s">
        <v>12</v>
      </c>
      <c r="B8" s="185" t="s">
        <v>13</v>
      </c>
      <c r="C8" s="18"/>
      <c r="D8" s="20"/>
      <c r="E8" s="184">
        <v>2.0</v>
      </c>
      <c r="F8" s="184">
        <v>10.0</v>
      </c>
      <c r="G8" s="184"/>
      <c r="H8" s="184"/>
      <c r="I8" s="186" t="s">
        <v>15</v>
      </c>
      <c r="J8" s="9"/>
      <c r="M8" s="25"/>
      <c r="N8" s="28" t="s">
        <v>16</v>
      </c>
      <c r="O8" s="28" t="s">
        <v>26</v>
      </c>
      <c r="P8" s="28" t="s">
        <v>27</v>
      </c>
      <c r="Q8" s="28" t="s">
        <v>28</v>
      </c>
      <c r="R8" s="28" t="s">
        <v>29</v>
      </c>
      <c r="S8" s="28" t="s">
        <v>30</v>
      </c>
      <c r="T8" s="28" t="s">
        <v>31</v>
      </c>
      <c r="U8" s="28" t="s">
        <v>32</v>
      </c>
      <c r="V8" s="28" t="s">
        <v>33</v>
      </c>
      <c r="W8" s="28" t="s">
        <v>12</v>
      </c>
      <c r="Z8" s="28" t="s">
        <v>16</v>
      </c>
      <c r="AA8" s="1">
        <f>SUM(N9,N14,N20,N25,N30)</f>
        <v>15</v>
      </c>
    </row>
    <row r="9" ht="14.25" customHeight="1">
      <c r="A9" s="53" t="s">
        <v>12</v>
      </c>
      <c r="B9" s="54" t="s">
        <v>37</v>
      </c>
      <c r="C9" s="18"/>
      <c r="D9" s="20"/>
      <c r="E9" s="53">
        <v>3.0</v>
      </c>
      <c r="F9" s="53">
        <v>12.0</v>
      </c>
      <c r="G9" s="53"/>
      <c r="H9" s="53"/>
      <c r="I9" s="55"/>
      <c r="J9" s="9"/>
      <c r="M9" s="34" t="s">
        <v>36</v>
      </c>
      <c r="N9" s="37">
        <f>SUMIF(A8:A18,"Pecho",E8:E18)</f>
        <v>11</v>
      </c>
      <c r="O9" s="37">
        <f>SUMIF(A8:A18,"Espalda",E8:E18)</f>
        <v>0</v>
      </c>
      <c r="P9" s="37">
        <f>SUMIF($A8:$A18,"Hombros",$E8:$E18)</f>
        <v>3</v>
      </c>
      <c r="Q9" s="37">
        <f>SUMIF($A8:$A18,"Bíceps",$E8:$E18)</f>
        <v>3</v>
      </c>
      <c r="R9" s="37">
        <f>SUMIF($A8:$A18,"Tríceps",$E8:$E18)</f>
        <v>4</v>
      </c>
      <c r="S9" s="38">
        <f>SUMIF(A8:A18,"Cuádriceps",E8:E18)</f>
        <v>3</v>
      </c>
      <c r="T9" s="37">
        <f>SUMIF($A8:$A18,"Isquios",$E8:$E18)</f>
        <v>0</v>
      </c>
      <c r="U9" s="37">
        <f>SUMIF($A8:$A18,"Glúteos",$E8:$E18)</f>
        <v>0</v>
      </c>
      <c r="V9" s="37">
        <f>SUMIF($A8:$A18,"Pantorrillas",$E8:$E18)</f>
        <v>0</v>
      </c>
      <c r="W9" s="37">
        <f>SUMIF($A8:$A18,"Otros",$E8:$E18)</f>
        <v>8</v>
      </c>
      <c r="Z9" s="28" t="s">
        <v>26</v>
      </c>
      <c r="AA9" s="1">
        <f>SUM(O9,O14,O20,O25,O30)</f>
        <v>11</v>
      </c>
    </row>
    <row r="10" ht="14.25" customHeight="1">
      <c r="A10" s="53" t="s">
        <v>12</v>
      </c>
      <c r="B10" s="54" t="s">
        <v>44</v>
      </c>
      <c r="C10" s="18"/>
      <c r="D10" s="20"/>
      <c r="E10" s="53">
        <v>3.0</v>
      </c>
      <c r="F10" s="53">
        <v>10.0</v>
      </c>
      <c r="G10" s="53"/>
      <c r="H10" s="53"/>
      <c r="I10" s="55"/>
      <c r="J10" s="9"/>
      <c r="M10" s="34" t="s">
        <v>7</v>
      </c>
      <c r="N10" s="35">
        <f>AVERAGEIF($A8:$A18,"Pecho",$G8:$G18)</f>
        <v>8</v>
      </c>
      <c r="O10" s="35" t="str">
        <f>AVERAGEIF($A8:$A18,"Espalda",$G8:$G18)</f>
        <v>#DIV/0!</v>
      </c>
      <c r="P10" s="35">
        <f>AVERAGEIF($A8:$A18,"Hombros",$G8:$G18)</f>
        <v>8</v>
      </c>
      <c r="Q10" s="35" t="str">
        <f>AVERAGEIF($A8:$A18,"Bíceps",$G8:$G18)</f>
        <v>#DIV/0!</v>
      </c>
      <c r="R10" s="35" t="str">
        <f>AVERAGEIF($A8:$A18,"Tríceps",$G8:$G18)</f>
        <v>#DIV/0!</v>
      </c>
      <c r="S10" s="35">
        <f>AVERAGEIF($A8:$A18,"Cuádriceps",$G8:$G18)</f>
        <v>8</v>
      </c>
      <c r="T10" s="35" t="str">
        <f>AVERAGEIF($A8:$A18,"Isquios",$G8:$G18)</f>
        <v>#DIV/0!</v>
      </c>
      <c r="U10" s="35" t="str">
        <f>AVERAGEIF($A8:$A18,"Glúteos",$G8:$G18)</f>
        <v>#DIV/0!</v>
      </c>
      <c r="V10" s="35" t="str">
        <f>AVERAGEIF($A8:$A18,"Pantorrillas",$G8:$G18)</f>
        <v>#DIV/0!</v>
      </c>
      <c r="W10" s="35" t="str">
        <f>AVERAGEIF($A8:$A18,"Otros",$G8:$G18)</f>
        <v>#DIV/0!</v>
      </c>
      <c r="Z10" s="28" t="s">
        <v>27</v>
      </c>
      <c r="AA10" s="1">
        <f>SUM(P9,P14,P20,P25,P30)</f>
        <v>3</v>
      </c>
    </row>
    <row r="11" ht="14.25" customHeight="1">
      <c r="A11" s="201" t="s">
        <v>16</v>
      </c>
      <c r="B11" s="202" t="s">
        <v>829</v>
      </c>
      <c r="C11" s="18"/>
      <c r="D11" s="20"/>
      <c r="E11" s="201">
        <v>4.0</v>
      </c>
      <c r="F11" s="215">
        <v>10.0</v>
      </c>
      <c r="G11" s="201">
        <v>8.0</v>
      </c>
      <c r="H11" s="201" t="s">
        <v>55</v>
      </c>
      <c r="I11" s="203"/>
      <c r="J11" s="9"/>
      <c r="M11" s="25"/>
      <c r="N11" s="25"/>
      <c r="O11" s="25"/>
      <c r="P11" s="25"/>
      <c r="Q11" s="25"/>
      <c r="R11" s="25"/>
      <c r="S11" s="25"/>
      <c r="T11" s="25"/>
      <c r="U11" s="25"/>
      <c r="Z11" s="28" t="s">
        <v>28</v>
      </c>
      <c r="AA11" s="1">
        <f>SUM(Q9,Q14,Q20,Q25,Q30)</f>
        <v>6</v>
      </c>
    </row>
    <row r="12" ht="14.25" customHeight="1">
      <c r="A12" s="201" t="s">
        <v>16</v>
      </c>
      <c r="B12" s="202" t="s">
        <v>830</v>
      </c>
      <c r="C12" s="18"/>
      <c r="D12" s="20"/>
      <c r="E12" s="201">
        <v>4.0</v>
      </c>
      <c r="F12" s="201">
        <v>10.0</v>
      </c>
      <c r="G12" s="201">
        <v>8.0</v>
      </c>
      <c r="H12" s="201"/>
      <c r="I12" s="203" t="s">
        <v>58</v>
      </c>
      <c r="J12" s="9"/>
      <c r="M12" s="11" t="s">
        <v>45</v>
      </c>
      <c r="N12" s="12"/>
      <c r="O12" s="12"/>
      <c r="P12" s="12"/>
      <c r="Q12" s="12"/>
      <c r="R12" s="12"/>
      <c r="S12" s="12"/>
      <c r="T12" s="12"/>
      <c r="U12" s="12"/>
      <c r="V12" s="12"/>
      <c r="W12" s="13"/>
      <c r="Z12" s="28" t="s">
        <v>29</v>
      </c>
      <c r="AA12" s="1">
        <f>SUM(R9,R14,R20,R25,R30)</f>
        <v>4</v>
      </c>
    </row>
    <row r="13" ht="14.25" customHeight="1">
      <c r="A13" s="53" t="s">
        <v>29</v>
      </c>
      <c r="B13" s="54" t="s">
        <v>756</v>
      </c>
      <c r="C13" s="18"/>
      <c r="D13" s="20"/>
      <c r="E13" s="53">
        <v>4.0</v>
      </c>
      <c r="F13" s="53">
        <v>10.0</v>
      </c>
      <c r="G13" s="53"/>
      <c r="H13" s="53"/>
      <c r="I13" s="55"/>
      <c r="J13" s="9"/>
      <c r="M13" s="25"/>
      <c r="N13" s="28" t="s">
        <v>16</v>
      </c>
      <c r="O13" s="28" t="s">
        <v>26</v>
      </c>
      <c r="P13" s="28" t="s">
        <v>27</v>
      </c>
      <c r="Q13" s="28" t="s">
        <v>28</v>
      </c>
      <c r="R13" s="28" t="s">
        <v>29</v>
      </c>
      <c r="S13" s="28" t="s">
        <v>30</v>
      </c>
      <c r="T13" s="28" t="s">
        <v>31</v>
      </c>
      <c r="U13" s="28" t="s">
        <v>32</v>
      </c>
      <c r="V13" s="28" t="s">
        <v>33</v>
      </c>
      <c r="W13" s="28" t="s">
        <v>12</v>
      </c>
      <c r="Z13" s="28" t="s">
        <v>30</v>
      </c>
      <c r="AA13" s="1">
        <f>SUM(S9,S14,S20,S25,S30)</f>
        <v>16</v>
      </c>
    </row>
    <row r="14" ht="14.25" customHeight="1">
      <c r="A14" s="49" t="s">
        <v>30</v>
      </c>
      <c r="B14" s="50" t="s">
        <v>834</v>
      </c>
      <c r="C14" s="18"/>
      <c r="D14" s="20"/>
      <c r="E14" s="49">
        <v>3.0</v>
      </c>
      <c r="F14" s="49" t="s">
        <v>108</v>
      </c>
      <c r="G14" s="49">
        <v>8.0</v>
      </c>
      <c r="H14" s="49"/>
      <c r="I14" s="51"/>
      <c r="J14" s="9"/>
      <c r="M14" s="34" t="s">
        <v>36</v>
      </c>
      <c r="N14" s="35">
        <f>SUMIF($A23:$A33,"Pecho",$E23:$E33)</f>
        <v>0</v>
      </c>
      <c r="O14" s="35">
        <f>SUMIF($A23:$A33,"Espalda",$E23:$E33)</f>
        <v>0</v>
      </c>
      <c r="P14" s="35">
        <f>SUMIF($A23:$A33,"Hombros",$E23:$E33)</f>
        <v>0</v>
      </c>
      <c r="Q14" s="35">
        <f>SUMIF($A23:$A33,"Bíceps",$E23:$E33)</f>
        <v>0</v>
      </c>
      <c r="R14" s="35">
        <f>SUMIF($A23:$A33,"Tríceps",$E23:$E33)</f>
        <v>0</v>
      </c>
      <c r="S14" s="35">
        <f>SUMIF($A23:$A33,"Cuádriceps",$E23:$E33)</f>
        <v>7</v>
      </c>
      <c r="T14" s="35">
        <f>SUMIF($A23:$A33,"Isquios",$E23:$E33)</f>
        <v>0</v>
      </c>
      <c r="U14" s="35">
        <f>SUMIF($A23:$A33,"Glúteos",$E23:$E33)</f>
        <v>7</v>
      </c>
      <c r="V14" s="35">
        <f>SUMIF($A23:$A33,"Pantorrillas",$E23:$E33)</f>
        <v>6</v>
      </c>
      <c r="W14" s="35">
        <f>SUMIF($A23:$A33,"Otros",$E23:$E33)</f>
        <v>15</v>
      </c>
      <c r="Z14" s="28" t="s">
        <v>31</v>
      </c>
      <c r="AA14" s="1">
        <f>SUM(T9,T14,T20,T25,T30)</f>
        <v>7</v>
      </c>
    </row>
    <row r="15" ht="14.25" customHeight="1">
      <c r="A15" s="49" t="s">
        <v>27</v>
      </c>
      <c r="B15" s="50" t="s">
        <v>835</v>
      </c>
      <c r="C15" s="18"/>
      <c r="D15" s="20"/>
      <c r="E15" s="49">
        <v>3.0</v>
      </c>
      <c r="F15" s="49">
        <v>6.0</v>
      </c>
      <c r="G15" s="49">
        <v>8.0</v>
      </c>
      <c r="H15" s="49"/>
      <c r="I15" s="51" t="s">
        <v>72</v>
      </c>
      <c r="J15" s="9"/>
      <c r="M15" s="34" t="s">
        <v>7</v>
      </c>
      <c r="N15" s="35" t="str">
        <f>AVERAGEIF($A23:$A33,"Pecho",$G23:$G33)</f>
        <v>#DIV/0!</v>
      </c>
      <c r="O15" s="35" t="str">
        <f>AVERAGEIF($A23:$A33,"Espalda",$G23:$G33)</f>
        <v>#DIV/0!</v>
      </c>
      <c r="P15" s="35" t="str">
        <f>AVERAGEIF($A23:$A33,"Hombros",$G23:$G33)</f>
        <v>#DIV/0!</v>
      </c>
      <c r="Q15" s="35" t="str">
        <f>AVERAGEIF($A23:$A33,"Bíceps",$G23:$G33)</f>
        <v>#DIV/0!</v>
      </c>
      <c r="R15" s="35" t="str">
        <f>AVERAGEIF($A23:$A33,"Tríceps",$G23:$G33)</f>
        <v>#DIV/0!</v>
      </c>
      <c r="S15" s="35">
        <f>AVERAGEIF($A23:$A33,"Cuádriceps",$G23:$G33)</f>
        <v>8</v>
      </c>
      <c r="T15" s="35" t="str">
        <f>AVERAGEIF($A23:$A33,"Isquios",$G23:$G33)</f>
        <v>#DIV/0!</v>
      </c>
      <c r="U15" s="35" t="str">
        <f>AVERAGEIF($A23:$A33,"Glúteos",$G23:$G33)</f>
        <v>#DIV/0!</v>
      </c>
      <c r="V15" s="35" t="str">
        <f>AVERAGEIF($A23:$A33,"Pantorrillas",$G23:$G33)</f>
        <v>#DIV/0!</v>
      </c>
      <c r="W15" s="35" t="str">
        <f>AVERAGEIF($A23:$A33,"Otros",$G23:$G33)</f>
        <v>#DIV/0!</v>
      </c>
      <c r="Z15" s="28" t="s">
        <v>32</v>
      </c>
      <c r="AA15" s="1">
        <f>SUM(U9,U14,U20,U25,U30)</f>
        <v>10</v>
      </c>
    </row>
    <row r="16" ht="14.25" customHeight="1">
      <c r="A16" s="53" t="s">
        <v>16</v>
      </c>
      <c r="B16" s="54" t="s">
        <v>762</v>
      </c>
      <c r="C16" s="18"/>
      <c r="D16" s="20"/>
      <c r="E16" s="53">
        <v>3.0</v>
      </c>
      <c r="F16" s="130" t="s">
        <v>686</v>
      </c>
      <c r="G16" s="53">
        <v>8.0</v>
      </c>
      <c r="H16" s="53"/>
      <c r="I16" s="55" t="s">
        <v>81</v>
      </c>
      <c r="J16" s="9"/>
      <c r="M16" s="25"/>
      <c r="N16" s="25"/>
      <c r="O16" s="25"/>
      <c r="P16" s="25"/>
      <c r="Q16" s="25"/>
      <c r="R16" s="25"/>
      <c r="S16" s="25"/>
      <c r="T16" s="25"/>
      <c r="U16" s="25"/>
      <c r="Z16" s="28" t="s">
        <v>33</v>
      </c>
      <c r="AA16" s="1">
        <f>SUM(V9,V14,V20,V25,V30)</f>
        <v>9</v>
      </c>
    </row>
    <row r="17" ht="14.25" customHeight="1">
      <c r="A17" s="53" t="s">
        <v>28</v>
      </c>
      <c r="B17" s="56" t="s">
        <v>83</v>
      </c>
      <c r="C17" s="8"/>
      <c r="D17" s="9"/>
      <c r="E17" s="53">
        <v>3.0</v>
      </c>
      <c r="F17" s="53"/>
      <c r="G17" s="53" t="s">
        <v>218</v>
      </c>
      <c r="H17" s="53"/>
      <c r="I17" s="57"/>
      <c r="J17" s="59"/>
      <c r="M17" s="25"/>
      <c r="N17" s="25"/>
      <c r="O17" s="25"/>
      <c r="P17" s="25"/>
      <c r="Q17" s="25"/>
      <c r="R17" s="25"/>
      <c r="S17" s="25"/>
      <c r="T17" s="25"/>
      <c r="U17" s="25"/>
      <c r="Z17" s="28"/>
      <c r="AA17" s="1"/>
    </row>
    <row r="18" ht="14.25" customHeight="1">
      <c r="A18" s="53"/>
      <c r="B18" s="54"/>
      <c r="C18" s="18"/>
      <c r="D18" s="20"/>
      <c r="E18" s="53"/>
      <c r="F18" s="53"/>
      <c r="G18" s="53"/>
      <c r="H18" s="53"/>
      <c r="I18" s="55"/>
      <c r="J18" s="9"/>
      <c r="M18" s="11" t="s">
        <v>57</v>
      </c>
      <c r="N18" s="12"/>
      <c r="O18" s="12"/>
      <c r="P18" s="12"/>
      <c r="Q18" s="12"/>
      <c r="R18" s="12"/>
      <c r="S18" s="12"/>
      <c r="T18" s="12"/>
      <c r="U18" s="12"/>
      <c r="V18" s="12"/>
      <c r="W18" s="13"/>
      <c r="Z18" s="28" t="s">
        <v>12</v>
      </c>
      <c r="AA18" s="1">
        <f>SUM(W9,W14,W20,W25,W30)</f>
        <v>40</v>
      </c>
    </row>
    <row r="19" ht="14.25" customHeight="1">
      <c r="B19" s="26"/>
      <c r="C19" s="29"/>
      <c r="D19" s="29"/>
      <c r="M19" s="25"/>
      <c r="N19" s="28" t="s">
        <v>16</v>
      </c>
      <c r="O19" s="28" t="s">
        <v>26</v>
      </c>
      <c r="P19" s="28" t="s">
        <v>27</v>
      </c>
      <c r="Q19" s="28" t="s">
        <v>28</v>
      </c>
      <c r="R19" s="28" t="s">
        <v>29</v>
      </c>
      <c r="S19" s="28" t="s">
        <v>30</v>
      </c>
      <c r="T19" s="28" t="s">
        <v>31</v>
      </c>
      <c r="U19" s="28" t="s">
        <v>32</v>
      </c>
      <c r="V19" s="28" t="s">
        <v>33</v>
      </c>
      <c r="W19" s="28" t="s">
        <v>12</v>
      </c>
    </row>
    <row r="20" ht="14.25" customHeight="1">
      <c r="M20" s="34" t="s">
        <v>36</v>
      </c>
      <c r="N20" s="35">
        <f>SUMIF($A38:$A47,"Pecho",$E38:$E47)</f>
        <v>0</v>
      </c>
      <c r="O20" s="35">
        <f>SUMIF($A38:$A47,"Espalda",$E38:$E47)</f>
        <v>7</v>
      </c>
      <c r="P20" s="35">
        <f>SUMIF($A38:$A47,"Hombros",$E38:$E47)</f>
        <v>0</v>
      </c>
      <c r="Q20" s="35">
        <f>SUMIF($A38:$A47,"Bíceps",$E38:$E47)</f>
        <v>0</v>
      </c>
      <c r="R20" s="35">
        <f>SUMIF($A38:$A47,"Tríceps",$E38:$E47)</f>
        <v>0</v>
      </c>
      <c r="S20" s="35">
        <f>SUMIF($A38:$A47,"Cuádriceps",$E38:$E47)</f>
        <v>3</v>
      </c>
      <c r="T20" s="35">
        <f>SUMIF($A38:$A47,"Isquios",$E38:$E47)</f>
        <v>4</v>
      </c>
      <c r="U20" s="35">
        <f>SUMIF($A38:$A47,"Glúteos",$E38:$E47)</f>
        <v>3</v>
      </c>
      <c r="V20" s="35">
        <f>SUMIF($A38:$A47,"Pantorrillas",$E38:$E47)</f>
        <v>0</v>
      </c>
      <c r="W20" s="35">
        <f>SUMIF($A38:$A47,"Otros",$E38:$E47)</f>
        <v>14</v>
      </c>
    </row>
    <row r="21" ht="14.25" customHeight="1">
      <c r="A21" s="2" t="s">
        <v>97</v>
      </c>
      <c r="B21" s="3"/>
      <c r="C21" s="4"/>
      <c r="J21" s="1"/>
      <c r="M21" s="34" t="s">
        <v>7</v>
      </c>
      <c r="N21" s="35" t="str">
        <f>AVERAGEIF($A38:$A47,"Pecho",$G38:$G47)</f>
        <v>#DIV/0!</v>
      </c>
      <c r="O21" s="35">
        <f>AVERAGEIF($A38:$A47,"Espalda",$G38:$G47)</f>
        <v>8</v>
      </c>
      <c r="P21" s="35" t="str">
        <f>AVERAGEIF($A38:$A47,"Hombros",$G38:$G47)</f>
        <v>#DIV/0!</v>
      </c>
      <c r="Q21" s="35" t="str">
        <f>AVERAGEIF($A38:$A47,"Bíceps",$G38:$G47)</f>
        <v>#DIV/0!</v>
      </c>
      <c r="R21" s="35" t="str">
        <f>AVERAGEIF($A38:$A47,"Tríceps",$G38:$G47)</f>
        <v>#DIV/0!</v>
      </c>
      <c r="S21" s="35" t="str">
        <f>AVERAGEIF($A38:$A47,"Cuádriceps",$G38:$G47)</f>
        <v>#DIV/0!</v>
      </c>
      <c r="T21" s="35">
        <f>AVERAGEIF($A38:$A47,"Isquios",$G38:$G47)</f>
        <v>8</v>
      </c>
      <c r="U21" s="35" t="str">
        <f>AVERAGEIF($A38:$A47,"Glúteos",$G38:$G47)</f>
        <v>#DIV/0!</v>
      </c>
      <c r="V21" s="35" t="str">
        <f>AVERAGEIF($A38:$A47,"Pantorrillas",$G38:$G47)</f>
        <v>#DIV/0!</v>
      </c>
      <c r="W21" s="35" t="str">
        <f>AVERAGEIF($A38:$A47,"Otros",$G38:$G47)</f>
        <v>#DIV/0!</v>
      </c>
    </row>
    <row r="22" ht="14.25" customHeight="1">
      <c r="A22" s="5" t="s">
        <v>2</v>
      </c>
      <c r="B22" s="7" t="s">
        <v>4</v>
      </c>
      <c r="C22" s="8"/>
      <c r="D22" s="9"/>
      <c r="E22" s="5" t="s">
        <v>5</v>
      </c>
      <c r="F22" s="5" t="s">
        <v>6</v>
      </c>
      <c r="G22" s="5" t="s">
        <v>7</v>
      </c>
      <c r="H22" s="5" t="s">
        <v>8</v>
      </c>
      <c r="I22" s="7" t="s">
        <v>9</v>
      </c>
      <c r="J22" s="9"/>
      <c r="M22" s="25"/>
      <c r="N22" s="25"/>
      <c r="O22" s="25"/>
      <c r="P22" s="25"/>
      <c r="Q22" s="25"/>
      <c r="R22" s="25"/>
      <c r="S22" s="25"/>
      <c r="T22" s="25"/>
      <c r="U22" s="25"/>
    </row>
    <row r="23" ht="14.25" customHeight="1">
      <c r="A23" s="53" t="s">
        <v>12</v>
      </c>
      <c r="B23" s="54" t="s">
        <v>99</v>
      </c>
      <c r="C23" s="18"/>
      <c r="D23" s="20"/>
      <c r="E23" s="53">
        <v>2.0</v>
      </c>
      <c r="F23" s="53">
        <v>10.0</v>
      </c>
      <c r="G23" s="53"/>
      <c r="H23" s="53"/>
      <c r="I23" s="55"/>
      <c r="J23" s="9"/>
      <c r="M23" s="11" t="s">
        <v>66</v>
      </c>
      <c r="N23" s="12"/>
      <c r="O23" s="12"/>
      <c r="P23" s="12"/>
      <c r="Q23" s="12"/>
      <c r="R23" s="12"/>
      <c r="S23" s="12"/>
      <c r="T23" s="12"/>
      <c r="U23" s="12"/>
      <c r="V23" s="12"/>
      <c r="W23" s="13"/>
    </row>
    <row r="24" ht="14.25" customHeight="1">
      <c r="A24" s="53" t="s">
        <v>12</v>
      </c>
      <c r="B24" s="54" t="s">
        <v>100</v>
      </c>
      <c r="C24" s="18"/>
      <c r="D24" s="20"/>
      <c r="E24" s="53">
        <v>2.0</v>
      </c>
      <c r="F24" s="53">
        <v>12.0</v>
      </c>
      <c r="G24" s="53"/>
      <c r="H24" s="53"/>
      <c r="I24" s="55"/>
      <c r="J24" s="9"/>
      <c r="M24" s="25"/>
      <c r="N24" s="28" t="s">
        <v>16</v>
      </c>
      <c r="O24" s="28" t="s">
        <v>26</v>
      </c>
      <c r="P24" s="28" t="s">
        <v>27</v>
      </c>
      <c r="Q24" s="28" t="s">
        <v>28</v>
      </c>
      <c r="R24" s="28" t="s">
        <v>29</v>
      </c>
      <c r="S24" s="28" t="s">
        <v>30</v>
      </c>
      <c r="T24" s="28" t="s">
        <v>31</v>
      </c>
      <c r="U24" s="28" t="s">
        <v>32</v>
      </c>
      <c r="V24" s="28" t="s">
        <v>33</v>
      </c>
      <c r="W24" s="28" t="s">
        <v>12</v>
      </c>
    </row>
    <row r="25" ht="14.25" customHeight="1">
      <c r="A25" s="53" t="s">
        <v>12</v>
      </c>
      <c r="B25" s="54" t="s">
        <v>101</v>
      </c>
      <c r="C25" s="18"/>
      <c r="D25" s="20"/>
      <c r="E25" s="53">
        <v>3.0</v>
      </c>
      <c r="F25" s="53">
        <v>10.0</v>
      </c>
      <c r="G25" s="53"/>
      <c r="H25" s="53"/>
      <c r="I25" s="55"/>
      <c r="J25" s="9"/>
      <c r="M25" s="34" t="s">
        <v>36</v>
      </c>
      <c r="N25" s="35">
        <f>SUMIF($A52:$A61,"Pecho",$E52:$E61)</f>
        <v>4</v>
      </c>
      <c r="O25" s="35">
        <f>SUMIF($A52:$A61,"Espalda",$E52:$E61)</f>
        <v>4</v>
      </c>
      <c r="P25" s="35">
        <f>SUMIF($A52:$A61,"Hombros",$E52:$E61)</f>
        <v>0</v>
      </c>
      <c r="Q25" s="35">
        <f>SUMIF($A52:$A61,"Bíceps",$E52:$E61)</f>
        <v>3</v>
      </c>
      <c r="R25" s="35">
        <f>SUMIF($A52:$A61,"Tríceps",$E52:$E61)</f>
        <v>0</v>
      </c>
      <c r="S25" s="35">
        <f>SUMIF($A52:$A61,"Cuádriceps",$E52:$E61)</f>
        <v>3</v>
      </c>
      <c r="T25" s="35">
        <f>SUMIF($A52:$A61,"Isquios",$E52:$E61)</f>
        <v>3</v>
      </c>
      <c r="U25" s="35">
        <f>SUMIF($A52:$A61,"Glúteos",$E52:$E61)</f>
        <v>0</v>
      </c>
      <c r="V25" s="35">
        <f>SUMIF($A52:$A61,"Pantorrillas",$E52:$E61)</f>
        <v>3</v>
      </c>
      <c r="W25" s="35">
        <f>SUMIF($A52:$A61,"Otros",$E52:$E61)</f>
        <v>3</v>
      </c>
    </row>
    <row r="26" ht="14.25" customHeight="1">
      <c r="A26" s="49" t="s">
        <v>30</v>
      </c>
      <c r="B26" s="50" t="s">
        <v>102</v>
      </c>
      <c r="C26" s="18"/>
      <c r="D26" s="20"/>
      <c r="E26" s="49">
        <v>4.0</v>
      </c>
      <c r="F26" s="49">
        <v>8.0</v>
      </c>
      <c r="G26" s="49">
        <v>8.0</v>
      </c>
      <c r="H26" s="49" t="s">
        <v>55</v>
      </c>
      <c r="I26" s="51"/>
      <c r="J26" s="9"/>
      <c r="M26" s="34" t="s">
        <v>7</v>
      </c>
      <c r="N26" s="35">
        <f>AVERAGEIF($A52:$A61,"Pecho",$G52:$G61)</f>
        <v>7</v>
      </c>
      <c r="O26" s="35">
        <f>AVERAGEIF($A52:$A61,"Espalda",$G52:$G61)</f>
        <v>8</v>
      </c>
      <c r="P26" s="35" t="str">
        <f>AVERAGEIF($A52:$A61,"Hombros",$G52:$G61)</f>
        <v>#DIV/0!</v>
      </c>
      <c r="Q26" s="35">
        <f>AVERAGEIF($A52:$A61,"Bíceps",$G52:$G61)</f>
        <v>6</v>
      </c>
      <c r="R26" s="35" t="str">
        <f>AVERAGEIF($A52:$A61,"Tríceps",$G52:$G61)</f>
        <v>#DIV/0!</v>
      </c>
      <c r="S26" s="35">
        <f>AVERAGEIF($A52:$A61,"Cuádriceps",$G52:$G61)</f>
        <v>6</v>
      </c>
      <c r="T26" s="35">
        <f>AVERAGEIF($A52:$A61,"Isquios",$G52:$G61)</f>
        <v>7</v>
      </c>
      <c r="U26" s="35" t="str">
        <f>AVERAGEIF($A52:$A61,"Glúteos",$G52:$G61)</f>
        <v>#DIV/0!</v>
      </c>
      <c r="V26" s="35">
        <f>AVERAGEIF($A52:$A61,"Pantorrillas",$G52:$G61)</f>
        <v>7</v>
      </c>
      <c r="W26" s="35">
        <f>AVERAGEIF($A52:$A61,"Otros",$G52:$G61)</f>
        <v>6</v>
      </c>
    </row>
    <row r="27" ht="14.25" customHeight="1">
      <c r="A27" s="49" t="s">
        <v>30</v>
      </c>
      <c r="B27" s="50" t="s">
        <v>104</v>
      </c>
      <c r="C27" s="18"/>
      <c r="D27" s="20"/>
      <c r="E27" s="49">
        <v>3.0</v>
      </c>
      <c r="F27" s="49" t="s">
        <v>455</v>
      </c>
      <c r="G27" s="49">
        <v>8.0</v>
      </c>
      <c r="H27" s="49"/>
      <c r="I27" s="51" t="s">
        <v>777</v>
      </c>
      <c r="J27" s="9"/>
      <c r="M27" s="25"/>
      <c r="N27" s="25"/>
      <c r="O27" s="25"/>
      <c r="P27" s="25"/>
      <c r="Q27" s="25"/>
      <c r="R27" s="25"/>
      <c r="S27" s="25"/>
      <c r="T27" s="25"/>
      <c r="U27" s="25"/>
    </row>
    <row r="28" ht="14.25" customHeight="1">
      <c r="A28" s="49" t="s">
        <v>32</v>
      </c>
      <c r="B28" s="50" t="s">
        <v>107</v>
      </c>
      <c r="C28" s="18"/>
      <c r="D28" s="20"/>
      <c r="E28" s="49">
        <v>4.0</v>
      </c>
      <c r="F28" s="49" t="s">
        <v>108</v>
      </c>
      <c r="G28" s="49"/>
      <c r="H28" s="49"/>
      <c r="I28" s="51"/>
      <c r="J28" s="9"/>
      <c r="M28" s="11" t="s">
        <v>76</v>
      </c>
      <c r="N28" s="12"/>
      <c r="O28" s="12"/>
      <c r="P28" s="12"/>
      <c r="Q28" s="12"/>
      <c r="R28" s="12"/>
      <c r="S28" s="12"/>
      <c r="T28" s="12"/>
      <c r="U28" s="12"/>
      <c r="V28" s="12"/>
      <c r="W28" s="13"/>
    </row>
    <row r="29" ht="14.25" customHeight="1">
      <c r="A29" s="207" t="s">
        <v>33</v>
      </c>
      <c r="B29" s="208" t="s">
        <v>781</v>
      </c>
      <c r="C29" s="18"/>
      <c r="D29" s="20"/>
      <c r="E29" s="207">
        <v>3.0</v>
      </c>
      <c r="F29" s="207">
        <v>8.0</v>
      </c>
      <c r="G29" s="207"/>
      <c r="H29" s="207"/>
      <c r="I29" s="209" t="s">
        <v>782</v>
      </c>
      <c r="J29" s="9"/>
      <c r="M29" s="25"/>
      <c r="N29" s="28" t="s">
        <v>16</v>
      </c>
      <c r="O29" s="28" t="s">
        <v>26</v>
      </c>
      <c r="P29" s="28" t="s">
        <v>27</v>
      </c>
      <c r="Q29" s="28" t="s">
        <v>28</v>
      </c>
      <c r="R29" s="28" t="s">
        <v>29</v>
      </c>
      <c r="S29" s="28" t="s">
        <v>30</v>
      </c>
      <c r="T29" s="28" t="s">
        <v>31</v>
      </c>
      <c r="U29" s="28" t="s">
        <v>32</v>
      </c>
      <c r="V29" s="28" t="s">
        <v>33</v>
      </c>
      <c r="W29" s="28" t="s">
        <v>12</v>
      </c>
    </row>
    <row r="30" ht="14.25" customHeight="1">
      <c r="A30" s="207" t="s">
        <v>32</v>
      </c>
      <c r="B30" s="208" t="s">
        <v>783</v>
      </c>
      <c r="C30" s="18"/>
      <c r="D30" s="20"/>
      <c r="E30" s="207">
        <v>3.0</v>
      </c>
      <c r="F30" s="207">
        <v>6.0</v>
      </c>
      <c r="G30" s="207"/>
      <c r="H30" s="207"/>
      <c r="I30" s="209"/>
      <c r="J30" s="9"/>
      <c r="M30" s="34" t="s">
        <v>36</v>
      </c>
      <c r="N30" s="35">
        <f>SUMIF($A66:$A75,"Pecho",$E66:$E75)</f>
        <v>0</v>
      </c>
      <c r="O30" s="35">
        <f>SUMIF($A66:$A75,"Espalda",$E66:$E75)</f>
        <v>0</v>
      </c>
      <c r="P30" s="35">
        <f>SUMIF($A66:$A75,"Hombros",$E66:$E75)</f>
        <v>0</v>
      </c>
      <c r="Q30" s="35">
        <f>SUMIF($A66:$A75,"Bíceps",$E66:$E75)</f>
        <v>0</v>
      </c>
      <c r="R30" s="35">
        <f>SUMIF($A66:$A75,"Tríceps",$E66:$E75)</f>
        <v>0</v>
      </c>
      <c r="S30" s="35">
        <f>SUMIF($A66:$A75,"Cuádriceps",$E66:$E75)</f>
        <v>0</v>
      </c>
      <c r="T30" s="35">
        <f>SUMIF($A66:$A75,"Isquios",$E66:$E75)</f>
        <v>0</v>
      </c>
      <c r="U30" s="35">
        <f>SUMIF($A66:$A75,"Glúteos",$E66:$E75)</f>
        <v>0</v>
      </c>
      <c r="V30" s="35">
        <f>SUMIF($A66:$A75,"Pantorrillas",$E66:$E75)</f>
        <v>0</v>
      </c>
      <c r="W30" s="35">
        <f>SUMIF($A66:$A75,"Otros",$E66:$E75)</f>
        <v>0</v>
      </c>
    </row>
    <row r="31" ht="14.25" customHeight="1">
      <c r="A31" s="207" t="s">
        <v>33</v>
      </c>
      <c r="B31" s="210" t="s">
        <v>788</v>
      </c>
      <c r="C31" s="8"/>
      <c r="D31" s="9"/>
      <c r="E31" s="207">
        <v>3.0</v>
      </c>
      <c r="F31" s="207" t="s">
        <v>71</v>
      </c>
      <c r="G31" s="207"/>
      <c r="H31" s="207"/>
      <c r="I31" s="209"/>
      <c r="J31" s="9"/>
      <c r="M31" s="34" t="s">
        <v>7</v>
      </c>
      <c r="N31" s="35">
        <f>AVERAGEIF($A66:$A75,"Pecho",$G66:$G75)</f>
        <v>6</v>
      </c>
      <c r="O31" s="35" t="str">
        <f>AVERAGEIF($A66:$A75,"Espalda",$G66:$G75)</f>
        <v>#DIV/0!</v>
      </c>
      <c r="P31" s="35" t="str">
        <f>AVERAGEIF($A66:$A75,"Hombros",$G66:$G75)</f>
        <v>#DIV/0!</v>
      </c>
      <c r="Q31" s="35">
        <f>AVERAGEIF($A66:$A75,"Bíceps",$G66:$G75)</f>
        <v>7</v>
      </c>
      <c r="R31" s="35" t="str">
        <f>AVERAGEIF($A66:$A75,"Tríceps",$G66:$G75)</f>
        <v>#DIV/0!</v>
      </c>
      <c r="S31" s="35" t="str">
        <f>AVERAGEIF($A66:$A75,"Cuádriceps",$G66:$G75)</f>
        <v>#DIV/0!</v>
      </c>
      <c r="T31" s="35">
        <f>AVERAGEIF($A66:$A75,"Isquios",$G66:$G75)</f>
        <v>6</v>
      </c>
      <c r="U31" s="35" t="str">
        <f>AVERAGEIF($A66:$A75,"Glúteos",$G66:$G75)</f>
        <v>#DIV/0!</v>
      </c>
      <c r="V31" s="35">
        <f>AVERAGEIF($A66:$A75,"Pantorrillas",$G66:$G75)</f>
        <v>7</v>
      </c>
      <c r="W31" s="35" t="str">
        <f>AVERAGEIF($A66:$A75,"Otros",$G66:$G75)</f>
        <v>#DIV/0!</v>
      </c>
    </row>
    <row r="32" ht="14.25" customHeight="1">
      <c r="A32" s="49" t="s">
        <v>113</v>
      </c>
      <c r="B32" s="62" t="s">
        <v>114</v>
      </c>
      <c r="C32" s="8"/>
      <c r="D32" s="9"/>
      <c r="E32" s="49">
        <v>3.0</v>
      </c>
      <c r="F32" s="49" t="s">
        <v>65</v>
      </c>
      <c r="G32" s="49"/>
      <c r="H32" s="49"/>
      <c r="I32" s="63"/>
      <c r="J32" s="64"/>
      <c r="M32" s="65"/>
      <c r="N32" s="25"/>
      <c r="O32" s="25"/>
      <c r="P32" s="25"/>
      <c r="Q32" s="25"/>
      <c r="R32" s="25"/>
      <c r="S32" s="25"/>
      <c r="T32" s="25"/>
      <c r="U32" s="25"/>
      <c r="V32" s="25"/>
      <c r="W32" s="25"/>
    </row>
    <row r="33" ht="14.25" customHeight="1">
      <c r="A33" s="49" t="s">
        <v>113</v>
      </c>
      <c r="B33" s="66" t="s">
        <v>800</v>
      </c>
      <c r="C33" s="8"/>
      <c r="D33" s="9"/>
      <c r="E33" s="49">
        <v>5.0</v>
      </c>
      <c r="F33" s="49"/>
      <c r="G33" s="49"/>
      <c r="H33" s="49"/>
      <c r="I33" s="51"/>
      <c r="J33" s="9"/>
    </row>
    <row r="34" ht="14.25" customHeight="1">
      <c r="B34" s="26"/>
      <c r="C34" s="29"/>
      <c r="D34" s="29"/>
    </row>
    <row r="35" ht="14.25" customHeight="1"/>
    <row r="36" ht="14.25" customHeight="1">
      <c r="A36" s="2" t="s">
        <v>117</v>
      </c>
      <c r="B36" s="3"/>
      <c r="C36" s="4"/>
      <c r="J36" s="1"/>
    </row>
    <row r="37" ht="14.25" customHeight="1">
      <c r="A37" s="5" t="s">
        <v>2</v>
      </c>
      <c r="B37" s="7" t="s">
        <v>4</v>
      </c>
      <c r="C37" s="8"/>
      <c r="D37" s="9"/>
      <c r="E37" s="5" t="s">
        <v>5</v>
      </c>
      <c r="F37" s="5" t="s">
        <v>6</v>
      </c>
      <c r="G37" s="5" t="s">
        <v>7</v>
      </c>
      <c r="H37" s="5" t="s">
        <v>8</v>
      </c>
      <c r="I37" s="7" t="s">
        <v>9</v>
      </c>
      <c r="J37" s="9"/>
    </row>
    <row r="38" ht="14.25" customHeight="1">
      <c r="A38" s="53" t="s">
        <v>12</v>
      </c>
      <c r="B38" s="54" t="s">
        <v>13</v>
      </c>
      <c r="C38" s="18"/>
      <c r="D38" s="20"/>
      <c r="E38" s="53">
        <v>2.0</v>
      </c>
      <c r="F38" s="53">
        <v>10.0</v>
      </c>
      <c r="G38" s="53"/>
      <c r="H38" s="53"/>
      <c r="I38" s="55"/>
      <c r="J38" s="9"/>
    </row>
    <row r="39" ht="14.25" customHeight="1">
      <c r="A39" s="53" t="s">
        <v>12</v>
      </c>
      <c r="B39" s="54" t="s">
        <v>804</v>
      </c>
      <c r="C39" s="18"/>
      <c r="D39" s="20"/>
      <c r="E39" s="53">
        <v>3.0</v>
      </c>
      <c r="F39" s="53">
        <v>12.0</v>
      </c>
      <c r="G39" s="53"/>
      <c r="H39" s="53"/>
      <c r="I39" s="55"/>
      <c r="J39" s="9"/>
    </row>
    <row r="40" ht="14.25" customHeight="1">
      <c r="A40" s="53" t="s">
        <v>12</v>
      </c>
      <c r="B40" s="54" t="s">
        <v>119</v>
      </c>
      <c r="C40" s="18"/>
      <c r="D40" s="20"/>
      <c r="E40" s="53">
        <v>3.0</v>
      </c>
      <c r="F40" s="53" t="s">
        <v>71</v>
      </c>
      <c r="G40" s="53"/>
      <c r="H40" s="53"/>
      <c r="I40" s="55"/>
      <c r="J40" s="9"/>
    </row>
    <row r="41" ht="14.25" customHeight="1">
      <c r="A41" s="49" t="s">
        <v>31</v>
      </c>
      <c r="B41" s="50" t="s">
        <v>701</v>
      </c>
      <c r="C41" s="18"/>
      <c r="D41" s="20"/>
      <c r="E41" s="49">
        <v>4.0</v>
      </c>
      <c r="F41" s="49">
        <v>8.0</v>
      </c>
      <c r="G41" s="49">
        <v>8.0</v>
      </c>
      <c r="H41" s="49" t="s">
        <v>55</v>
      </c>
      <c r="I41" s="51"/>
      <c r="J41" s="9"/>
    </row>
    <row r="42" ht="14.25" customHeight="1">
      <c r="A42" s="49" t="s">
        <v>26</v>
      </c>
      <c r="B42" s="50" t="s">
        <v>121</v>
      </c>
      <c r="C42" s="18"/>
      <c r="D42" s="20"/>
      <c r="E42" s="49">
        <v>3.0</v>
      </c>
      <c r="F42" s="49">
        <v>10.0</v>
      </c>
      <c r="G42" s="49">
        <v>8.0</v>
      </c>
      <c r="H42" s="49"/>
      <c r="I42" s="51"/>
      <c r="J42" s="9"/>
    </row>
    <row r="43" ht="14.25" customHeight="1">
      <c r="A43" s="53" t="s">
        <v>30</v>
      </c>
      <c r="B43" s="54" t="s">
        <v>809</v>
      </c>
      <c r="C43" s="18"/>
      <c r="D43" s="20"/>
      <c r="E43" s="53">
        <v>3.0</v>
      </c>
      <c r="F43" s="53">
        <v>8.0</v>
      </c>
      <c r="G43" s="53"/>
      <c r="H43" s="53"/>
      <c r="I43" s="55"/>
      <c r="J43" s="9"/>
    </row>
    <row r="44" ht="14.25" customHeight="1">
      <c r="A44" s="53" t="s">
        <v>26</v>
      </c>
      <c r="B44" s="54" t="s">
        <v>124</v>
      </c>
      <c r="C44" s="18"/>
      <c r="D44" s="20"/>
      <c r="E44" s="53">
        <v>4.0</v>
      </c>
      <c r="F44" s="53">
        <v>10.0</v>
      </c>
      <c r="G44" s="53"/>
      <c r="H44" s="53"/>
      <c r="I44" s="55"/>
      <c r="J44" s="9"/>
    </row>
    <row r="45" ht="14.25" customHeight="1">
      <c r="A45" s="211" t="s">
        <v>113</v>
      </c>
      <c r="B45" s="212" t="s">
        <v>126</v>
      </c>
      <c r="C45" s="18"/>
      <c r="D45" s="20"/>
      <c r="E45" s="211">
        <v>3.0</v>
      </c>
      <c r="F45" s="211">
        <v>15.0</v>
      </c>
      <c r="G45" s="211"/>
      <c r="H45" s="211"/>
      <c r="I45" s="213"/>
      <c r="J45" s="9"/>
    </row>
    <row r="46" ht="14.25" customHeight="1">
      <c r="A46" s="211" t="s">
        <v>32</v>
      </c>
      <c r="B46" s="212" t="s">
        <v>127</v>
      </c>
      <c r="C46" s="18"/>
      <c r="D46" s="20"/>
      <c r="E46" s="211">
        <v>3.0</v>
      </c>
      <c r="F46" s="211" t="s">
        <v>128</v>
      </c>
      <c r="G46" s="211"/>
      <c r="H46" s="211"/>
      <c r="I46" s="213"/>
      <c r="J46" s="9"/>
    </row>
    <row r="47" ht="14.25" customHeight="1">
      <c r="A47" s="211" t="s">
        <v>113</v>
      </c>
      <c r="B47" s="214" t="s">
        <v>730</v>
      </c>
      <c r="C47" s="8"/>
      <c r="D47" s="9"/>
      <c r="E47" s="211">
        <v>3.0</v>
      </c>
      <c r="F47" s="211">
        <v>50.0</v>
      </c>
      <c r="G47" s="211"/>
      <c r="H47" s="211"/>
      <c r="I47" s="213"/>
      <c r="J47" s="9"/>
    </row>
    <row r="48" ht="14.25" customHeight="1">
      <c r="B48" s="26"/>
      <c r="C48" s="29"/>
      <c r="D48" s="29"/>
    </row>
    <row r="49" ht="14.25" customHeight="1"/>
    <row r="50" ht="14.25" customHeight="1">
      <c r="A50" s="2" t="s">
        <v>132</v>
      </c>
      <c r="B50" s="3"/>
      <c r="C50" s="4"/>
      <c r="J50" s="1"/>
    </row>
    <row r="51" ht="14.25" customHeight="1">
      <c r="A51" s="5" t="s">
        <v>2</v>
      </c>
      <c r="B51" s="7" t="s">
        <v>4</v>
      </c>
      <c r="C51" s="8"/>
      <c r="D51" s="9"/>
      <c r="E51" s="5" t="s">
        <v>5</v>
      </c>
      <c r="F51" s="5" t="s">
        <v>6</v>
      </c>
      <c r="G51" s="5" t="s">
        <v>7</v>
      </c>
      <c r="H51" s="5" t="s">
        <v>8</v>
      </c>
      <c r="I51" s="7" t="s">
        <v>9</v>
      </c>
      <c r="J51" s="9"/>
    </row>
    <row r="52" ht="14.25" customHeight="1">
      <c r="A52" s="68" t="s">
        <v>113</v>
      </c>
      <c r="B52" s="69" t="s">
        <v>134</v>
      </c>
      <c r="C52" s="18"/>
      <c r="D52" s="20"/>
      <c r="E52" s="68"/>
      <c r="F52" s="68"/>
      <c r="G52" s="68"/>
      <c r="H52" s="68"/>
      <c r="I52" s="71"/>
      <c r="J52" s="9"/>
    </row>
    <row r="53" ht="14.25" customHeight="1">
      <c r="A53" s="68" t="s">
        <v>113</v>
      </c>
      <c r="B53" s="69" t="s">
        <v>136</v>
      </c>
      <c r="C53" s="18"/>
      <c r="D53" s="20"/>
      <c r="E53" s="68"/>
      <c r="F53" s="68"/>
      <c r="G53" s="68"/>
      <c r="H53" s="68"/>
      <c r="I53" s="71"/>
      <c r="J53" s="9"/>
    </row>
    <row r="54" ht="14.25" customHeight="1">
      <c r="A54" s="68" t="s">
        <v>12</v>
      </c>
      <c r="B54" s="69" t="s">
        <v>137</v>
      </c>
      <c r="C54" s="18"/>
      <c r="D54" s="20"/>
      <c r="E54" s="68"/>
      <c r="F54" s="68">
        <v>10.0</v>
      </c>
      <c r="G54" s="68"/>
      <c r="H54" s="68"/>
      <c r="I54" s="71"/>
      <c r="J54" s="9"/>
    </row>
    <row r="55" ht="14.25" customHeight="1">
      <c r="A55" s="49" t="s">
        <v>16</v>
      </c>
      <c r="B55" s="50" t="s">
        <v>744</v>
      </c>
      <c r="C55" s="18"/>
      <c r="D55" s="20"/>
      <c r="E55" s="49">
        <v>4.0</v>
      </c>
      <c r="F55" s="49">
        <v>10.0</v>
      </c>
      <c r="G55" s="49">
        <v>7.0</v>
      </c>
      <c r="H55" s="49"/>
      <c r="I55" s="51"/>
      <c r="J55" s="9"/>
    </row>
    <row r="56" ht="14.25" customHeight="1">
      <c r="A56" s="49" t="s">
        <v>26</v>
      </c>
      <c r="B56" s="50" t="s">
        <v>142</v>
      </c>
      <c r="C56" s="18"/>
      <c r="D56" s="20"/>
      <c r="E56" s="49">
        <v>4.0</v>
      </c>
      <c r="F56" s="49" t="s">
        <v>71</v>
      </c>
      <c r="G56" s="49">
        <v>8.0</v>
      </c>
      <c r="H56" s="49"/>
      <c r="I56" s="51"/>
      <c r="J56" s="9"/>
    </row>
    <row r="57" ht="14.25" customHeight="1">
      <c r="A57" s="49" t="s">
        <v>28</v>
      </c>
      <c r="B57" s="50" t="s">
        <v>83</v>
      </c>
      <c r="C57" s="18"/>
      <c r="D57" s="20"/>
      <c r="E57" s="49">
        <v>3.0</v>
      </c>
      <c r="F57" s="49">
        <v>10.0</v>
      </c>
      <c r="G57" s="49">
        <v>6.0</v>
      </c>
      <c r="H57" s="49"/>
      <c r="I57" s="51"/>
      <c r="J57" s="9"/>
    </row>
    <row r="58" ht="14.25" customHeight="1">
      <c r="A58" s="68" t="s">
        <v>113</v>
      </c>
      <c r="B58" s="69" t="s">
        <v>814</v>
      </c>
      <c r="C58" s="18"/>
      <c r="D58" s="20"/>
      <c r="E58" s="68">
        <v>3.0</v>
      </c>
      <c r="F58" s="68">
        <v>10.0</v>
      </c>
      <c r="G58" s="68">
        <v>6.0</v>
      </c>
      <c r="H58" s="68"/>
      <c r="I58" s="71"/>
      <c r="J58" s="9"/>
    </row>
    <row r="59" ht="14.25" customHeight="1">
      <c r="A59" s="211" t="s">
        <v>30</v>
      </c>
      <c r="B59" s="212" t="s">
        <v>534</v>
      </c>
      <c r="C59" s="18"/>
      <c r="D59" s="20"/>
      <c r="E59" s="211">
        <v>3.0</v>
      </c>
      <c r="F59" s="211">
        <v>8.0</v>
      </c>
      <c r="G59" s="211">
        <v>6.0</v>
      </c>
      <c r="H59" s="211"/>
      <c r="I59" s="213" t="s">
        <v>155</v>
      </c>
      <c r="J59" s="9"/>
    </row>
    <row r="60" ht="14.25" customHeight="1">
      <c r="A60" s="211" t="s">
        <v>31</v>
      </c>
      <c r="B60" s="212" t="s">
        <v>817</v>
      </c>
      <c r="C60" s="18"/>
      <c r="D60" s="20"/>
      <c r="E60" s="211">
        <v>3.0</v>
      </c>
      <c r="F60" s="211">
        <v>10.0</v>
      </c>
      <c r="G60" s="211">
        <v>7.0</v>
      </c>
      <c r="H60" s="211"/>
      <c r="I60" s="213"/>
      <c r="J60" s="9"/>
    </row>
    <row r="61" ht="14.25" customHeight="1">
      <c r="A61" s="211" t="s">
        <v>33</v>
      </c>
      <c r="B61" s="214" t="s">
        <v>819</v>
      </c>
      <c r="C61" s="8"/>
      <c r="D61" s="9"/>
      <c r="E61" s="211">
        <v>3.0</v>
      </c>
      <c r="F61" s="211">
        <v>6.0</v>
      </c>
      <c r="G61" s="211">
        <v>7.0</v>
      </c>
      <c r="H61" s="211"/>
      <c r="I61" s="213"/>
      <c r="J61" s="9"/>
    </row>
    <row r="62" ht="14.25" customHeight="1">
      <c r="B62" s="26"/>
      <c r="C62" s="29"/>
      <c r="D62" s="29"/>
    </row>
    <row r="63" ht="14.25" customHeight="1"/>
    <row r="64" ht="14.25" customHeight="1">
      <c r="A64" s="2" t="s">
        <v>160</v>
      </c>
      <c r="B64" s="3"/>
      <c r="C64" s="4"/>
      <c r="D64" s="82" t="s">
        <v>161</v>
      </c>
      <c r="J64" s="1"/>
    </row>
    <row r="65" ht="14.25" customHeight="1">
      <c r="A65" s="5" t="s">
        <v>2</v>
      </c>
      <c r="B65" s="7" t="s">
        <v>4</v>
      </c>
      <c r="C65" s="8"/>
      <c r="D65" s="9"/>
      <c r="E65" s="5" t="s">
        <v>5</v>
      </c>
      <c r="F65" s="5" t="s">
        <v>6</v>
      </c>
      <c r="G65" s="5" t="s">
        <v>7</v>
      </c>
      <c r="H65" s="5" t="s">
        <v>8</v>
      </c>
      <c r="I65" s="7" t="s">
        <v>9</v>
      </c>
      <c r="J65" s="9"/>
    </row>
    <row r="66" ht="14.25" customHeight="1">
      <c r="A66" s="83" t="s">
        <v>113</v>
      </c>
      <c r="B66" s="85" t="s">
        <v>163</v>
      </c>
      <c r="C66" s="18"/>
      <c r="D66" s="20"/>
      <c r="E66" s="83"/>
      <c r="F66" s="83">
        <v>10.0</v>
      </c>
      <c r="G66" s="83"/>
      <c r="H66" s="83"/>
      <c r="I66" s="86"/>
      <c r="J66" s="9"/>
    </row>
    <row r="67" ht="14.25" customHeight="1">
      <c r="A67" s="83" t="s">
        <v>113</v>
      </c>
      <c r="B67" s="85" t="s">
        <v>166</v>
      </c>
      <c r="C67" s="18"/>
      <c r="D67" s="20"/>
      <c r="E67" s="83"/>
      <c r="F67" s="83"/>
      <c r="G67" s="83"/>
      <c r="H67" s="83"/>
      <c r="I67" s="86"/>
      <c r="J67" s="9"/>
    </row>
    <row r="68" ht="14.25" customHeight="1">
      <c r="A68" s="83" t="s">
        <v>113</v>
      </c>
      <c r="B68" s="85" t="s">
        <v>169</v>
      </c>
      <c r="C68" s="18"/>
      <c r="D68" s="20"/>
      <c r="E68" s="83"/>
      <c r="F68" s="83"/>
      <c r="G68" s="83"/>
      <c r="H68" s="83"/>
      <c r="I68" s="86"/>
      <c r="J68" s="9"/>
    </row>
    <row r="69" ht="14.25" customHeight="1">
      <c r="A69" s="49" t="s">
        <v>31</v>
      </c>
      <c r="B69" s="50" t="s">
        <v>173</v>
      </c>
      <c r="C69" s="18"/>
      <c r="D69" s="20"/>
      <c r="E69" s="49"/>
      <c r="F69" s="49">
        <v>8.0</v>
      </c>
      <c r="G69" s="49">
        <v>6.0</v>
      </c>
      <c r="H69" s="49"/>
      <c r="I69" s="51"/>
      <c r="J69" s="9"/>
    </row>
    <row r="70" ht="14.25" customHeight="1">
      <c r="A70" s="49" t="s">
        <v>31</v>
      </c>
      <c r="B70" s="50" t="s">
        <v>176</v>
      </c>
      <c r="C70" s="18"/>
      <c r="D70" s="20"/>
      <c r="E70" s="49"/>
      <c r="F70" s="49">
        <v>6.0</v>
      </c>
      <c r="G70" s="49">
        <v>6.0</v>
      </c>
      <c r="H70" s="49"/>
      <c r="I70" s="51"/>
      <c r="J70" s="9"/>
    </row>
    <row r="71" ht="14.25" customHeight="1">
      <c r="A71" s="68" t="s">
        <v>16</v>
      </c>
      <c r="B71" s="69" t="s">
        <v>179</v>
      </c>
      <c r="C71" s="18"/>
      <c r="D71" s="20"/>
      <c r="E71" s="68"/>
      <c r="F71" s="68">
        <v>10.0</v>
      </c>
      <c r="G71" s="68">
        <v>6.0</v>
      </c>
      <c r="H71" s="68"/>
      <c r="I71" s="71"/>
      <c r="J71" s="9"/>
    </row>
    <row r="72" ht="14.25" customHeight="1">
      <c r="A72" s="68" t="s">
        <v>16</v>
      </c>
      <c r="B72" s="69" t="s">
        <v>554</v>
      </c>
      <c r="C72" s="18"/>
      <c r="D72" s="20"/>
      <c r="E72" s="68"/>
      <c r="F72" s="68">
        <v>10.0</v>
      </c>
      <c r="G72" s="68">
        <v>6.0</v>
      </c>
      <c r="H72" s="68"/>
      <c r="I72" s="71"/>
      <c r="J72" s="9"/>
    </row>
    <row r="73" ht="14.25" customHeight="1">
      <c r="A73" s="49" t="s">
        <v>28</v>
      </c>
      <c r="B73" s="50" t="s">
        <v>182</v>
      </c>
      <c r="C73" s="18"/>
      <c r="D73" s="20"/>
      <c r="E73" s="49"/>
      <c r="F73" s="49">
        <v>10.0</v>
      </c>
      <c r="G73" s="49">
        <v>7.0</v>
      </c>
      <c r="H73" s="49"/>
      <c r="I73" s="51"/>
      <c r="J73" s="9"/>
    </row>
    <row r="74" ht="14.25" customHeight="1">
      <c r="A74" s="49" t="s">
        <v>33</v>
      </c>
      <c r="B74" s="50" t="s">
        <v>183</v>
      </c>
      <c r="C74" s="18"/>
      <c r="D74" s="20"/>
      <c r="E74" s="49"/>
      <c r="F74" s="49">
        <v>12.0</v>
      </c>
      <c r="G74" s="49">
        <v>7.0</v>
      </c>
      <c r="H74" s="49"/>
      <c r="I74" s="51"/>
      <c r="J74" s="9"/>
    </row>
    <row r="75" ht="14.25" customHeight="1">
      <c r="A75" s="49" t="s">
        <v>32</v>
      </c>
      <c r="B75" s="66" t="s">
        <v>185</v>
      </c>
      <c r="C75" s="8"/>
      <c r="D75" s="9"/>
      <c r="E75" s="49"/>
      <c r="F75" s="49" t="s">
        <v>178</v>
      </c>
      <c r="G75" s="49"/>
      <c r="H75" s="49"/>
      <c r="I75" s="51"/>
      <c r="J75" s="9"/>
    </row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7">
    <mergeCell ref="I27:J27"/>
    <mergeCell ref="I28:J28"/>
    <mergeCell ref="I11:J11"/>
    <mergeCell ref="I13:J13"/>
    <mergeCell ref="I22:J22"/>
    <mergeCell ref="I23:J23"/>
    <mergeCell ref="I24:J24"/>
    <mergeCell ref="I25:J25"/>
    <mergeCell ref="I26:J26"/>
    <mergeCell ref="A6:C6"/>
    <mergeCell ref="B7:D7"/>
    <mergeCell ref="I7:J7"/>
    <mergeCell ref="M7:W7"/>
    <mergeCell ref="Z7:AB7"/>
    <mergeCell ref="B8:D8"/>
    <mergeCell ref="B9:D9"/>
    <mergeCell ref="I12:J12"/>
    <mergeCell ref="M12:W12"/>
    <mergeCell ref="I8:J8"/>
    <mergeCell ref="I9:J9"/>
    <mergeCell ref="B10:D10"/>
    <mergeCell ref="I10:J10"/>
    <mergeCell ref="B11:D11"/>
    <mergeCell ref="B12:D12"/>
    <mergeCell ref="B13:D13"/>
    <mergeCell ref="I16:J16"/>
    <mergeCell ref="I18:J18"/>
    <mergeCell ref="M18:W18"/>
    <mergeCell ref="M23:W23"/>
    <mergeCell ref="B14:D14"/>
    <mergeCell ref="I14:J14"/>
    <mergeCell ref="B15:D15"/>
    <mergeCell ref="I15:J15"/>
    <mergeCell ref="B16:D16"/>
    <mergeCell ref="B17:D17"/>
    <mergeCell ref="B18:D18"/>
    <mergeCell ref="B27:D27"/>
    <mergeCell ref="B28:D28"/>
    <mergeCell ref="M28:W28"/>
    <mergeCell ref="I29:J29"/>
    <mergeCell ref="B19:D19"/>
    <mergeCell ref="A21:C21"/>
    <mergeCell ref="B22:D22"/>
    <mergeCell ref="B23:D23"/>
    <mergeCell ref="B24:D24"/>
    <mergeCell ref="B25:D25"/>
    <mergeCell ref="B26:D26"/>
    <mergeCell ref="B51:D51"/>
    <mergeCell ref="B52:D52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62:D62"/>
    <mergeCell ref="A64:C64"/>
    <mergeCell ref="B65:D65"/>
    <mergeCell ref="B73:D73"/>
    <mergeCell ref="B74:D74"/>
    <mergeCell ref="B75:D75"/>
    <mergeCell ref="B66:D66"/>
    <mergeCell ref="B67:D67"/>
    <mergeCell ref="B68:D68"/>
    <mergeCell ref="B69:D69"/>
    <mergeCell ref="B70:D70"/>
    <mergeCell ref="B71:D71"/>
    <mergeCell ref="B72:D72"/>
    <mergeCell ref="I71:J71"/>
    <mergeCell ref="I72:J72"/>
    <mergeCell ref="I73:J73"/>
    <mergeCell ref="I74:J74"/>
    <mergeCell ref="I75:J75"/>
    <mergeCell ref="I61:J61"/>
    <mergeCell ref="I65:J65"/>
    <mergeCell ref="I66:J66"/>
    <mergeCell ref="I67:J67"/>
    <mergeCell ref="I68:J68"/>
    <mergeCell ref="I69:J69"/>
    <mergeCell ref="I70:J70"/>
    <mergeCell ref="B29:D29"/>
    <mergeCell ref="B30:D30"/>
    <mergeCell ref="I30:J30"/>
    <mergeCell ref="B31:D31"/>
    <mergeCell ref="I31:J31"/>
    <mergeCell ref="B32:D32"/>
    <mergeCell ref="I33:J33"/>
    <mergeCell ref="I38:J38"/>
    <mergeCell ref="I39:J39"/>
    <mergeCell ref="B33:D33"/>
    <mergeCell ref="B34:D34"/>
    <mergeCell ref="A36:C36"/>
    <mergeCell ref="B37:D37"/>
    <mergeCell ref="I37:J37"/>
    <mergeCell ref="B38:D38"/>
    <mergeCell ref="B39:D39"/>
    <mergeCell ref="B40:D40"/>
    <mergeCell ref="I40:J40"/>
    <mergeCell ref="B41:D41"/>
    <mergeCell ref="I41:J41"/>
    <mergeCell ref="B42:D42"/>
    <mergeCell ref="I42:J42"/>
    <mergeCell ref="I43:J43"/>
    <mergeCell ref="B43:D43"/>
    <mergeCell ref="B44:D44"/>
    <mergeCell ref="B45:D45"/>
    <mergeCell ref="B46:D46"/>
    <mergeCell ref="B47:D47"/>
    <mergeCell ref="B48:D48"/>
    <mergeCell ref="A50:C50"/>
    <mergeCell ref="I44:J44"/>
    <mergeCell ref="I45:J45"/>
    <mergeCell ref="I46:J46"/>
    <mergeCell ref="I47:J47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60:J60"/>
  </mergeCells>
  <dataValidations>
    <dataValidation type="list" allowBlank="1" showErrorMessage="1" sqref="A8:A18 A23:A33 A38:A47 A52:A61 A66:A75">
      <formula1>Datos!$D$2:$D$11</formula1>
    </dataValidation>
    <dataValidation type="list" allowBlank="1" showErrorMessage="1" sqref="J5">
      <formula1>Datos!$B$2:$B$12</formula1>
    </dataValidation>
    <dataValidation type="list" allowBlank="1" showErrorMessage="1" sqref="J6 J21 J36 J50 J64">
      <formula1>Datos!$D$2:$D$14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10.71"/>
    <col customWidth="1" min="24" max="24" width="7.86"/>
    <col customWidth="1" min="25" max="25" width="15.43"/>
    <col customWidth="1" min="26" max="28" width="10.71"/>
  </cols>
  <sheetData>
    <row r="1" ht="14.25" customHeight="1"/>
    <row r="2" ht="14.25" customHeight="1"/>
    <row r="3" ht="14.25" customHeight="1"/>
    <row r="4" ht="14.25" customHeight="1"/>
    <row r="5" ht="14.25" customHeight="1">
      <c r="J5" s="1"/>
    </row>
    <row r="6" ht="14.25" customHeight="1">
      <c r="A6" s="2" t="s">
        <v>1</v>
      </c>
      <c r="B6" s="3"/>
      <c r="C6" s="4"/>
      <c r="J6" s="1"/>
    </row>
    <row r="7" ht="14.25" customHeight="1">
      <c r="A7" s="5" t="s">
        <v>2</v>
      </c>
      <c r="B7" s="7" t="s">
        <v>4</v>
      </c>
      <c r="C7" s="8"/>
      <c r="D7" s="9"/>
      <c r="E7" s="5" t="s">
        <v>5</v>
      </c>
      <c r="F7" s="5" t="s">
        <v>6</v>
      </c>
      <c r="G7" s="5" t="s">
        <v>7</v>
      </c>
      <c r="H7" s="5" t="s">
        <v>8</v>
      </c>
      <c r="I7" s="7" t="s">
        <v>9</v>
      </c>
      <c r="J7" s="9"/>
      <c r="M7" s="11" t="s">
        <v>0</v>
      </c>
      <c r="N7" s="12"/>
      <c r="O7" s="12"/>
      <c r="P7" s="12"/>
      <c r="Q7" s="12"/>
      <c r="R7" s="12"/>
      <c r="S7" s="12"/>
      <c r="T7" s="12"/>
      <c r="U7" s="12"/>
      <c r="V7" s="12"/>
      <c r="W7" s="13"/>
      <c r="Y7" s="1"/>
      <c r="Z7" s="14" t="s">
        <v>10</v>
      </c>
      <c r="AA7" s="12"/>
      <c r="AB7" s="13"/>
    </row>
    <row r="8" ht="14.25" customHeight="1">
      <c r="A8" s="184" t="s">
        <v>12</v>
      </c>
      <c r="B8" s="185" t="s">
        <v>13</v>
      </c>
      <c r="C8" s="18"/>
      <c r="D8" s="20"/>
      <c r="E8" s="184">
        <v>2.0</v>
      </c>
      <c r="F8" s="184">
        <v>10.0</v>
      </c>
      <c r="G8" s="184"/>
      <c r="H8" s="184"/>
      <c r="I8" s="186" t="s">
        <v>15</v>
      </c>
      <c r="J8" s="9"/>
      <c r="M8" s="25"/>
      <c r="N8" s="28" t="s">
        <v>16</v>
      </c>
      <c r="O8" s="28" t="s">
        <v>26</v>
      </c>
      <c r="P8" s="28" t="s">
        <v>27</v>
      </c>
      <c r="Q8" s="28" t="s">
        <v>28</v>
      </c>
      <c r="R8" s="28" t="s">
        <v>29</v>
      </c>
      <c r="S8" s="28" t="s">
        <v>30</v>
      </c>
      <c r="T8" s="28" t="s">
        <v>31</v>
      </c>
      <c r="U8" s="28" t="s">
        <v>32</v>
      </c>
      <c r="V8" s="28" t="s">
        <v>33</v>
      </c>
      <c r="W8" s="28" t="s">
        <v>12</v>
      </c>
      <c r="Z8" s="28" t="s">
        <v>16</v>
      </c>
      <c r="AA8" s="1">
        <f>SUM(N9,N14,N20,N26,N31)</f>
        <v>15</v>
      </c>
    </row>
    <row r="9" ht="14.25" customHeight="1">
      <c r="A9" s="53" t="s">
        <v>12</v>
      </c>
      <c r="B9" s="54" t="s">
        <v>37</v>
      </c>
      <c r="C9" s="18"/>
      <c r="D9" s="20"/>
      <c r="E9" s="53">
        <v>3.0</v>
      </c>
      <c r="F9" s="53">
        <v>12.0</v>
      </c>
      <c r="G9" s="53"/>
      <c r="H9" s="53"/>
      <c r="I9" s="55"/>
      <c r="J9" s="9"/>
      <c r="M9" s="34" t="s">
        <v>36</v>
      </c>
      <c r="N9" s="37">
        <f>SUMIF(A8:A18,"Pecho",E8:E18)</f>
        <v>11</v>
      </c>
      <c r="O9" s="37">
        <f>SUMIF(A8:A18,"Espalda",E8:E18)</f>
        <v>0</v>
      </c>
      <c r="P9" s="37">
        <f>SUMIF($A8:$A18,"Hombros",$E8:$E18)</f>
        <v>6</v>
      </c>
      <c r="Q9" s="37">
        <f>SUMIF($A8:$A18,"Bíceps",$E8:$E18)</f>
        <v>3</v>
      </c>
      <c r="R9" s="37">
        <f>SUMIF($A8:$A18,"Tríceps",$E8:$E18)</f>
        <v>4</v>
      </c>
      <c r="S9" s="38">
        <f>SUMIF(A8:A18,"Cuádriceps",E8:E18)</f>
        <v>0</v>
      </c>
      <c r="T9" s="37">
        <f>SUMIF($A8:$A18,"Isquios",$E8:$E18)</f>
        <v>0</v>
      </c>
      <c r="U9" s="37">
        <f>SUMIF($A8:$A18,"Glúteos",$E8:$E18)</f>
        <v>0</v>
      </c>
      <c r="V9" s="37">
        <f>SUMIF($A8:$A18,"Pantorrillas",$E8:$E18)</f>
        <v>0</v>
      </c>
      <c r="W9" s="37">
        <f>SUMIF($A8:$A18,"Otros",$E8:$E18)</f>
        <v>8</v>
      </c>
      <c r="Z9" s="28" t="s">
        <v>26</v>
      </c>
      <c r="AA9" s="1">
        <f>SUM(O9,O14,O20,O26,O31)</f>
        <v>11</v>
      </c>
    </row>
    <row r="10" ht="14.25" customHeight="1">
      <c r="A10" s="53" t="s">
        <v>12</v>
      </c>
      <c r="B10" s="54" t="s">
        <v>145</v>
      </c>
      <c r="C10" s="18"/>
      <c r="D10" s="20"/>
      <c r="E10" s="53">
        <v>3.0</v>
      </c>
      <c r="F10" s="53">
        <v>10.0</v>
      </c>
      <c r="G10" s="53"/>
      <c r="H10" s="53"/>
      <c r="I10" s="55"/>
      <c r="J10" s="9"/>
      <c r="M10" s="34" t="s">
        <v>7</v>
      </c>
      <c r="N10" s="35">
        <f>AVERAGEIF($A8:$A18,"Pecho",$G8:$G18)</f>
        <v>8</v>
      </c>
      <c r="O10" s="35" t="str">
        <f>AVERAGEIF($A8:$A18,"Espalda",$G8:$G18)</f>
        <v>#DIV/0!</v>
      </c>
      <c r="P10" s="35">
        <f>AVERAGEIF($A8:$A18,"Hombros",$G8:$G18)</f>
        <v>8</v>
      </c>
      <c r="Q10" s="35" t="str">
        <f>AVERAGEIF($A8:$A18,"Bíceps",$G8:$G18)</f>
        <v>#DIV/0!</v>
      </c>
      <c r="R10" s="35" t="str">
        <f>AVERAGEIF($A8:$A18,"Tríceps",$G8:$G18)</f>
        <v>#DIV/0!</v>
      </c>
      <c r="S10" s="35" t="str">
        <f>AVERAGEIF($A8:$A18,"Cuádriceps",$G8:$G18)</f>
        <v>#DIV/0!</v>
      </c>
      <c r="T10" s="35" t="str">
        <f>AVERAGEIF($A8:$A18,"Isquios",$G8:$G18)</f>
        <v>#DIV/0!</v>
      </c>
      <c r="U10" s="35" t="str">
        <f>AVERAGEIF($A8:$A18,"Glúteos",$G8:$G18)</f>
        <v>#DIV/0!</v>
      </c>
      <c r="V10" s="35" t="str">
        <f>AVERAGEIF($A8:$A18,"Pantorrillas",$G8:$G18)</f>
        <v>#DIV/0!</v>
      </c>
      <c r="W10" s="35" t="str">
        <f>AVERAGEIF($A8:$A18,"Otros",$G8:$G18)</f>
        <v>#DIV/0!</v>
      </c>
      <c r="Z10" s="28" t="s">
        <v>27</v>
      </c>
      <c r="AA10" s="1">
        <f>SUM(P9,P14,P20,P26,P31)</f>
        <v>6</v>
      </c>
    </row>
    <row r="11" ht="14.25" customHeight="1">
      <c r="A11" s="201" t="s">
        <v>16</v>
      </c>
      <c r="B11" s="202" t="s">
        <v>52</v>
      </c>
      <c r="C11" s="18"/>
      <c r="D11" s="20"/>
      <c r="E11" s="201">
        <v>4.0</v>
      </c>
      <c r="F11" s="201" t="s">
        <v>831</v>
      </c>
      <c r="G11" s="201">
        <v>8.0</v>
      </c>
      <c r="H11" s="201" t="s">
        <v>55</v>
      </c>
      <c r="I11" s="203"/>
      <c r="J11" s="9"/>
      <c r="M11" s="25"/>
      <c r="N11" s="25"/>
      <c r="O11" s="25"/>
      <c r="P11" s="25"/>
      <c r="Q11" s="25"/>
      <c r="R11" s="25"/>
      <c r="S11" s="25"/>
      <c r="T11" s="25"/>
      <c r="U11" s="25"/>
      <c r="Z11" s="28" t="s">
        <v>28</v>
      </c>
      <c r="AA11" s="1">
        <f>SUM(Q9,Q14,Q20,Q26,Q31)</f>
        <v>6</v>
      </c>
    </row>
    <row r="12" ht="14.25" customHeight="1">
      <c r="A12" s="201" t="s">
        <v>16</v>
      </c>
      <c r="B12" s="202" t="s">
        <v>833</v>
      </c>
      <c r="C12" s="18"/>
      <c r="D12" s="20"/>
      <c r="E12" s="201">
        <v>4.0</v>
      </c>
      <c r="F12" s="201">
        <v>16.0</v>
      </c>
      <c r="G12" s="201">
        <v>8.0</v>
      </c>
      <c r="H12" s="201"/>
      <c r="I12" s="203" t="s">
        <v>58</v>
      </c>
      <c r="J12" s="9"/>
      <c r="M12" s="11" t="s">
        <v>45</v>
      </c>
      <c r="N12" s="12"/>
      <c r="O12" s="12"/>
      <c r="P12" s="12"/>
      <c r="Q12" s="12"/>
      <c r="R12" s="12"/>
      <c r="S12" s="12"/>
      <c r="T12" s="12"/>
      <c r="U12" s="12"/>
      <c r="V12" s="12"/>
      <c r="W12" s="13"/>
      <c r="Z12" s="28" t="s">
        <v>29</v>
      </c>
      <c r="AA12" s="1">
        <f>SUM(R9,R14,R20,R26,R31)</f>
        <v>4</v>
      </c>
    </row>
    <row r="13" ht="14.25" customHeight="1">
      <c r="A13" s="53" t="s">
        <v>29</v>
      </c>
      <c r="B13" s="54" t="s">
        <v>756</v>
      </c>
      <c r="C13" s="18"/>
      <c r="D13" s="20"/>
      <c r="E13" s="53">
        <v>4.0</v>
      </c>
      <c r="F13" s="53">
        <v>10.0</v>
      </c>
      <c r="G13" s="53"/>
      <c r="H13" s="53"/>
      <c r="I13" s="55"/>
      <c r="J13" s="9"/>
      <c r="M13" s="25"/>
      <c r="N13" s="28" t="s">
        <v>16</v>
      </c>
      <c r="O13" s="28" t="s">
        <v>26</v>
      </c>
      <c r="P13" s="28" t="s">
        <v>27</v>
      </c>
      <c r="Q13" s="28" t="s">
        <v>28</v>
      </c>
      <c r="R13" s="28" t="s">
        <v>29</v>
      </c>
      <c r="S13" s="28" t="s">
        <v>30</v>
      </c>
      <c r="T13" s="28" t="s">
        <v>31</v>
      </c>
      <c r="U13" s="28" t="s">
        <v>32</v>
      </c>
      <c r="V13" s="28" t="s">
        <v>33</v>
      </c>
      <c r="W13" s="28" t="s">
        <v>12</v>
      </c>
      <c r="Z13" s="28" t="s">
        <v>30</v>
      </c>
      <c r="AA13" s="1">
        <f>SUM(S9,S14,S20,S26,S31)</f>
        <v>13</v>
      </c>
    </row>
    <row r="14" ht="14.25" customHeight="1">
      <c r="A14" s="49" t="s">
        <v>27</v>
      </c>
      <c r="B14" s="50" t="s">
        <v>676</v>
      </c>
      <c r="C14" s="18"/>
      <c r="D14" s="20"/>
      <c r="E14" s="49">
        <v>3.0</v>
      </c>
      <c r="F14" s="49" t="s">
        <v>108</v>
      </c>
      <c r="G14" s="49">
        <v>8.0</v>
      </c>
      <c r="H14" s="49"/>
      <c r="I14" s="51"/>
      <c r="J14" s="9"/>
      <c r="M14" s="34" t="s">
        <v>36</v>
      </c>
      <c r="N14" s="35">
        <f>SUMIF($A23:$A34,"Pecho",$E23:$E34)</f>
        <v>0</v>
      </c>
      <c r="O14" s="35">
        <f>SUMIF($A23:$A34,"Espalda",$E23:$E34)</f>
        <v>0</v>
      </c>
      <c r="P14" s="35">
        <f>SUMIF($A23:$A34,"Hombros",$E23:$E34)</f>
        <v>0</v>
      </c>
      <c r="Q14" s="35">
        <f>SUMIF($A23:$A34,"Bíceps",$E23:$E34)</f>
        <v>0</v>
      </c>
      <c r="R14" s="35">
        <f>SUMIF($A23:$A34,"Tríceps",$E23:$E34)</f>
        <v>0</v>
      </c>
      <c r="S14" s="35">
        <f>SUMIF($A23:$A34,"Cuádriceps",$E23:$E34)</f>
        <v>7</v>
      </c>
      <c r="T14" s="35">
        <f>SUMIF($A23:$A34,"Isquios",$E23:$E34)</f>
        <v>0</v>
      </c>
      <c r="U14" s="35">
        <f>SUMIF($A23:$A34,"Glúteos",$E23:$E34)</f>
        <v>7</v>
      </c>
      <c r="V14" s="35">
        <f>SUMIF($A23:$A34,"Pantorrillas",$E23:$E34)</f>
        <v>6</v>
      </c>
      <c r="W14" s="35">
        <f>SUMIF($A23:$A34,"Otros",$E23:$E34)</f>
        <v>15</v>
      </c>
      <c r="Z14" s="28" t="s">
        <v>31</v>
      </c>
      <c r="AA14" s="1">
        <f>SUM(T9,T14,T20,T26,T31)</f>
        <v>7</v>
      </c>
    </row>
    <row r="15" ht="14.25" customHeight="1">
      <c r="A15" s="49" t="s">
        <v>27</v>
      </c>
      <c r="B15" s="50" t="s">
        <v>536</v>
      </c>
      <c r="C15" s="18"/>
      <c r="D15" s="20"/>
      <c r="E15" s="49">
        <v>3.0</v>
      </c>
      <c r="F15" s="49">
        <v>6.0</v>
      </c>
      <c r="G15" s="49">
        <v>8.0</v>
      </c>
      <c r="H15" s="49"/>
      <c r="I15" s="51" t="s">
        <v>72</v>
      </c>
      <c r="J15" s="9"/>
      <c r="M15" s="34" t="s">
        <v>7</v>
      </c>
      <c r="N15" s="35" t="str">
        <f>AVERAGEIF($A23:$A34,"Pecho",$G23:$G34)</f>
        <v>#DIV/0!</v>
      </c>
      <c r="O15" s="35" t="str">
        <f>AVERAGEIF($A23:$A34,"Espalda",$G23:$G34)</f>
        <v>#DIV/0!</v>
      </c>
      <c r="P15" s="35" t="str">
        <f>AVERAGEIF($A23:$A34,"Hombros",$G23:$G34)</f>
        <v>#DIV/0!</v>
      </c>
      <c r="Q15" s="35" t="str">
        <f>AVERAGEIF($A23:$A34,"Bíceps",$G23:$G34)</f>
        <v>#DIV/0!</v>
      </c>
      <c r="R15" s="35" t="str">
        <f>AVERAGEIF($A23:$A34,"Tríceps",$G23:$G34)</f>
        <v>#DIV/0!</v>
      </c>
      <c r="S15" s="35">
        <f>AVERAGEIF($A23:$A34,"Cuádriceps",$G23:$G34)</f>
        <v>8</v>
      </c>
      <c r="T15" s="35" t="str">
        <f>AVERAGEIF($A23:$A34,"Isquios",$G23:$G34)</f>
        <v>#DIV/0!</v>
      </c>
      <c r="U15" s="35" t="str">
        <f>AVERAGEIF($A23:$A34,"Glúteos",$G23:$G34)</f>
        <v>#DIV/0!</v>
      </c>
      <c r="V15" s="35" t="str">
        <f>AVERAGEIF($A23:$A34,"Pantorrillas",$G23:$G34)</f>
        <v>#DIV/0!</v>
      </c>
      <c r="W15" s="35" t="str">
        <f>AVERAGEIF($A23:$A34,"Otros",$G23:$G34)</f>
        <v>#DIV/0!</v>
      </c>
      <c r="Z15" s="28" t="s">
        <v>32</v>
      </c>
      <c r="AA15" s="1">
        <f>SUM(U9,U14,U20,U26,U31)</f>
        <v>10</v>
      </c>
    </row>
    <row r="16" ht="14.25" customHeight="1">
      <c r="A16" s="53" t="s">
        <v>16</v>
      </c>
      <c r="B16" s="54" t="s">
        <v>762</v>
      </c>
      <c r="C16" s="18"/>
      <c r="D16" s="20"/>
      <c r="E16" s="53">
        <v>3.0</v>
      </c>
      <c r="F16" s="130" t="s">
        <v>686</v>
      </c>
      <c r="G16" s="53">
        <v>8.0</v>
      </c>
      <c r="H16" s="53"/>
      <c r="I16" s="55" t="s">
        <v>81</v>
      </c>
      <c r="J16" s="9"/>
      <c r="M16" s="25"/>
      <c r="N16" s="25"/>
      <c r="O16" s="25"/>
      <c r="P16" s="25"/>
      <c r="Q16" s="25"/>
      <c r="R16" s="25"/>
      <c r="S16" s="25"/>
      <c r="T16" s="25"/>
      <c r="U16" s="25"/>
      <c r="Z16" s="28" t="s">
        <v>33</v>
      </c>
      <c r="AA16" s="1">
        <f>SUM(V9,V14,V20,V26,V31)</f>
        <v>9</v>
      </c>
    </row>
    <row r="17" ht="14.25" customHeight="1">
      <c r="A17" s="53" t="s">
        <v>28</v>
      </c>
      <c r="B17" s="56" t="s">
        <v>83</v>
      </c>
      <c r="C17" s="8"/>
      <c r="D17" s="9"/>
      <c r="E17" s="53">
        <v>3.0</v>
      </c>
      <c r="F17" s="53"/>
      <c r="G17" s="53" t="s">
        <v>218</v>
      </c>
      <c r="H17" s="53"/>
      <c r="I17" s="57"/>
      <c r="J17" s="59"/>
      <c r="M17" s="25"/>
      <c r="N17" s="25"/>
      <c r="O17" s="25"/>
      <c r="P17" s="25"/>
      <c r="Q17" s="25"/>
      <c r="R17" s="25"/>
      <c r="S17" s="25"/>
      <c r="T17" s="25"/>
      <c r="U17" s="25"/>
      <c r="Z17" s="28"/>
      <c r="AA17" s="1"/>
    </row>
    <row r="18" ht="14.25" customHeight="1">
      <c r="A18" s="53"/>
      <c r="B18" s="54"/>
      <c r="C18" s="18"/>
      <c r="D18" s="20"/>
      <c r="E18" s="53"/>
      <c r="F18" s="53"/>
      <c r="G18" s="53"/>
      <c r="H18" s="53"/>
      <c r="I18" s="55"/>
      <c r="J18" s="9"/>
      <c r="M18" s="11" t="s">
        <v>57</v>
      </c>
      <c r="N18" s="12"/>
      <c r="O18" s="12"/>
      <c r="P18" s="12"/>
      <c r="Q18" s="12"/>
      <c r="R18" s="12"/>
      <c r="S18" s="12"/>
      <c r="T18" s="12"/>
      <c r="U18" s="12"/>
      <c r="V18" s="12"/>
      <c r="W18" s="13"/>
      <c r="Z18" s="28" t="s">
        <v>12</v>
      </c>
      <c r="AA18" s="1">
        <f>SUM(W9,W14,W20,W26,W31)</f>
        <v>40</v>
      </c>
    </row>
    <row r="19" ht="14.25" customHeight="1">
      <c r="B19" s="26"/>
      <c r="C19" s="29"/>
      <c r="D19" s="29"/>
      <c r="M19" s="25"/>
      <c r="N19" s="28" t="s">
        <v>16</v>
      </c>
      <c r="O19" s="28" t="s">
        <v>26</v>
      </c>
      <c r="P19" s="28" t="s">
        <v>27</v>
      </c>
      <c r="Q19" s="28" t="s">
        <v>28</v>
      </c>
      <c r="R19" s="28" t="s">
        <v>29</v>
      </c>
      <c r="S19" s="28" t="s">
        <v>30</v>
      </c>
      <c r="T19" s="28" t="s">
        <v>31</v>
      </c>
      <c r="U19" s="28" t="s">
        <v>32</v>
      </c>
      <c r="V19" s="28" t="s">
        <v>33</v>
      </c>
      <c r="W19" s="28" t="s">
        <v>12</v>
      </c>
    </row>
    <row r="20" ht="14.25" customHeight="1">
      <c r="M20" s="34" t="s">
        <v>36</v>
      </c>
      <c r="N20" s="35">
        <f>SUMIF($A39:$A48,"Pecho",$E39:$E48)</f>
        <v>0</v>
      </c>
      <c r="O20" s="35">
        <f>SUMIF($A39:$A48,"Espalda",$E39:$E48)</f>
        <v>7</v>
      </c>
      <c r="P20" s="35">
        <f>SUMIF($A39:$A48,"Hombros",$E39:$E48)</f>
        <v>0</v>
      </c>
      <c r="Q20" s="35">
        <f>SUMIF($A39:$A48,"Bíceps",$E39:$E48)</f>
        <v>0</v>
      </c>
      <c r="R20" s="35">
        <f>SUMIF($A39:$A48,"Tríceps",$E39:$E48)</f>
        <v>0</v>
      </c>
      <c r="S20" s="35">
        <f>SUMIF($A39:$A48,"Cuádriceps",$E39:$E48)</f>
        <v>3</v>
      </c>
      <c r="T20" s="35">
        <f>SUMIF($A39:$A48,"Isquios",$E39:$E48)</f>
        <v>4</v>
      </c>
      <c r="U20" s="35">
        <f>SUMIF($A39:$A48,"Glúteos",$E39:$E48)</f>
        <v>3</v>
      </c>
      <c r="V20" s="35">
        <f>SUMIF($A39:$A48,"Pantorrillas",$E39:$E48)</f>
        <v>0</v>
      </c>
      <c r="W20" s="35">
        <f>SUMIF($A39:$A48,"Otros",$E39:$E48)</f>
        <v>14</v>
      </c>
    </row>
    <row r="21" ht="14.25" customHeight="1">
      <c r="A21" s="2" t="s">
        <v>97</v>
      </c>
      <c r="B21" s="3"/>
      <c r="C21" s="4"/>
      <c r="J21" s="1"/>
      <c r="M21" s="34" t="s">
        <v>7</v>
      </c>
      <c r="N21" s="35" t="str">
        <f>AVERAGEIF($A39:$A48,"Pecho",$G39:$G48)</f>
        <v>#DIV/0!</v>
      </c>
      <c r="O21" s="35">
        <f>AVERAGEIF($A39:$A48,"Espalda",$G39:$G48)</f>
        <v>8</v>
      </c>
      <c r="P21" s="35" t="str">
        <f>AVERAGEIF($A39:$A48,"Hombros",$G39:$G48)</f>
        <v>#DIV/0!</v>
      </c>
      <c r="Q21" s="35" t="str">
        <f>AVERAGEIF($A39:$A48,"Bíceps",$G39:$G48)</f>
        <v>#DIV/0!</v>
      </c>
      <c r="R21" s="35" t="str">
        <f>AVERAGEIF($A39:$A48,"Tríceps",$G39:$G48)</f>
        <v>#DIV/0!</v>
      </c>
      <c r="S21" s="35" t="str">
        <f>AVERAGEIF($A39:$A48,"Cuádriceps",$G39:$G48)</f>
        <v>#DIV/0!</v>
      </c>
      <c r="T21" s="35">
        <f>AVERAGEIF($A39:$A48,"Isquios",$G39:$G48)</f>
        <v>8</v>
      </c>
      <c r="U21" s="35" t="str">
        <f>AVERAGEIF($A39:$A48,"Glúteos",$G39:$G48)</f>
        <v>#DIV/0!</v>
      </c>
      <c r="V21" s="35" t="str">
        <f>AVERAGEIF($A39:$A48,"Pantorrillas",$G39:$G48)</f>
        <v>#DIV/0!</v>
      </c>
      <c r="W21" s="35" t="str">
        <f>AVERAGEIF($A39:$A48,"Otros",$G39:$G48)</f>
        <v>#DIV/0!</v>
      </c>
    </row>
    <row r="22" ht="14.25" customHeight="1">
      <c r="A22" s="5" t="s">
        <v>2</v>
      </c>
      <c r="B22" s="7" t="s">
        <v>4</v>
      </c>
      <c r="C22" s="8"/>
      <c r="D22" s="9"/>
      <c r="E22" s="5" t="s">
        <v>5</v>
      </c>
      <c r="F22" s="5" t="s">
        <v>6</v>
      </c>
      <c r="G22" s="5" t="s">
        <v>7</v>
      </c>
      <c r="H22" s="5" t="s">
        <v>8</v>
      </c>
      <c r="I22" s="7" t="s">
        <v>9</v>
      </c>
      <c r="J22" s="9"/>
      <c r="M22" s="25"/>
      <c r="N22" s="25"/>
      <c r="O22" s="25"/>
      <c r="P22" s="25"/>
      <c r="Q22" s="25"/>
      <c r="R22" s="25"/>
      <c r="S22" s="25"/>
      <c r="T22" s="25"/>
      <c r="U22" s="25"/>
    </row>
    <row r="23" ht="14.25" customHeight="1">
      <c r="A23" s="53" t="s">
        <v>12</v>
      </c>
      <c r="B23" s="54" t="s">
        <v>838</v>
      </c>
      <c r="C23" s="18"/>
      <c r="D23" s="20"/>
      <c r="E23" s="53">
        <v>2.0</v>
      </c>
      <c r="F23" s="53">
        <v>10.0</v>
      </c>
      <c r="G23" s="53"/>
      <c r="H23" s="53"/>
      <c r="I23" s="55"/>
      <c r="J23" s="9"/>
      <c r="M23" s="11" t="s">
        <v>66</v>
      </c>
      <c r="N23" s="12"/>
      <c r="O23" s="12"/>
      <c r="P23" s="12"/>
      <c r="Q23" s="12"/>
      <c r="R23" s="12"/>
      <c r="S23" s="12"/>
      <c r="T23" s="12"/>
      <c r="U23" s="12"/>
      <c r="V23" s="12"/>
      <c r="W23" s="13"/>
    </row>
    <row r="24" ht="14.25" customHeight="1">
      <c r="A24" s="53" t="s">
        <v>12</v>
      </c>
      <c r="B24" s="54" t="s">
        <v>100</v>
      </c>
      <c r="C24" s="18"/>
      <c r="D24" s="20"/>
      <c r="E24" s="53">
        <v>2.0</v>
      </c>
      <c r="F24" s="53">
        <v>12.0</v>
      </c>
      <c r="G24" s="53"/>
      <c r="H24" s="53"/>
      <c r="I24" s="55"/>
      <c r="J24" s="9"/>
      <c r="M24" s="25"/>
      <c r="N24" s="28" t="s">
        <v>16</v>
      </c>
      <c r="O24" s="28" t="s">
        <v>26</v>
      </c>
      <c r="P24" s="28" t="s">
        <v>27</v>
      </c>
      <c r="Q24" s="28" t="s">
        <v>28</v>
      </c>
      <c r="R24" s="28" t="s">
        <v>29</v>
      </c>
      <c r="S24" s="28" t="s">
        <v>30</v>
      </c>
      <c r="T24" s="28" t="s">
        <v>31</v>
      </c>
      <c r="U24" s="28" t="s">
        <v>32</v>
      </c>
      <c r="V24" s="28" t="s">
        <v>33</v>
      </c>
      <c r="W24" s="28" t="s">
        <v>12</v>
      </c>
    </row>
    <row r="25" ht="14.25" customHeight="1">
      <c r="A25" s="53"/>
      <c r="B25" s="56" t="s">
        <v>839</v>
      </c>
      <c r="C25" s="8"/>
      <c r="D25" s="9"/>
      <c r="E25" s="53">
        <v>3.0</v>
      </c>
      <c r="F25" s="53">
        <v>6.0</v>
      </c>
      <c r="G25" s="53"/>
      <c r="H25" s="53"/>
      <c r="I25" s="57"/>
      <c r="J25" s="59"/>
      <c r="M25" s="25"/>
      <c r="N25" s="28"/>
      <c r="O25" s="28"/>
      <c r="P25" s="28"/>
      <c r="Q25" s="28"/>
      <c r="R25" s="28"/>
      <c r="S25" s="28"/>
      <c r="T25" s="28"/>
      <c r="U25" s="28"/>
      <c r="V25" s="28"/>
      <c r="W25" s="28"/>
    </row>
    <row r="26" ht="14.25" customHeight="1">
      <c r="A26" s="53" t="s">
        <v>12</v>
      </c>
      <c r="B26" s="54" t="s">
        <v>840</v>
      </c>
      <c r="C26" s="18"/>
      <c r="D26" s="20"/>
      <c r="E26" s="53">
        <v>3.0</v>
      </c>
      <c r="F26" s="53">
        <v>10.0</v>
      </c>
      <c r="G26" s="53"/>
      <c r="H26" s="53"/>
      <c r="I26" s="55"/>
      <c r="J26" s="9"/>
      <c r="M26" s="34" t="s">
        <v>36</v>
      </c>
      <c r="N26" s="35">
        <f>SUMIF($A53:$A62,"Pecho",$E53:$E62)</f>
        <v>4</v>
      </c>
      <c r="O26" s="35">
        <f>SUMIF($A53:$A62,"Espalda",$E53:$E62)</f>
        <v>4</v>
      </c>
      <c r="P26" s="35">
        <f>SUMIF($A53:$A62,"Hombros",$E53:$E62)</f>
        <v>0</v>
      </c>
      <c r="Q26" s="35">
        <f>SUMIF($A53:$A62,"Bíceps",$E53:$E62)</f>
        <v>3</v>
      </c>
      <c r="R26" s="35">
        <f>SUMIF($A53:$A62,"Tríceps",$E53:$E62)</f>
        <v>0</v>
      </c>
      <c r="S26" s="35">
        <f>SUMIF($A53:$A62,"Cuádriceps",$E53:$E62)</f>
        <v>3</v>
      </c>
      <c r="T26" s="35">
        <f>SUMIF($A53:$A62,"Isquios",$E53:$E62)</f>
        <v>3</v>
      </c>
      <c r="U26" s="35">
        <f>SUMIF($A53:$A62,"Glúteos",$E53:$E62)</f>
        <v>0</v>
      </c>
      <c r="V26" s="35">
        <f>SUMIF($A53:$A62,"Pantorrillas",$E53:$E62)</f>
        <v>3</v>
      </c>
      <c r="W26" s="35">
        <f>SUMIF($A53:$A62,"Otros",$E53:$E62)</f>
        <v>3</v>
      </c>
    </row>
    <row r="27" ht="14.25" customHeight="1">
      <c r="A27" s="49" t="s">
        <v>30</v>
      </c>
      <c r="B27" s="50" t="s">
        <v>102</v>
      </c>
      <c r="C27" s="18"/>
      <c r="D27" s="20"/>
      <c r="E27" s="49">
        <v>4.0</v>
      </c>
      <c r="F27" s="49">
        <v>8.0</v>
      </c>
      <c r="G27" s="49">
        <v>8.0</v>
      </c>
      <c r="H27" s="49" t="s">
        <v>55</v>
      </c>
      <c r="I27" s="51"/>
      <c r="J27" s="9"/>
      <c r="M27" s="34" t="s">
        <v>7</v>
      </c>
      <c r="N27" s="35">
        <f>AVERAGEIF($A53:$A62,"Pecho",$G53:$G62)</f>
        <v>7</v>
      </c>
      <c r="O27" s="35">
        <f>AVERAGEIF($A53:$A62,"Espalda",$G53:$G62)</f>
        <v>8</v>
      </c>
      <c r="P27" s="35" t="str">
        <f>AVERAGEIF($A53:$A62,"Hombros",$G53:$G62)</f>
        <v>#DIV/0!</v>
      </c>
      <c r="Q27" s="35">
        <f>AVERAGEIF($A53:$A62,"Bíceps",$G53:$G62)</f>
        <v>6</v>
      </c>
      <c r="R27" s="35" t="str">
        <f>AVERAGEIF($A53:$A62,"Tríceps",$G53:$G62)</f>
        <v>#DIV/0!</v>
      </c>
      <c r="S27" s="35">
        <f>AVERAGEIF($A53:$A62,"Cuádriceps",$G53:$G62)</f>
        <v>6</v>
      </c>
      <c r="T27" s="35">
        <f>AVERAGEIF($A53:$A62,"Isquios",$G53:$G62)</f>
        <v>7</v>
      </c>
      <c r="U27" s="35" t="str">
        <f>AVERAGEIF($A53:$A62,"Glúteos",$G53:$G62)</f>
        <v>#DIV/0!</v>
      </c>
      <c r="V27" s="35">
        <f>AVERAGEIF($A53:$A62,"Pantorrillas",$G53:$G62)</f>
        <v>7</v>
      </c>
      <c r="W27" s="35">
        <f>AVERAGEIF($A53:$A62,"Otros",$G53:$G62)</f>
        <v>6</v>
      </c>
    </row>
    <row r="28" ht="14.25" customHeight="1">
      <c r="A28" s="49" t="s">
        <v>30</v>
      </c>
      <c r="B28" s="50" t="s">
        <v>104</v>
      </c>
      <c r="C28" s="18"/>
      <c r="D28" s="20"/>
      <c r="E28" s="49">
        <v>3.0</v>
      </c>
      <c r="F28" s="49" t="s">
        <v>455</v>
      </c>
      <c r="G28" s="49">
        <v>8.0</v>
      </c>
      <c r="H28" s="49"/>
      <c r="I28" s="51" t="s">
        <v>777</v>
      </c>
      <c r="J28" s="9"/>
      <c r="M28" s="25"/>
      <c r="N28" s="25"/>
      <c r="O28" s="25"/>
      <c r="P28" s="25"/>
      <c r="Q28" s="25"/>
      <c r="R28" s="25"/>
      <c r="S28" s="25"/>
      <c r="T28" s="25"/>
      <c r="U28" s="25"/>
    </row>
    <row r="29" ht="14.25" customHeight="1">
      <c r="A29" s="49" t="s">
        <v>32</v>
      </c>
      <c r="B29" s="50" t="s">
        <v>107</v>
      </c>
      <c r="C29" s="18"/>
      <c r="D29" s="20"/>
      <c r="E29" s="49">
        <v>4.0</v>
      </c>
      <c r="F29" s="49" t="s">
        <v>108</v>
      </c>
      <c r="G29" s="49"/>
      <c r="H29" s="49"/>
      <c r="I29" s="51"/>
      <c r="J29" s="9"/>
      <c r="M29" s="11" t="s">
        <v>76</v>
      </c>
      <c r="N29" s="12"/>
      <c r="O29" s="12"/>
      <c r="P29" s="12"/>
      <c r="Q29" s="12"/>
      <c r="R29" s="12"/>
      <c r="S29" s="12"/>
      <c r="T29" s="12"/>
      <c r="U29" s="12"/>
      <c r="V29" s="12"/>
      <c r="W29" s="13"/>
    </row>
    <row r="30" ht="14.25" customHeight="1">
      <c r="A30" s="207" t="s">
        <v>33</v>
      </c>
      <c r="B30" s="208" t="s">
        <v>781</v>
      </c>
      <c r="C30" s="18"/>
      <c r="D30" s="20"/>
      <c r="E30" s="207">
        <v>3.0</v>
      </c>
      <c r="F30" s="207">
        <v>8.0</v>
      </c>
      <c r="G30" s="207"/>
      <c r="H30" s="207"/>
      <c r="I30" s="209" t="s">
        <v>782</v>
      </c>
      <c r="J30" s="9"/>
      <c r="M30" s="25"/>
      <c r="N30" s="28" t="s">
        <v>16</v>
      </c>
      <c r="O30" s="28" t="s">
        <v>26</v>
      </c>
      <c r="P30" s="28" t="s">
        <v>27</v>
      </c>
      <c r="Q30" s="28" t="s">
        <v>28</v>
      </c>
      <c r="R30" s="28" t="s">
        <v>29</v>
      </c>
      <c r="S30" s="28" t="s">
        <v>30</v>
      </c>
      <c r="T30" s="28" t="s">
        <v>31</v>
      </c>
      <c r="U30" s="28" t="s">
        <v>32</v>
      </c>
      <c r="V30" s="28" t="s">
        <v>33</v>
      </c>
      <c r="W30" s="28" t="s">
        <v>12</v>
      </c>
    </row>
    <row r="31" ht="14.25" customHeight="1">
      <c r="A31" s="207" t="s">
        <v>32</v>
      </c>
      <c r="B31" s="208" t="s">
        <v>783</v>
      </c>
      <c r="C31" s="18"/>
      <c r="D31" s="20"/>
      <c r="E31" s="207">
        <v>3.0</v>
      </c>
      <c r="F31" s="207">
        <v>6.0</v>
      </c>
      <c r="G31" s="207"/>
      <c r="H31" s="207"/>
      <c r="I31" s="209"/>
      <c r="J31" s="9"/>
      <c r="M31" s="34" t="s">
        <v>36</v>
      </c>
      <c r="N31" s="35">
        <f>SUMIF($A67:$A76,"Pecho",$E67:$E76)</f>
        <v>0</v>
      </c>
      <c r="O31" s="35">
        <f>SUMIF($A67:$A76,"Espalda",$E67:$E76)</f>
        <v>0</v>
      </c>
      <c r="P31" s="35">
        <f>SUMIF($A67:$A76,"Hombros",$E67:$E76)</f>
        <v>0</v>
      </c>
      <c r="Q31" s="35">
        <f>SUMIF($A67:$A76,"Bíceps",$E67:$E76)</f>
        <v>0</v>
      </c>
      <c r="R31" s="35">
        <f>SUMIF($A67:$A76,"Tríceps",$E67:$E76)</f>
        <v>0</v>
      </c>
      <c r="S31" s="35">
        <f>SUMIF($A67:$A76,"Cuádriceps",$E67:$E76)</f>
        <v>0</v>
      </c>
      <c r="T31" s="35">
        <f>SUMIF($A67:$A76,"Isquios",$E67:$E76)</f>
        <v>0</v>
      </c>
      <c r="U31" s="35">
        <f>SUMIF($A67:$A76,"Glúteos",$E67:$E76)</f>
        <v>0</v>
      </c>
      <c r="V31" s="35">
        <f>SUMIF($A67:$A76,"Pantorrillas",$E67:$E76)</f>
        <v>0</v>
      </c>
      <c r="W31" s="35">
        <f>SUMIF($A67:$A76,"Otros",$E67:$E76)</f>
        <v>0</v>
      </c>
    </row>
    <row r="32" ht="14.25" customHeight="1">
      <c r="A32" s="207" t="s">
        <v>33</v>
      </c>
      <c r="B32" s="210" t="s">
        <v>841</v>
      </c>
      <c r="C32" s="8"/>
      <c r="D32" s="9"/>
      <c r="E32" s="207">
        <v>3.0</v>
      </c>
      <c r="F32" s="207" t="s">
        <v>71</v>
      </c>
      <c r="G32" s="207"/>
      <c r="H32" s="207"/>
      <c r="I32" s="209"/>
      <c r="J32" s="9"/>
      <c r="M32" s="34" t="s">
        <v>7</v>
      </c>
      <c r="N32" s="35">
        <f>AVERAGEIF($A67:$A76,"Pecho",$G67:$G76)</f>
        <v>6</v>
      </c>
      <c r="O32" s="35" t="str">
        <f>AVERAGEIF($A67:$A76,"Espalda",$G67:$G76)</f>
        <v>#DIV/0!</v>
      </c>
      <c r="P32" s="35" t="str">
        <f>AVERAGEIF($A67:$A76,"Hombros",$G67:$G76)</f>
        <v>#DIV/0!</v>
      </c>
      <c r="Q32" s="35">
        <f>AVERAGEIF($A67:$A76,"Bíceps",$G67:$G76)</f>
        <v>7</v>
      </c>
      <c r="R32" s="35" t="str">
        <f>AVERAGEIF($A67:$A76,"Tríceps",$G67:$G76)</f>
        <v>#DIV/0!</v>
      </c>
      <c r="S32" s="35" t="str">
        <f>AVERAGEIF($A67:$A76,"Cuádriceps",$G67:$G76)</f>
        <v>#DIV/0!</v>
      </c>
      <c r="T32" s="35">
        <f>AVERAGEIF($A67:$A76,"Isquios",$G67:$G76)</f>
        <v>6</v>
      </c>
      <c r="U32" s="35" t="str">
        <f>AVERAGEIF($A67:$A76,"Glúteos",$G67:$G76)</f>
        <v>#DIV/0!</v>
      </c>
      <c r="V32" s="35">
        <f>AVERAGEIF($A67:$A76,"Pantorrillas",$G67:$G76)</f>
        <v>7</v>
      </c>
      <c r="W32" s="35" t="str">
        <f>AVERAGEIF($A67:$A76,"Otros",$G67:$G76)</f>
        <v>#DIV/0!</v>
      </c>
    </row>
    <row r="33" ht="14.25" customHeight="1">
      <c r="A33" s="49" t="s">
        <v>113</v>
      </c>
      <c r="B33" s="62" t="s">
        <v>114</v>
      </c>
      <c r="C33" s="8"/>
      <c r="D33" s="9"/>
      <c r="E33" s="49">
        <v>3.0</v>
      </c>
      <c r="F33" s="49" t="s">
        <v>65</v>
      </c>
      <c r="G33" s="49"/>
      <c r="H33" s="49"/>
      <c r="I33" s="63"/>
      <c r="J33" s="64"/>
      <c r="M33" s="65"/>
      <c r="N33" s="25"/>
      <c r="O33" s="25"/>
      <c r="P33" s="25"/>
      <c r="Q33" s="25"/>
      <c r="R33" s="25"/>
      <c r="S33" s="25"/>
      <c r="T33" s="25"/>
      <c r="U33" s="25"/>
      <c r="V33" s="25"/>
      <c r="W33" s="25"/>
    </row>
    <row r="34" ht="14.25" customHeight="1">
      <c r="A34" s="49" t="s">
        <v>113</v>
      </c>
      <c r="B34" s="66" t="s">
        <v>842</v>
      </c>
      <c r="C34" s="8"/>
      <c r="D34" s="9"/>
      <c r="E34" s="49">
        <v>5.0</v>
      </c>
      <c r="F34" s="49"/>
      <c r="G34" s="49"/>
      <c r="H34" s="49"/>
      <c r="I34" s="51"/>
      <c r="J34" s="9"/>
    </row>
    <row r="35" ht="14.25" customHeight="1">
      <c r="B35" s="26"/>
      <c r="C35" s="29"/>
      <c r="D35" s="29"/>
    </row>
    <row r="36" ht="14.25" customHeight="1"/>
    <row r="37" ht="14.25" customHeight="1">
      <c r="A37" s="2" t="s">
        <v>117</v>
      </c>
      <c r="B37" s="3"/>
      <c r="C37" s="4"/>
      <c r="J37" s="1"/>
    </row>
    <row r="38" ht="14.25" customHeight="1">
      <c r="A38" s="5" t="s">
        <v>2</v>
      </c>
      <c r="B38" s="7" t="s">
        <v>4</v>
      </c>
      <c r="C38" s="8"/>
      <c r="D38" s="9"/>
      <c r="E38" s="5" t="s">
        <v>5</v>
      </c>
      <c r="F38" s="5" t="s">
        <v>6</v>
      </c>
      <c r="G38" s="5" t="s">
        <v>7</v>
      </c>
      <c r="H38" s="5" t="s">
        <v>8</v>
      </c>
      <c r="I38" s="7" t="s">
        <v>9</v>
      </c>
      <c r="J38" s="9"/>
    </row>
    <row r="39" ht="14.25" customHeight="1">
      <c r="A39" s="53" t="s">
        <v>12</v>
      </c>
      <c r="B39" s="54" t="s">
        <v>13</v>
      </c>
      <c r="C39" s="18"/>
      <c r="D39" s="20"/>
      <c r="E39" s="53">
        <v>2.0</v>
      </c>
      <c r="F39" s="53">
        <v>10.0</v>
      </c>
      <c r="G39" s="53"/>
      <c r="H39" s="53"/>
      <c r="I39" s="55"/>
      <c r="J39" s="9"/>
    </row>
    <row r="40" ht="14.25" customHeight="1">
      <c r="A40" s="53" t="s">
        <v>12</v>
      </c>
      <c r="B40" s="54" t="s">
        <v>804</v>
      </c>
      <c r="C40" s="18"/>
      <c r="D40" s="20"/>
      <c r="E40" s="53">
        <v>3.0</v>
      </c>
      <c r="F40" s="53">
        <v>12.0</v>
      </c>
      <c r="G40" s="53"/>
      <c r="H40" s="53"/>
      <c r="I40" s="55"/>
      <c r="J40" s="9"/>
    </row>
    <row r="41" ht="14.25" customHeight="1">
      <c r="A41" s="53" t="s">
        <v>12</v>
      </c>
      <c r="B41" s="54" t="s">
        <v>843</v>
      </c>
      <c r="C41" s="18"/>
      <c r="D41" s="20"/>
      <c r="E41" s="53">
        <v>3.0</v>
      </c>
      <c r="F41" s="53">
        <v>10.0</v>
      </c>
      <c r="G41" s="53"/>
      <c r="H41" s="53"/>
      <c r="I41" s="55"/>
      <c r="J41" s="9"/>
    </row>
    <row r="42" ht="14.25" customHeight="1">
      <c r="A42" s="49" t="s">
        <v>31</v>
      </c>
      <c r="B42" s="50" t="s">
        <v>701</v>
      </c>
      <c r="C42" s="18"/>
      <c r="D42" s="20"/>
      <c r="E42" s="49">
        <v>4.0</v>
      </c>
      <c r="F42" s="49">
        <v>8.0</v>
      </c>
      <c r="G42" s="49">
        <v>8.0</v>
      </c>
      <c r="H42" s="49" t="s">
        <v>55</v>
      </c>
      <c r="I42" s="51"/>
      <c r="J42" s="9"/>
    </row>
    <row r="43" ht="14.25" customHeight="1">
      <c r="A43" s="49" t="s">
        <v>26</v>
      </c>
      <c r="B43" s="50" t="s">
        <v>121</v>
      </c>
      <c r="C43" s="18"/>
      <c r="D43" s="20"/>
      <c r="E43" s="49">
        <v>3.0</v>
      </c>
      <c r="F43" s="49">
        <v>10.0</v>
      </c>
      <c r="G43" s="49">
        <v>8.0</v>
      </c>
      <c r="H43" s="49"/>
      <c r="I43" s="51"/>
      <c r="J43" s="9"/>
    </row>
    <row r="44" ht="14.25" customHeight="1">
      <c r="A44" s="53" t="s">
        <v>30</v>
      </c>
      <c r="B44" s="54" t="s">
        <v>809</v>
      </c>
      <c r="C44" s="18"/>
      <c r="D44" s="20"/>
      <c r="E44" s="53">
        <v>3.0</v>
      </c>
      <c r="F44" s="53">
        <v>8.0</v>
      </c>
      <c r="G44" s="53"/>
      <c r="H44" s="53"/>
      <c r="I44" s="55"/>
      <c r="J44" s="9"/>
    </row>
    <row r="45" ht="14.25" customHeight="1">
      <c r="A45" s="53" t="s">
        <v>26</v>
      </c>
      <c r="B45" s="54" t="s">
        <v>844</v>
      </c>
      <c r="C45" s="18"/>
      <c r="D45" s="20"/>
      <c r="E45" s="53">
        <v>4.0</v>
      </c>
      <c r="F45" s="53">
        <v>10.0</v>
      </c>
      <c r="G45" s="53"/>
      <c r="H45" s="53"/>
      <c r="I45" s="55"/>
      <c r="J45" s="9"/>
    </row>
    <row r="46" ht="14.25" customHeight="1">
      <c r="A46" s="211" t="s">
        <v>113</v>
      </c>
      <c r="B46" s="212" t="s">
        <v>126</v>
      </c>
      <c r="C46" s="18"/>
      <c r="D46" s="20"/>
      <c r="E46" s="211">
        <v>3.0</v>
      </c>
      <c r="F46" s="211">
        <v>15.0</v>
      </c>
      <c r="G46" s="211"/>
      <c r="H46" s="211"/>
      <c r="I46" s="213"/>
      <c r="J46" s="9"/>
    </row>
    <row r="47" ht="14.25" customHeight="1">
      <c r="A47" s="211" t="s">
        <v>32</v>
      </c>
      <c r="B47" s="212" t="s">
        <v>127</v>
      </c>
      <c r="C47" s="18"/>
      <c r="D47" s="20"/>
      <c r="E47" s="211">
        <v>3.0</v>
      </c>
      <c r="F47" s="211" t="s">
        <v>128</v>
      </c>
      <c r="G47" s="211"/>
      <c r="H47" s="211"/>
      <c r="I47" s="213" t="s">
        <v>845</v>
      </c>
      <c r="J47" s="9"/>
    </row>
    <row r="48" ht="14.25" customHeight="1">
      <c r="A48" s="211" t="s">
        <v>113</v>
      </c>
      <c r="B48" s="214" t="s">
        <v>730</v>
      </c>
      <c r="C48" s="8"/>
      <c r="D48" s="9"/>
      <c r="E48" s="211">
        <v>3.0</v>
      </c>
      <c r="F48" s="211">
        <v>50.0</v>
      </c>
      <c r="G48" s="211"/>
      <c r="H48" s="211"/>
      <c r="I48" s="213"/>
      <c r="J48" s="9"/>
    </row>
    <row r="49" ht="14.25" customHeight="1">
      <c r="B49" s="26"/>
      <c r="C49" s="29"/>
      <c r="D49" s="29"/>
    </row>
    <row r="50" ht="14.25" customHeight="1"/>
    <row r="51" ht="14.25" customHeight="1">
      <c r="A51" s="2" t="s">
        <v>132</v>
      </c>
      <c r="B51" s="3"/>
      <c r="C51" s="4"/>
      <c r="J51" s="1"/>
    </row>
    <row r="52" ht="14.25" customHeight="1">
      <c r="A52" s="5" t="s">
        <v>2</v>
      </c>
      <c r="B52" s="7" t="s">
        <v>4</v>
      </c>
      <c r="C52" s="8"/>
      <c r="D52" s="9"/>
      <c r="E52" s="5" t="s">
        <v>5</v>
      </c>
      <c r="F52" s="5" t="s">
        <v>6</v>
      </c>
      <c r="G52" s="5" t="s">
        <v>7</v>
      </c>
      <c r="H52" s="5" t="s">
        <v>8</v>
      </c>
      <c r="I52" s="7" t="s">
        <v>9</v>
      </c>
      <c r="J52" s="9"/>
    </row>
    <row r="53" ht="14.25" customHeight="1">
      <c r="A53" s="68" t="s">
        <v>113</v>
      </c>
      <c r="B53" s="69" t="s">
        <v>134</v>
      </c>
      <c r="C53" s="18"/>
      <c r="D53" s="20"/>
      <c r="E53" s="68"/>
      <c r="F53" s="68"/>
      <c r="G53" s="68"/>
      <c r="H53" s="68"/>
      <c r="I53" s="71"/>
      <c r="J53" s="9"/>
    </row>
    <row r="54" ht="14.25" customHeight="1">
      <c r="A54" s="68" t="s">
        <v>113</v>
      </c>
      <c r="B54" s="69" t="s">
        <v>136</v>
      </c>
      <c r="C54" s="18"/>
      <c r="D54" s="20"/>
      <c r="E54" s="68"/>
      <c r="F54" s="68"/>
      <c r="G54" s="68"/>
      <c r="H54" s="68"/>
      <c r="I54" s="71"/>
      <c r="J54" s="9"/>
    </row>
    <row r="55" ht="14.25" customHeight="1">
      <c r="A55" s="68" t="s">
        <v>12</v>
      </c>
      <c r="B55" s="69" t="s">
        <v>137</v>
      </c>
      <c r="C55" s="18"/>
      <c r="D55" s="20"/>
      <c r="E55" s="68"/>
      <c r="F55" s="68">
        <v>10.0</v>
      </c>
      <c r="G55" s="68"/>
      <c r="H55" s="68"/>
      <c r="I55" s="71"/>
      <c r="J55" s="9"/>
    </row>
    <row r="56" ht="14.25" customHeight="1">
      <c r="A56" s="49" t="s">
        <v>16</v>
      </c>
      <c r="B56" s="50" t="s">
        <v>744</v>
      </c>
      <c r="C56" s="18"/>
      <c r="D56" s="20"/>
      <c r="E56" s="49">
        <v>4.0</v>
      </c>
      <c r="F56" s="49">
        <v>10.0</v>
      </c>
      <c r="G56" s="49">
        <v>7.0</v>
      </c>
      <c r="H56" s="49"/>
      <c r="I56" s="51"/>
      <c r="J56" s="9"/>
    </row>
    <row r="57" ht="14.25" customHeight="1">
      <c r="A57" s="49" t="s">
        <v>26</v>
      </c>
      <c r="B57" s="50" t="s">
        <v>142</v>
      </c>
      <c r="C57" s="18"/>
      <c r="D57" s="20"/>
      <c r="E57" s="49">
        <v>4.0</v>
      </c>
      <c r="F57" s="49" t="s">
        <v>71</v>
      </c>
      <c r="G57" s="49">
        <v>8.0</v>
      </c>
      <c r="H57" s="49"/>
      <c r="I57" s="51"/>
      <c r="J57" s="9"/>
    </row>
    <row r="58" ht="14.25" customHeight="1">
      <c r="A58" s="49" t="s">
        <v>28</v>
      </c>
      <c r="B58" s="50" t="s">
        <v>83</v>
      </c>
      <c r="C58" s="18"/>
      <c r="D58" s="20"/>
      <c r="E58" s="49">
        <v>3.0</v>
      </c>
      <c r="F58" s="49">
        <v>10.0</v>
      </c>
      <c r="G58" s="49">
        <v>6.0</v>
      </c>
      <c r="H58" s="49"/>
      <c r="I58" s="51"/>
      <c r="J58" s="9"/>
    </row>
    <row r="59" ht="14.25" customHeight="1">
      <c r="A59" s="68" t="s">
        <v>113</v>
      </c>
      <c r="B59" s="69" t="s">
        <v>814</v>
      </c>
      <c r="C59" s="18"/>
      <c r="D59" s="20"/>
      <c r="E59" s="68">
        <v>3.0</v>
      </c>
      <c r="F59" s="68">
        <v>10.0</v>
      </c>
      <c r="G59" s="68">
        <v>6.0</v>
      </c>
      <c r="H59" s="68"/>
      <c r="I59" s="71"/>
      <c r="J59" s="9"/>
    </row>
    <row r="60" ht="14.25" customHeight="1">
      <c r="A60" s="211" t="s">
        <v>30</v>
      </c>
      <c r="B60" s="212" t="s">
        <v>534</v>
      </c>
      <c r="C60" s="18"/>
      <c r="D60" s="20"/>
      <c r="E60" s="211">
        <v>3.0</v>
      </c>
      <c r="F60" s="211">
        <v>8.0</v>
      </c>
      <c r="G60" s="211">
        <v>6.0</v>
      </c>
      <c r="H60" s="211"/>
      <c r="I60" s="213" t="s">
        <v>155</v>
      </c>
      <c r="J60" s="9"/>
    </row>
    <row r="61" ht="14.25" customHeight="1">
      <c r="A61" s="211" t="s">
        <v>31</v>
      </c>
      <c r="B61" s="212" t="s">
        <v>817</v>
      </c>
      <c r="C61" s="18"/>
      <c r="D61" s="20"/>
      <c r="E61" s="211">
        <v>3.0</v>
      </c>
      <c r="F61" s="211">
        <v>10.0</v>
      </c>
      <c r="G61" s="211">
        <v>7.0</v>
      </c>
      <c r="H61" s="211"/>
      <c r="I61" s="213"/>
      <c r="J61" s="9"/>
    </row>
    <row r="62" ht="14.25" customHeight="1">
      <c r="A62" s="211" t="s">
        <v>33</v>
      </c>
      <c r="B62" s="214" t="s">
        <v>819</v>
      </c>
      <c r="C62" s="8"/>
      <c r="D62" s="9"/>
      <c r="E62" s="211">
        <v>3.0</v>
      </c>
      <c r="F62" s="211">
        <v>6.0</v>
      </c>
      <c r="G62" s="211">
        <v>7.0</v>
      </c>
      <c r="H62" s="211"/>
      <c r="I62" s="213"/>
      <c r="J62" s="9"/>
    </row>
    <row r="63" ht="14.25" customHeight="1">
      <c r="B63" s="26"/>
      <c r="C63" s="29"/>
      <c r="D63" s="29"/>
    </row>
    <row r="64" ht="14.25" customHeight="1"/>
    <row r="65" ht="14.25" customHeight="1">
      <c r="A65" s="2" t="s">
        <v>160</v>
      </c>
      <c r="B65" s="3"/>
      <c r="C65" s="4"/>
      <c r="D65" s="82" t="s">
        <v>161</v>
      </c>
      <c r="J65" s="1"/>
    </row>
    <row r="66" ht="14.25" customHeight="1">
      <c r="A66" s="5" t="s">
        <v>2</v>
      </c>
      <c r="B66" s="7" t="s">
        <v>4</v>
      </c>
      <c r="C66" s="8"/>
      <c r="D66" s="9"/>
      <c r="E66" s="5" t="s">
        <v>5</v>
      </c>
      <c r="F66" s="5" t="s">
        <v>6</v>
      </c>
      <c r="G66" s="5" t="s">
        <v>7</v>
      </c>
      <c r="H66" s="5" t="s">
        <v>8</v>
      </c>
      <c r="I66" s="7" t="s">
        <v>9</v>
      </c>
      <c r="J66" s="9"/>
    </row>
    <row r="67" ht="14.25" customHeight="1">
      <c r="A67" s="83" t="s">
        <v>113</v>
      </c>
      <c r="B67" s="85" t="s">
        <v>163</v>
      </c>
      <c r="C67" s="18"/>
      <c r="D67" s="20"/>
      <c r="E67" s="83"/>
      <c r="F67" s="83">
        <v>10.0</v>
      </c>
      <c r="G67" s="83"/>
      <c r="H67" s="83"/>
      <c r="I67" s="86"/>
      <c r="J67" s="9"/>
    </row>
    <row r="68" ht="14.25" customHeight="1">
      <c r="A68" s="83" t="s">
        <v>113</v>
      </c>
      <c r="B68" s="85" t="s">
        <v>166</v>
      </c>
      <c r="C68" s="18"/>
      <c r="D68" s="20"/>
      <c r="E68" s="83"/>
      <c r="F68" s="83"/>
      <c r="G68" s="83"/>
      <c r="H68" s="83"/>
      <c r="I68" s="86"/>
      <c r="J68" s="9"/>
    </row>
    <row r="69" ht="14.25" customHeight="1">
      <c r="A69" s="83" t="s">
        <v>113</v>
      </c>
      <c r="B69" s="85" t="s">
        <v>169</v>
      </c>
      <c r="C69" s="18"/>
      <c r="D69" s="20"/>
      <c r="E69" s="83"/>
      <c r="F69" s="83"/>
      <c r="G69" s="83"/>
      <c r="H69" s="83"/>
      <c r="I69" s="86"/>
      <c r="J69" s="9"/>
    </row>
    <row r="70" ht="14.25" customHeight="1">
      <c r="A70" s="49" t="s">
        <v>31</v>
      </c>
      <c r="B70" s="50" t="s">
        <v>173</v>
      </c>
      <c r="C70" s="18"/>
      <c r="D70" s="20"/>
      <c r="E70" s="49"/>
      <c r="F70" s="49">
        <v>8.0</v>
      </c>
      <c r="G70" s="49">
        <v>6.0</v>
      </c>
      <c r="H70" s="49"/>
      <c r="I70" s="51"/>
      <c r="J70" s="9"/>
    </row>
    <row r="71" ht="14.25" customHeight="1">
      <c r="A71" s="49" t="s">
        <v>31</v>
      </c>
      <c r="B71" s="50" t="s">
        <v>176</v>
      </c>
      <c r="C71" s="18"/>
      <c r="D71" s="20"/>
      <c r="E71" s="49"/>
      <c r="F71" s="49">
        <v>6.0</v>
      </c>
      <c r="G71" s="49">
        <v>6.0</v>
      </c>
      <c r="H71" s="49"/>
      <c r="I71" s="51"/>
      <c r="J71" s="9"/>
    </row>
    <row r="72" ht="14.25" customHeight="1">
      <c r="A72" s="68" t="s">
        <v>16</v>
      </c>
      <c r="B72" s="69" t="s">
        <v>179</v>
      </c>
      <c r="C72" s="18"/>
      <c r="D72" s="20"/>
      <c r="E72" s="68"/>
      <c r="F72" s="68">
        <v>10.0</v>
      </c>
      <c r="G72" s="68">
        <v>6.0</v>
      </c>
      <c r="H72" s="68"/>
      <c r="I72" s="71"/>
      <c r="J72" s="9"/>
    </row>
    <row r="73" ht="14.25" customHeight="1">
      <c r="A73" s="68" t="s">
        <v>16</v>
      </c>
      <c r="B73" s="69" t="s">
        <v>554</v>
      </c>
      <c r="C73" s="18"/>
      <c r="D73" s="20"/>
      <c r="E73" s="68"/>
      <c r="F73" s="68">
        <v>10.0</v>
      </c>
      <c r="G73" s="68">
        <v>6.0</v>
      </c>
      <c r="H73" s="68"/>
      <c r="I73" s="71"/>
      <c r="J73" s="9"/>
    </row>
    <row r="74" ht="14.25" customHeight="1">
      <c r="A74" s="49" t="s">
        <v>28</v>
      </c>
      <c r="B74" s="50" t="s">
        <v>182</v>
      </c>
      <c r="C74" s="18"/>
      <c r="D74" s="20"/>
      <c r="E74" s="49"/>
      <c r="F74" s="49">
        <v>10.0</v>
      </c>
      <c r="G74" s="49">
        <v>7.0</v>
      </c>
      <c r="H74" s="49"/>
      <c r="I74" s="51"/>
      <c r="J74" s="9"/>
    </row>
    <row r="75" ht="14.25" customHeight="1">
      <c r="A75" s="49" t="s">
        <v>33</v>
      </c>
      <c r="B75" s="50" t="s">
        <v>183</v>
      </c>
      <c r="C75" s="18"/>
      <c r="D75" s="20"/>
      <c r="E75" s="49"/>
      <c r="F75" s="49">
        <v>12.0</v>
      </c>
      <c r="G75" s="49">
        <v>7.0</v>
      </c>
      <c r="H75" s="49"/>
      <c r="I75" s="51"/>
      <c r="J75" s="9"/>
    </row>
    <row r="76" ht="14.25" customHeight="1">
      <c r="A76" s="49" t="s">
        <v>32</v>
      </c>
      <c r="B76" s="66" t="s">
        <v>185</v>
      </c>
      <c r="C76" s="8"/>
      <c r="D76" s="9"/>
      <c r="E76" s="49"/>
      <c r="F76" s="49" t="s">
        <v>178</v>
      </c>
      <c r="G76" s="49"/>
      <c r="H76" s="49"/>
      <c r="I76" s="51"/>
      <c r="J76" s="9"/>
    </row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8">
    <mergeCell ref="I28:J28"/>
    <mergeCell ref="I29:J29"/>
    <mergeCell ref="I11:J11"/>
    <mergeCell ref="I13:J13"/>
    <mergeCell ref="I22:J22"/>
    <mergeCell ref="I23:J23"/>
    <mergeCell ref="I24:J24"/>
    <mergeCell ref="I26:J26"/>
    <mergeCell ref="I27:J27"/>
    <mergeCell ref="A6:C6"/>
    <mergeCell ref="B7:D7"/>
    <mergeCell ref="I7:J7"/>
    <mergeCell ref="M7:W7"/>
    <mergeCell ref="Z7:AB7"/>
    <mergeCell ref="B8:D8"/>
    <mergeCell ref="B9:D9"/>
    <mergeCell ref="I12:J12"/>
    <mergeCell ref="M12:W12"/>
    <mergeCell ref="I8:J8"/>
    <mergeCell ref="I9:J9"/>
    <mergeCell ref="B10:D10"/>
    <mergeCell ref="I10:J10"/>
    <mergeCell ref="B11:D11"/>
    <mergeCell ref="B12:D12"/>
    <mergeCell ref="B13:D13"/>
    <mergeCell ref="I16:J16"/>
    <mergeCell ref="I18:J18"/>
    <mergeCell ref="M18:W18"/>
    <mergeCell ref="M23:W23"/>
    <mergeCell ref="B14:D14"/>
    <mergeCell ref="I14:J14"/>
    <mergeCell ref="B15:D15"/>
    <mergeCell ref="I15:J15"/>
    <mergeCell ref="B16:D16"/>
    <mergeCell ref="B17:D17"/>
    <mergeCell ref="B18:D18"/>
    <mergeCell ref="B27:D27"/>
    <mergeCell ref="B28:D28"/>
    <mergeCell ref="B29:D29"/>
    <mergeCell ref="M29:W29"/>
    <mergeCell ref="I30:J30"/>
    <mergeCell ref="B19:D19"/>
    <mergeCell ref="A21:C21"/>
    <mergeCell ref="B22:D22"/>
    <mergeCell ref="B23:D23"/>
    <mergeCell ref="B24:D24"/>
    <mergeCell ref="B25:D25"/>
    <mergeCell ref="B26:D26"/>
    <mergeCell ref="B52:D52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62:D62"/>
    <mergeCell ref="B63:D63"/>
    <mergeCell ref="A65:C65"/>
    <mergeCell ref="B66:D66"/>
    <mergeCell ref="B74:D74"/>
    <mergeCell ref="B75:D75"/>
    <mergeCell ref="B76:D76"/>
    <mergeCell ref="B67:D67"/>
    <mergeCell ref="B68:D68"/>
    <mergeCell ref="B69:D69"/>
    <mergeCell ref="B70:D70"/>
    <mergeCell ref="B71:D71"/>
    <mergeCell ref="B72:D72"/>
    <mergeCell ref="B73:D73"/>
    <mergeCell ref="I72:J72"/>
    <mergeCell ref="I73:J73"/>
    <mergeCell ref="I74:J74"/>
    <mergeCell ref="I75:J75"/>
    <mergeCell ref="I76:J76"/>
    <mergeCell ref="I62:J62"/>
    <mergeCell ref="I66:J66"/>
    <mergeCell ref="I67:J67"/>
    <mergeCell ref="I68:J68"/>
    <mergeCell ref="I69:J69"/>
    <mergeCell ref="I70:J70"/>
    <mergeCell ref="I71:J71"/>
    <mergeCell ref="B30:D30"/>
    <mergeCell ref="B31:D31"/>
    <mergeCell ref="I31:J31"/>
    <mergeCell ref="B32:D32"/>
    <mergeCell ref="I32:J32"/>
    <mergeCell ref="B33:D33"/>
    <mergeCell ref="I34:J34"/>
    <mergeCell ref="I39:J39"/>
    <mergeCell ref="I40:J40"/>
    <mergeCell ref="B34:D34"/>
    <mergeCell ref="B35:D35"/>
    <mergeCell ref="A37:C37"/>
    <mergeCell ref="B38:D38"/>
    <mergeCell ref="I38:J38"/>
    <mergeCell ref="B39:D39"/>
    <mergeCell ref="B40:D40"/>
    <mergeCell ref="B41:D41"/>
    <mergeCell ref="I41:J41"/>
    <mergeCell ref="B42:D42"/>
    <mergeCell ref="I42:J42"/>
    <mergeCell ref="B43:D43"/>
    <mergeCell ref="I43:J43"/>
    <mergeCell ref="I44:J44"/>
    <mergeCell ref="B44:D44"/>
    <mergeCell ref="B45:D45"/>
    <mergeCell ref="B46:D46"/>
    <mergeCell ref="B47:D47"/>
    <mergeCell ref="B48:D48"/>
    <mergeCell ref="B49:D49"/>
    <mergeCell ref="A51:C51"/>
    <mergeCell ref="I45:J45"/>
    <mergeCell ref="I46:J46"/>
    <mergeCell ref="I47:J47"/>
    <mergeCell ref="I48:J48"/>
    <mergeCell ref="I52:J52"/>
    <mergeCell ref="I53:J53"/>
    <mergeCell ref="I54:J54"/>
    <mergeCell ref="I55:J55"/>
    <mergeCell ref="I56:J56"/>
    <mergeCell ref="I57:J57"/>
    <mergeCell ref="I58:J58"/>
    <mergeCell ref="I59:J59"/>
    <mergeCell ref="I60:J60"/>
    <mergeCell ref="I61:J61"/>
  </mergeCells>
  <dataValidations>
    <dataValidation type="list" allowBlank="1" showErrorMessage="1" sqref="A8:A18 A23:A34 A39:A48 A53:A62 A67:A76">
      <formula1>Datos!$D$2:$D$11</formula1>
    </dataValidation>
    <dataValidation type="list" allowBlank="1" showErrorMessage="1" sqref="J5">
      <formula1>Datos!$B$2:$B$12</formula1>
    </dataValidation>
    <dataValidation type="list" allowBlank="1" showErrorMessage="1" sqref="J6 J21 J37 J51 J65">
      <formula1>Datos!$D$2:$D$14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10.71"/>
    <col customWidth="1" min="24" max="24" width="7.86"/>
    <col customWidth="1" min="25" max="25" width="15.43"/>
    <col customWidth="1" min="26" max="28" width="10.71"/>
  </cols>
  <sheetData>
    <row r="1" ht="14.25" customHeight="1"/>
    <row r="2" ht="14.25" customHeight="1"/>
    <row r="3" ht="14.25" customHeight="1"/>
    <row r="4" ht="14.25" customHeight="1"/>
    <row r="5" ht="14.25" customHeight="1">
      <c r="J5" s="1"/>
    </row>
    <row r="6" ht="14.25" customHeight="1">
      <c r="A6" s="2" t="s">
        <v>1</v>
      </c>
      <c r="B6" s="3"/>
      <c r="C6" s="4"/>
      <c r="J6" s="1"/>
    </row>
    <row r="7" ht="14.25" customHeight="1">
      <c r="A7" s="5" t="s">
        <v>2</v>
      </c>
      <c r="B7" s="7" t="s">
        <v>4</v>
      </c>
      <c r="C7" s="8"/>
      <c r="D7" s="9"/>
      <c r="E7" s="5" t="s">
        <v>5</v>
      </c>
      <c r="F7" s="5" t="s">
        <v>6</v>
      </c>
      <c r="G7" s="5" t="s">
        <v>7</v>
      </c>
      <c r="H7" s="5" t="s">
        <v>8</v>
      </c>
      <c r="I7" s="7" t="s">
        <v>9</v>
      </c>
      <c r="J7" s="9"/>
      <c r="M7" s="11" t="s">
        <v>0</v>
      </c>
      <c r="N7" s="12"/>
      <c r="O7" s="12"/>
      <c r="P7" s="12"/>
      <c r="Q7" s="12"/>
      <c r="R7" s="12"/>
      <c r="S7" s="12"/>
      <c r="T7" s="12"/>
      <c r="U7" s="12"/>
      <c r="V7" s="12"/>
      <c r="W7" s="13"/>
      <c r="Y7" s="1"/>
      <c r="Z7" s="14" t="s">
        <v>10</v>
      </c>
      <c r="AA7" s="12"/>
      <c r="AB7" s="13"/>
    </row>
    <row r="8" ht="14.25" customHeight="1">
      <c r="A8" s="15" t="s">
        <v>12</v>
      </c>
      <c r="B8" s="17" t="s">
        <v>13</v>
      </c>
      <c r="C8" s="18"/>
      <c r="D8" s="20"/>
      <c r="E8" s="15">
        <v>2.0</v>
      </c>
      <c r="F8" s="15">
        <v>10.0</v>
      </c>
      <c r="G8" s="15"/>
      <c r="H8" s="15"/>
      <c r="I8" s="23" t="s">
        <v>15</v>
      </c>
      <c r="J8" s="9"/>
      <c r="M8" s="25"/>
      <c r="N8" s="28" t="s">
        <v>16</v>
      </c>
      <c r="O8" s="28" t="s">
        <v>26</v>
      </c>
      <c r="P8" s="28" t="s">
        <v>27</v>
      </c>
      <c r="Q8" s="28" t="s">
        <v>28</v>
      </c>
      <c r="R8" s="28" t="s">
        <v>29</v>
      </c>
      <c r="S8" s="28" t="s">
        <v>30</v>
      </c>
      <c r="T8" s="28" t="s">
        <v>31</v>
      </c>
      <c r="U8" s="28" t="s">
        <v>32</v>
      </c>
      <c r="V8" s="28" t="s">
        <v>33</v>
      </c>
      <c r="W8" s="28" t="s">
        <v>12</v>
      </c>
      <c r="Z8" s="28" t="s">
        <v>16</v>
      </c>
      <c r="AA8" s="1">
        <f>SUM(N9,N14,N20,N25,N30)</f>
        <v>8</v>
      </c>
    </row>
    <row r="9" ht="14.25" customHeight="1">
      <c r="A9" s="15" t="s">
        <v>12</v>
      </c>
      <c r="B9" s="17" t="s">
        <v>37</v>
      </c>
      <c r="C9" s="18"/>
      <c r="D9" s="20"/>
      <c r="E9" s="15">
        <v>3.0</v>
      </c>
      <c r="F9" s="15">
        <v>12.0</v>
      </c>
      <c r="G9" s="15"/>
      <c r="H9" s="15"/>
      <c r="I9" s="23"/>
      <c r="J9" s="9"/>
      <c r="M9" s="34" t="s">
        <v>36</v>
      </c>
      <c r="N9" s="37">
        <f>SUMIF(A8:A18,"Pecho",E8:E18)</f>
        <v>4</v>
      </c>
      <c r="O9" s="37">
        <f>SUMIF(A8:A18,"Espalda",E8:E18)</f>
        <v>0</v>
      </c>
      <c r="P9" s="37">
        <f>SUMIF($A8:$A18,"Hombros",$E8:$E18)</f>
        <v>8</v>
      </c>
      <c r="Q9" s="37">
        <f>SUMIF($A8:$A18,"Bíceps",$E8:$E18)</f>
        <v>3</v>
      </c>
      <c r="R9" s="37">
        <f>SUMIF($A8:$A18,"Tríceps",$E8:$E18)</f>
        <v>4</v>
      </c>
      <c r="S9" s="38">
        <f>SUMIF(A8:A18,"Cuádriceps",E8:E18)</f>
        <v>9</v>
      </c>
      <c r="T9" s="37">
        <f>SUMIF($A8:$A18,"Isquios",$E8:$E18)</f>
        <v>0</v>
      </c>
      <c r="U9" s="37">
        <f>SUMIF($A8:$A18,"Glúteos",$E8:$E18)</f>
        <v>0</v>
      </c>
      <c r="V9" s="37">
        <f>SUMIF($A8:$A18,"Pantorrillas",$E8:$E18)</f>
        <v>0</v>
      </c>
      <c r="W9" s="37">
        <f>SUMIF($A8:$A18,"Otros",$E8:$E18)</f>
        <v>8</v>
      </c>
      <c r="Z9" s="28" t="s">
        <v>26</v>
      </c>
      <c r="AA9" s="1">
        <f>SUM(O9,O14,O20,O25,O30)</f>
        <v>12</v>
      </c>
    </row>
    <row r="10" ht="14.25" customHeight="1">
      <c r="A10" s="15" t="s">
        <v>12</v>
      </c>
      <c r="B10" s="17" t="s">
        <v>44</v>
      </c>
      <c r="C10" s="18"/>
      <c r="D10" s="20"/>
      <c r="E10" s="15">
        <v>3.0</v>
      </c>
      <c r="F10" s="15">
        <v>10.0</v>
      </c>
      <c r="G10" s="15"/>
      <c r="H10" s="15"/>
      <c r="I10" s="23"/>
      <c r="J10" s="9"/>
      <c r="M10" s="34" t="s">
        <v>7</v>
      </c>
      <c r="N10" s="35">
        <f>AVERAGEIF($A8:$A18,"Pecho",$G8:$G18)</f>
        <v>8</v>
      </c>
      <c r="O10" s="35" t="str">
        <f>AVERAGEIF($A8:$A18,"Espalda",$G8:$G18)</f>
        <v>#DIV/0!</v>
      </c>
      <c r="P10" s="35">
        <f>AVERAGEIF($A8:$A18,"Hombros",$G8:$G18)</f>
        <v>8</v>
      </c>
      <c r="Q10" s="35" t="str">
        <f>AVERAGEIF($A8:$A18,"Bíceps",$G8:$G18)</f>
        <v>#DIV/0!</v>
      </c>
      <c r="R10" s="35" t="str">
        <f>AVERAGEIF($A8:$A18,"Tríceps",$G8:$G18)</f>
        <v>#DIV/0!</v>
      </c>
      <c r="S10" s="35">
        <f>AVERAGEIF($A8:$A18,"Cuádriceps",$G8:$G18)</f>
        <v>7.666666667</v>
      </c>
      <c r="T10" s="35" t="str">
        <f>AVERAGEIF($A8:$A18,"Isquios",$G8:$G18)</f>
        <v>#DIV/0!</v>
      </c>
      <c r="U10" s="35" t="str">
        <f>AVERAGEIF($A8:$A18,"Glúteos",$G8:$G18)</f>
        <v>#DIV/0!</v>
      </c>
      <c r="V10" s="35" t="str">
        <f>AVERAGEIF($A8:$A18,"Pantorrillas",$G8:$G18)</f>
        <v>#DIV/0!</v>
      </c>
      <c r="W10" s="35" t="str">
        <f>AVERAGEIF($A8:$A18,"Otros",$G8:$G18)</f>
        <v>#DIV/0!</v>
      </c>
      <c r="Z10" s="28" t="s">
        <v>27</v>
      </c>
      <c r="AA10" s="1">
        <f>SUM(P9,P14,P20,P25,P30)</f>
        <v>8</v>
      </c>
    </row>
    <row r="11" ht="14.25" customHeight="1">
      <c r="A11" s="49" t="s">
        <v>16</v>
      </c>
      <c r="B11" s="50" t="s">
        <v>52</v>
      </c>
      <c r="C11" s="18"/>
      <c r="D11" s="20"/>
      <c r="E11" s="49">
        <v>4.0</v>
      </c>
      <c r="F11" s="49" t="s">
        <v>53</v>
      </c>
      <c r="G11" s="49">
        <v>8.0</v>
      </c>
      <c r="H11" s="49" t="s">
        <v>55</v>
      </c>
      <c r="I11" s="51"/>
      <c r="J11" s="9"/>
      <c r="M11" s="25"/>
      <c r="N11" s="25"/>
      <c r="O11" s="25"/>
      <c r="P11" s="25"/>
      <c r="Q11" s="25"/>
      <c r="R11" s="25"/>
      <c r="S11" s="25"/>
      <c r="T11" s="25"/>
      <c r="U11" s="25"/>
      <c r="Z11" s="28" t="s">
        <v>28</v>
      </c>
      <c r="AA11" s="1">
        <f>SUM(Q9,Q14,Q20,Q25,Q30)</f>
        <v>3</v>
      </c>
    </row>
    <row r="12" ht="14.25" customHeight="1">
      <c r="A12" s="15" t="s">
        <v>27</v>
      </c>
      <c r="B12" s="17" t="s">
        <v>56</v>
      </c>
      <c r="C12" s="18"/>
      <c r="D12" s="20"/>
      <c r="E12" s="15">
        <v>4.0</v>
      </c>
      <c r="F12" s="15">
        <v>10.0</v>
      </c>
      <c r="G12" s="15">
        <v>8.0</v>
      </c>
      <c r="H12" s="15"/>
      <c r="I12" s="23" t="s">
        <v>58</v>
      </c>
      <c r="J12" s="9"/>
      <c r="M12" s="11" t="s">
        <v>45</v>
      </c>
      <c r="N12" s="12"/>
      <c r="O12" s="12"/>
      <c r="P12" s="12"/>
      <c r="Q12" s="12"/>
      <c r="R12" s="12"/>
      <c r="S12" s="12"/>
      <c r="T12" s="12"/>
      <c r="U12" s="12"/>
      <c r="V12" s="12"/>
      <c r="W12" s="13"/>
      <c r="Z12" s="28" t="s">
        <v>29</v>
      </c>
      <c r="AA12" s="1">
        <f>SUM(R9,R14,R20,R25,R30)</f>
        <v>4</v>
      </c>
    </row>
    <row r="13" ht="14.25" customHeight="1">
      <c r="A13" s="15" t="s">
        <v>27</v>
      </c>
      <c r="B13" s="17" t="s">
        <v>62</v>
      </c>
      <c r="C13" s="18"/>
      <c r="D13" s="20"/>
      <c r="E13" s="15">
        <v>4.0</v>
      </c>
      <c r="F13" s="15">
        <v>6.0</v>
      </c>
      <c r="G13" s="15"/>
      <c r="H13" s="15"/>
      <c r="I13" s="23"/>
      <c r="J13" s="9"/>
      <c r="M13" s="25"/>
      <c r="N13" s="28" t="s">
        <v>16</v>
      </c>
      <c r="O13" s="28" t="s">
        <v>26</v>
      </c>
      <c r="P13" s="28" t="s">
        <v>27</v>
      </c>
      <c r="Q13" s="28" t="s">
        <v>28</v>
      </c>
      <c r="R13" s="28" t="s">
        <v>29</v>
      </c>
      <c r="S13" s="28" t="s">
        <v>30</v>
      </c>
      <c r="T13" s="28" t="s">
        <v>31</v>
      </c>
      <c r="U13" s="28" t="s">
        <v>32</v>
      </c>
      <c r="V13" s="28" t="s">
        <v>33</v>
      </c>
      <c r="W13" s="28" t="s">
        <v>12</v>
      </c>
      <c r="Z13" s="28" t="s">
        <v>30</v>
      </c>
      <c r="AA13" s="1">
        <f>SUM(S9,S14,S20,S25,S30)</f>
        <v>25</v>
      </c>
    </row>
    <row r="14" ht="14.25" customHeight="1">
      <c r="A14" s="49" t="s">
        <v>30</v>
      </c>
      <c r="B14" s="50" t="s">
        <v>64</v>
      </c>
      <c r="C14" s="18"/>
      <c r="D14" s="20"/>
      <c r="E14" s="49">
        <v>3.0</v>
      </c>
      <c r="F14" s="49" t="s">
        <v>65</v>
      </c>
      <c r="G14" s="49">
        <v>8.0</v>
      </c>
      <c r="H14" s="49"/>
      <c r="I14" s="51"/>
      <c r="J14" s="9"/>
      <c r="M14" s="34" t="s">
        <v>36</v>
      </c>
      <c r="N14" s="35">
        <f>SUMIF($A23:$A33,"Pecho",$E23:$E33)</f>
        <v>0</v>
      </c>
      <c r="O14" s="35">
        <f>SUMIF($A23:$A33,"Espalda",$E23:$E33)</f>
        <v>0</v>
      </c>
      <c r="P14" s="35">
        <f>SUMIF($A23:$A33,"Hombros",$E23:$E33)</f>
        <v>0</v>
      </c>
      <c r="Q14" s="35">
        <f>SUMIF($A23:$A33,"Bíceps",$E23:$E33)</f>
        <v>0</v>
      </c>
      <c r="R14" s="35">
        <f>SUMIF($A23:$A33,"Tríceps",$E23:$E33)</f>
        <v>0</v>
      </c>
      <c r="S14" s="35">
        <f>SUMIF($A23:$A33,"Cuádriceps",$E23:$E33)</f>
        <v>10</v>
      </c>
      <c r="T14" s="35">
        <f>SUMIF($A23:$A33,"Isquios",$E23:$E33)</f>
        <v>0</v>
      </c>
      <c r="U14" s="35">
        <f>SUMIF($A23:$A33,"Glúteos",$E23:$E33)</f>
        <v>10</v>
      </c>
      <c r="V14" s="35">
        <f>SUMIF($A23:$A33,"Pantorrillas",$E23:$E33)</f>
        <v>0</v>
      </c>
      <c r="W14" s="35">
        <f>SUMIF($A23:$A33,"Otros",$E23:$E33)</f>
        <v>15</v>
      </c>
      <c r="Z14" s="28" t="s">
        <v>31</v>
      </c>
      <c r="AA14" s="1">
        <f>SUM(T9,T14,T20,T25,T30)</f>
        <v>10</v>
      </c>
    </row>
    <row r="15" ht="14.25" customHeight="1">
      <c r="A15" s="49" t="s">
        <v>30</v>
      </c>
      <c r="B15" s="50" t="s">
        <v>69</v>
      </c>
      <c r="C15" s="18"/>
      <c r="D15" s="20"/>
      <c r="E15" s="49">
        <v>3.0</v>
      </c>
      <c r="F15" s="49" t="s">
        <v>71</v>
      </c>
      <c r="G15" s="49">
        <v>8.0</v>
      </c>
      <c r="H15" s="49"/>
      <c r="I15" s="51" t="s">
        <v>72</v>
      </c>
      <c r="J15" s="9"/>
      <c r="M15" s="34" t="s">
        <v>7</v>
      </c>
      <c r="N15" s="35" t="str">
        <f>AVERAGEIF($A23:$A33,"Pecho",$G23:$G33)</f>
        <v>#DIV/0!</v>
      </c>
      <c r="O15" s="35" t="str">
        <f>AVERAGEIF($A23:$A33,"Espalda",$G23:$G33)</f>
        <v>#DIV/0!</v>
      </c>
      <c r="P15" s="35" t="str">
        <f>AVERAGEIF($A23:$A33,"Hombros",$G23:$G33)</f>
        <v>#DIV/0!</v>
      </c>
      <c r="Q15" s="35" t="str">
        <f>AVERAGEIF($A23:$A33,"Bíceps",$G23:$G33)</f>
        <v>#DIV/0!</v>
      </c>
      <c r="R15" s="35" t="str">
        <f>AVERAGEIF($A23:$A33,"Tríceps",$G23:$G33)</f>
        <v>#DIV/0!</v>
      </c>
      <c r="S15" s="35">
        <f>AVERAGEIF($A23:$A33,"Cuádriceps",$G23:$G33)</f>
        <v>7</v>
      </c>
      <c r="T15" s="35" t="str">
        <f>AVERAGEIF($A23:$A33,"Isquios",$G23:$G33)</f>
        <v>#DIV/0!</v>
      </c>
      <c r="U15" s="35">
        <f>AVERAGEIF($A23:$A33,"Glúteos",$G23:$G33)</f>
        <v>8</v>
      </c>
      <c r="V15" s="35" t="str">
        <f>AVERAGEIF($A23:$A33,"Pantorrillas",$G23:$G33)</f>
        <v>#DIV/0!</v>
      </c>
      <c r="W15" s="35" t="str">
        <f>AVERAGEIF($A23:$A33,"Otros",$G23:$G33)</f>
        <v>#DIV/0!</v>
      </c>
      <c r="Z15" s="28" t="s">
        <v>32</v>
      </c>
      <c r="AA15" s="1">
        <f>SUM(U9,U14,U20,U25,U30)</f>
        <v>13</v>
      </c>
    </row>
    <row r="16" ht="14.25" customHeight="1">
      <c r="A16" s="53" t="s">
        <v>30</v>
      </c>
      <c r="B16" s="54" t="s">
        <v>79</v>
      </c>
      <c r="C16" s="18"/>
      <c r="D16" s="20"/>
      <c r="E16" s="53">
        <v>3.0</v>
      </c>
      <c r="F16" s="53">
        <v>12.0</v>
      </c>
      <c r="G16" s="53">
        <v>7.0</v>
      </c>
      <c r="H16" s="53"/>
      <c r="I16" s="55" t="s">
        <v>81</v>
      </c>
      <c r="J16" s="9"/>
      <c r="M16" s="25"/>
      <c r="N16" s="25"/>
      <c r="O16" s="25"/>
      <c r="P16" s="25"/>
      <c r="Q16" s="25"/>
      <c r="R16" s="25"/>
      <c r="S16" s="25"/>
      <c r="T16" s="25"/>
      <c r="U16" s="25"/>
      <c r="Z16" s="28" t="s">
        <v>33</v>
      </c>
      <c r="AA16" s="1">
        <f>SUM(V9,V14,V20,V25,V30)</f>
        <v>3</v>
      </c>
    </row>
    <row r="17" ht="14.25" customHeight="1">
      <c r="A17" s="53" t="s">
        <v>28</v>
      </c>
      <c r="B17" s="56" t="s">
        <v>83</v>
      </c>
      <c r="C17" s="8"/>
      <c r="D17" s="9"/>
      <c r="E17" s="53">
        <v>3.0</v>
      </c>
      <c r="F17" s="53">
        <v>12.0</v>
      </c>
      <c r="G17" s="53"/>
      <c r="H17" s="53"/>
      <c r="I17" s="57"/>
      <c r="J17" s="59"/>
      <c r="M17" s="25"/>
      <c r="N17" s="25"/>
      <c r="O17" s="25"/>
      <c r="P17" s="25"/>
      <c r="Q17" s="25"/>
      <c r="R17" s="25"/>
      <c r="S17" s="25"/>
      <c r="T17" s="25"/>
      <c r="U17" s="25"/>
      <c r="Z17" s="28"/>
      <c r="AA17" s="1"/>
    </row>
    <row r="18" ht="14.25" customHeight="1">
      <c r="A18" s="53" t="s">
        <v>29</v>
      </c>
      <c r="B18" s="54" t="s">
        <v>85</v>
      </c>
      <c r="C18" s="18"/>
      <c r="D18" s="20"/>
      <c r="E18" s="53">
        <v>4.0</v>
      </c>
      <c r="F18" s="53">
        <v>10.0</v>
      </c>
      <c r="G18" s="53"/>
      <c r="H18" s="53"/>
      <c r="I18" s="55"/>
      <c r="J18" s="9"/>
      <c r="M18" s="11" t="s">
        <v>57</v>
      </c>
      <c r="N18" s="12"/>
      <c r="O18" s="12"/>
      <c r="P18" s="12"/>
      <c r="Q18" s="12"/>
      <c r="R18" s="12"/>
      <c r="S18" s="12"/>
      <c r="T18" s="12"/>
      <c r="U18" s="12"/>
      <c r="V18" s="12"/>
      <c r="W18" s="13"/>
      <c r="Z18" s="28" t="s">
        <v>12</v>
      </c>
      <c r="AA18" s="1">
        <f>SUM(W9,W14,W20,W25,W30)</f>
        <v>40</v>
      </c>
    </row>
    <row r="19" ht="14.25" customHeight="1">
      <c r="B19" s="26"/>
      <c r="C19" s="29"/>
      <c r="D19" s="29"/>
      <c r="M19" s="25"/>
      <c r="N19" s="28" t="s">
        <v>16</v>
      </c>
      <c r="O19" s="28" t="s">
        <v>26</v>
      </c>
      <c r="P19" s="28" t="s">
        <v>27</v>
      </c>
      <c r="Q19" s="28" t="s">
        <v>28</v>
      </c>
      <c r="R19" s="28" t="s">
        <v>29</v>
      </c>
      <c r="S19" s="28" t="s">
        <v>30</v>
      </c>
      <c r="T19" s="28" t="s">
        <v>31</v>
      </c>
      <c r="U19" s="28" t="s">
        <v>32</v>
      </c>
      <c r="V19" s="28" t="s">
        <v>33</v>
      </c>
      <c r="W19" s="28" t="s">
        <v>12</v>
      </c>
    </row>
    <row r="20" ht="14.25" customHeight="1">
      <c r="M20" s="34" t="s">
        <v>36</v>
      </c>
      <c r="N20" s="35">
        <f>SUMIF($A38:$A47,"Pecho",$E38:$E47)</f>
        <v>0</v>
      </c>
      <c r="O20" s="35">
        <f>SUMIF($A38:$A47,"Espalda",$E38:$E47)</f>
        <v>8</v>
      </c>
      <c r="P20" s="35">
        <f>SUMIF($A38:$A47,"Hombros",$E38:$E47)</f>
        <v>0</v>
      </c>
      <c r="Q20" s="35">
        <f>SUMIF($A38:$A47,"Bíceps",$E38:$E47)</f>
        <v>0</v>
      </c>
      <c r="R20" s="35">
        <f>SUMIF($A38:$A47,"Tríceps",$E38:$E47)</f>
        <v>0</v>
      </c>
      <c r="S20" s="35">
        <f>SUMIF($A38:$A47,"Cuádriceps",$E38:$E47)</f>
        <v>0</v>
      </c>
      <c r="T20" s="35">
        <f>SUMIF($A38:$A47,"Isquios",$E38:$E47)</f>
        <v>7</v>
      </c>
      <c r="U20" s="35">
        <f>SUMIF($A38:$A47,"Glúteos",$E38:$E47)</f>
        <v>0</v>
      </c>
      <c r="V20" s="35">
        <f>SUMIF($A38:$A47,"Pantorrillas",$E38:$E47)</f>
        <v>0</v>
      </c>
      <c r="W20" s="35">
        <f>SUMIF($A38:$A47,"Otros",$E38:$E47)</f>
        <v>17</v>
      </c>
    </row>
    <row r="21" ht="14.25" customHeight="1">
      <c r="A21" s="2" t="s">
        <v>97</v>
      </c>
      <c r="B21" s="3"/>
      <c r="C21" s="4"/>
      <c r="J21" s="1"/>
      <c r="M21" s="34" t="s">
        <v>7</v>
      </c>
      <c r="N21" s="35" t="str">
        <f>AVERAGEIF($A38:$A47,"Pecho",$G38:$G47)</f>
        <v>#DIV/0!</v>
      </c>
      <c r="O21" s="35">
        <f>AVERAGEIF($A38:$A47,"Espalda",$G38:$G47)</f>
        <v>8</v>
      </c>
      <c r="P21" s="35" t="str">
        <f>AVERAGEIF($A38:$A47,"Hombros",$G38:$G47)</f>
        <v>#DIV/0!</v>
      </c>
      <c r="Q21" s="35" t="str">
        <f>AVERAGEIF($A38:$A47,"Bíceps",$G38:$G47)</f>
        <v>#DIV/0!</v>
      </c>
      <c r="R21" s="35" t="str">
        <f>AVERAGEIF($A38:$A47,"Tríceps",$G38:$G47)</f>
        <v>#DIV/0!</v>
      </c>
      <c r="S21" s="35" t="str">
        <f>AVERAGEIF($A38:$A47,"Cuádriceps",$G38:$G47)</f>
        <v>#DIV/0!</v>
      </c>
      <c r="T21" s="35">
        <f>AVERAGEIF($A38:$A47,"Isquios",$G38:$G47)</f>
        <v>8</v>
      </c>
      <c r="U21" s="35" t="str">
        <f>AVERAGEIF($A38:$A47,"Glúteos",$G38:$G47)</f>
        <v>#DIV/0!</v>
      </c>
      <c r="V21" s="35" t="str">
        <f>AVERAGEIF($A38:$A47,"Pantorrillas",$G38:$G47)</f>
        <v>#DIV/0!</v>
      </c>
      <c r="W21" s="35" t="str">
        <f>AVERAGEIF($A38:$A47,"Otros",$G38:$G47)</f>
        <v>#DIV/0!</v>
      </c>
    </row>
    <row r="22" ht="14.25" customHeight="1">
      <c r="A22" s="5" t="s">
        <v>2</v>
      </c>
      <c r="B22" s="7" t="s">
        <v>4</v>
      </c>
      <c r="C22" s="8"/>
      <c r="D22" s="9"/>
      <c r="E22" s="5" t="s">
        <v>5</v>
      </c>
      <c r="F22" s="5" t="s">
        <v>6</v>
      </c>
      <c r="G22" s="5" t="s">
        <v>7</v>
      </c>
      <c r="H22" s="5" t="s">
        <v>8</v>
      </c>
      <c r="I22" s="7" t="s">
        <v>9</v>
      </c>
      <c r="J22" s="9"/>
      <c r="M22" s="25"/>
      <c r="N22" s="25"/>
      <c r="O22" s="25"/>
      <c r="P22" s="25"/>
      <c r="Q22" s="25"/>
      <c r="R22" s="25"/>
      <c r="S22" s="25"/>
      <c r="T22" s="25"/>
      <c r="U22" s="25"/>
    </row>
    <row r="23" ht="14.25" customHeight="1">
      <c r="A23" s="15" t="s">
        <v>12</v>
      </c>
      <c r="B23" s="17" t="s">
        <v>99</v>
      </c>
      <c r="C23" s="18"/>
      <c r="D23" s="20"/>
      <c r="E23" s="15">
        <v>2.0</v>
      </c>
      <c r="F23" s="15">
        <v>10.0</v>
      </c>
      <c r="G23" s="15"/>
      <c r="H23" s="15"/>
      <c r="I23" s="23"/>
      <c r="J23" s="9"/>
      <c r="M23" s="11" t="s">
        <v>66</v>
      </c>
      <c r="N23" s="12"/>
      <c r="O23" s="12"/>
      <c r="P23" s="12"/>
      <c r="Q23" s="12"/>
      <c r="R23" s="12"/>
      <c r="S23" s="12"/>
      <c r="T23" s="12"/>
      <c r="U23" s="12"/>
      <c r="V23" s="12"/>
      <c r="W23" s="13"/>
    </row>
    <row r="24" ht="14.25" customHeight="1">
      <c r="A24" s="15" t="s">
        <v>12</v>
      </c>
      <c r="B24" s="17" t="s">
        <v>100</v>
      </c>
      <c r="C24" s="18"/>
      <c r="D24" s="20"/>
      <c r="E24" s="15">
        <v>2.0</v>
      </c>
      <c r="F24" s="15">
        <v>12.0</v>
      </c>
      <c r="G24" s="15"/>
      <c r="H24" s="15"/>
      <c r="I24" s="23"/>
      <c r="J24" s="9"/>
      <c r="M24" s="25"/>
      <c r="N24" s="28" t="s">
        <v>16</v>
      </c>
      <c r="O24" s="28" t="s">
        <v>26</v>
      </c>
      <c r="P24" s="28" t="s">
        <v>27</v>
      </c>
      <c r="Q24" s="28" t="s">
        <v>28</v>
      </c>
      <c r="R24" s="28" t="s">
        <v>29</v>
      </c>
      <c r="S24" s="28" t="s">
        <v>30</v>
      </c>
      <c r="T24" s="28" t="s">
        <v>31</v>
      </c>
      <c r="U24" s="28" t="s">
        <v>32</v>
      </c>
      <c r="V24" s="28" t="s">
        <v>33</v>
      </c>
      <c r="W24" s="28" t="s">
        <v>12</v>
      </c>
    </row>
    <row r="25" ht="14.25" customHeight="1">
      <c r="A25" s="15" t="s">
        <v>12</v>
      </c>
      <c r="B25" s="17" t="s">
        <v>101</v>
      </c>
      <c r="C25" s="18"/>
      <c r="D25" s="20"/>
      <c r="E25" s="15">
        <v>3.0</v>
      </c>
      <c r="F25" s="15">
        <v>10.0</v>
      </c>
      <c r="G25" s="15"/>
      <c r="H25" s="15"/>
      <c r="I25" s="23"/>
      <c r="J25" s="9"/>
      <c r="M25" s="34" t="s">
        <v>36</v>
      </c>
      <c r="N25" s="35">
        <f>SUMIF($A52:$A61,"Pecho",$E52:$E61)</f>
        <v>4</v>
      </c>
      <c r="O25" s="35">
        <f>SUMIF($A52:$A61,"Espalda",$E52:$E61)</f>
        <v>4</v>
      </c>
      <c r="P25" s="35">
        <f>SUMIF($A52:$A61,"Hombros",$E52:$E61)</f>
        <v>0</v>
      </c>
      <c r="Q25" s="35">
        <f>SUMIF($A52:$A61,"Bíceps",$E52:$E61)</f>
        <v>0</v>
      </c>
      <c r="R25" s="35">
        <f>SUMIF($A52:$A61,"Tríceps",$E52:$E61)</f>
        <v>0</v>
      </c>
      <c r="S25" s="35">
        <f>SUMIF($A52:$A61,"Cuádriceps",$E52:$E61)</f>
        <v>6</v>
      </c>
      <c r="T25" s="35">
        <f>SUMIF($A52:$A61,"Isquios",$E52:$E61)</f>
        <v>3</v>
      </c>
      <c r="U25" s="35">
        <f>SUMIF($A52:$A61,"Glúteos",$E52:$E61)</f>
        <v>3</v>
      </c>
      <c r="V25" s="35">
        <f>SUMIF($A52:$A61,"Pantorrillas",$E52:$E61)</f>
        <v>3</v>
      </c>
      <c r="W25" s="35">
        <f>SUMIF($A52:$A61,"Otros",$E52:$E61)</f>
        <v>0</v>
      </c>
    </row>
    <row r="26" ht="14.25" customHeight="1">
      <c r="A26" s="49" t="s">
        <v>30</v>
      </c>
      <c r="B26" s="50" t="s">
        <v>102</v>
      </c>
      <c r="C26" s="18"/>
      <c r="D26" s="20"/>
      <c r="E26" s="49">
        <v>4.0</v>
      </c>
      <c r="F26" s="49">
        <v>8.0</v>
      </c>
      <c r="G26" s="49" t="s">
        <v>103</v>
      </c>
      <c r="H26" s="49" t="s">
        <v>55</v>
      </c>
      <c r="I26" s="51"/>
      <c r="J26" s="9"/>
      <c r="M26" s="34" t="s">
        <v>7</v>
      </c>
      <c r="N26" s="35">
        <f>AVERAGEIF($A52:$A61,"Pecho",$G52:$G61)</f>
        <v>7</v>
      </c>
      <c r="O26" s="35">
        <f>AVERAGEIF($A52:$A61,"Espalda",$G52:$G61)</f>
        <v>8</v>
      </c>
      <c r="P26" s="35" t="str">
        <f>AVERAGEIF($A52:$A61,"Hombros",$G52:$G61)</f>
        <v>#DIV/0!</v>
      </c>
      <c r="Q26" s="35" t="str">
        <f>AVERAGEIF($A52:$A61,"Bíceps",$G52:$G61)</f>
        <v>#DIV/0!</v>
      </c>
      <c r="R26" s="35" t="str">
        <f>AVERAGEIF($A52:$A61,"Tríceps",$G52:$G61)</f>
        <v>#DIV/0!</v>
      </c>
      <c r="S26" s="35">
        <f>AVERAGEIF($A52:$A61,"Cuádriceps",$G52:$G61)</f>
        <v>6</v>
      </c>
      <c r="T26" s="35">
        <f>AVERAGEIF($A52:$A61,"Isquios",$G52:$G61)</f>
        <v>7</v>
      </c>
      <c r="U26" s="35">
        <f>AVERAGEIF($A52:$A61,"Glúteos",$G52:$G61)</f>
        <v>6</v>
      </c>
      <c r="V26" s="35">
        <f>AVERAGEIF($A52:$A61,"Pantorrillas",$G52:$G61)</f>
        <v>7</v>
      </c>
      <c r="W26" s="35" t="str">
        <f>AVERAGEIF($A52:$A61,"Otros",$G52:$G61)</f>
        <v>#DIV/0!</v>
      </c>
    </row>
    <row r="27" ht="14.25" customHeight="1">
      <c r="A27" s="49" t="s">
        <v>30</v>
      </c>
      <c r="B27" s="50" t="s">
        <v>104</v>
      </c>
      <c r="C27" s="18"/>
      <c r="D27" s="20"/>
      <c r="E27" s="49">
        <v>3.0</v>
      </c>
      <c r="F27" s="49" t="s">
        <v>105</v>
      </c>
      <c r="G27" s="49">
        <v>7.0</v>
      </c>
      <c r="H27" s="49"/>
      <c r="I27" s="51" t="s">
        <v>106</v>
      </c>
      <c r="J27" s="9"/>
      <c r="M27" s="25"/>
      <c r="N27" s="25"/>
      <c r="O27" s="25"/>
      <c r="P27" s="25"/>
      <c r="Q27" s="25"/>
      <c r="R27" s="25"/>
      <c r="S27" s="25"/>
      <c r="T27" s="25"/>
      <c r="U27" s="25"/>
    </row>
    <row r="28" ht="14.25" customHeight="1">
      <c r="A28" s="49" t="s">
        <v>32</v>
      </c>
      <c r="B28" s="50" t="s">
        <v>107</v>
      </c>
      <c r="C28" s="18"/>
      <c r="D28" s="20"/>
      <c r="E28" s="49">
        <v>4.0</v>
      </c>
      <c r="F28" s="49" t="s">
        <v>108</v>
      </c>
      <c r="G28" s="49">
        <v>8.0</v>
      </c>
      <c r="H28" s="49"/>
      <c r="I28" s="51"/>
      <c r="J28" s="9"/>
      <c r="M28" s="11" t="s">
        <v>76</v>
      </c>
      <c r="N28" s="12"/>
      <c r="O28" s="12"/>
      <c r="P28" s="12"/>
      <c r="Q28" s="12"/>
      <c r="R28" s="12"/>
      <c r="S28" s="12"/>
      <c r="T28" s="12"/>
      <c r="U28" s="12"/>
      <c r="V28" s="12"/>
      <c r="W28" s="13"/>
    </row>
    <row r="29" ht="14.25" customHeight="1">
      <c r="A29" s="15" t="s">
        <v>30</v>
      </c>
      <c r="B29" s="17" t="s">
        <v>109</v>
      </c>
      <c r="C29" s="18"/>
      <c r="D29" s="20"/>
      <c r="E29" s="15">
        <v>3.0</v>
      </c>
      <c r="F29" s="15">
        <v>8.0</v>
      </c>
      <c r="G29" s="15"/>
      <c r="H29" s="15"/>
      <c r="I29" s="23" t="s">
        <v>110</v>
      </c>
      <c r="J29" s="9"/>
      <c r="M29" s="25"/>
      <c r="N29" s="28" t="s">
        <v>16</v>
      </c>
      <c r="O29" s="28" t="s">
        <v>26</v>
      </c>
      <c r="P29" s="28" t="s">
        <v>27</v>
      </c>
      <c r="Q29" s="28" t="s">
        <v>28</v>
      </c>
      <c r="R29" s="28" t="s">
        <v>29</v>
      </c>
      <c r="S29" s="28" t="s">
        <v>30</v>
      </c>
      <c r="T29" s="28" t="s">
        <v>31</v>
      </c>
      <c r="U29" s="28" t="s">
        <v>32</v>
      </c>
      <c r="V29" s="28" t="s">
        <v>33</v>
      </c>
      <c r="W29" s="28" t="s">
        <v>12</v>
      </c>
    </row>
    <row r="30" ht="14.25" customHeight="1">
      <c r="A30" s="15" t="s">
        <v>32</v>
      </c>
      <c r="B30" s="17" t="s">
        <v>111</v>
      </c>
      <c r="C30" s="18"/>
      <c r="D30" s="20"/>
      <c r="E30" s="15">
        <v>3.0</v>
      </c>
      <c r="F30" s="15">
        <v>6.0</v>
      </c>
      <c r="G30" s="15"/>
      <c r="H30" s="15"/>
      <c r="I30" s="23"/>
      <c r="J30" s="9"/>
      <c r="M30" s="34" t="s">
        <v>36</v>
      </c>
      <c r="N30" s="35">
        <f>SUMIF($A66:$A75,"Pecho",$E66:$E75)</f>
        <v>0</v>
      </c>
      <c r="O30" s="35">
        <f>SUMIF($A66:$A75,"Espalda",$E66:$E75)</f>
        <v>0</v>
      </c>
      <c r="P30" s="35">
        <f>SUMIF($A66:$A75,"Hombros",$E66:$E75)</f>
        <v>0</v>
      </c>
      <c r="Q30" s="35">
        <f>SUMIF($A66:$A75,"Bíceps",$E66:$E75)</f>
        <v>0</v>
      </c>
      <c r="R30" s="35">
        <f>SUMIF($A66:$A75,"Tríceps",$E66:$E75)</f>
        <v>0</v>
      </c>
      <c r="S30" s="35">
        <f>SUMIF($A66:$A75,"Cuádriceps",$E66:$E75)</f>
        <v>0</v>
      </c>
      <c r="T30" s="35">
        <f>SUMIF($A66:$A75,"Isquios",$E66:$E75)</f>
        <v>0</v>
      </c>
      <c r="U30" s="35">
        <f>SUMIF($A66:$A75,"Glúteos",$E66:$E75)</f>
        <v>0</v>
      </c>
      <c r="V30" s="35">
        <f>SUMIF($A66:$A75,"Pantorrillas",$E66:$E75)</f>
        <v>0</v>
      </c>
      <c r="W30" s="35">
        <f>SUMIF($A66:$A75,"Otros",$E66:$E75)</f>
        <v>0</v>
      </c>
    </row>
    <row r="31" ht="14.25" customHeight="1">
      <c r="A31" s="15" t="s">
        <v>32</v>
      </c>
      <c r="B31" s="61" t="s">
        <v>112</v>
      </c>
      <c r="C31" s="8"/>
      <c r="D31" s="9"/>
      <c r="E31" s="15">
        <v>3.0</v>
      </c>
      <c r="F31" s="15" t="s">
        <v>71</v>
      </c>
      <c r="G31" s="15"/>
      <c r="H31" s="15"/>
      <c r="I31" s="23"/>
      <c r="J31" s="9"/>
      <c r="M31" s="34" t="s">
        <v>7</v>
      </c>
      <c r="N31" s="35">
        <f>AVERAGEIF($A66:$A75,"Pecho",$G66:$G75)</f>
        <v>6</v>
      </c>
      <c r="O31" s="35" t="str">
        <f>AVERAGEIF($A66:$A75,"Espalda",$G66:$G75)</f>
        <v>#DIV/0!</v>
      </c>
      <c r="P31" s="35" t="str">
        <f>AVERAGEIF($A66:$A75,"Hombros",$G66:$G75)</f>
        <v>#DIV/0!</v>
      </c>
      <c r="Q31" s="35">
        <f>AVERAGEIF($A66:$A75,"Bíceps",$G66:$G75)</f>
        <v>7</v>
      </c>
      <c r="R31" s="35" t="str">
        <f>AVERAGEIF($A66:$A75,"Tríceps",$G66:$G75)</f>
        <v>#DIV/0!</v>
      </c>
      <c r="S31" s="35" t="str">
        <f>AVERAGEIF($A66:$A75,"Cuádriceps",$G66:$G75)</f>
        <v>#DIV/0!</v>
      </c>
      <c r="T31" s="35">
        <f>AVERAGEIF($A66:$A75,"Isquios",$G66:$G75)</f>
        <v>6</v>
      </c>
      <c r="U31" s="35" t="str">
        <f>AVERAGEIF($A66:$A75,"Glúteos",$G66:$G75)</f>
        <v>#DIV/0!</v>
      </c>
      <c r="V31" s="35">
        <f>AVERAGEIF($A66:$A75,"Pantorrillas",$G66:$G75)</f>
        <v>7</v>
      </c>
      <c r="W31" s="35" t="str">
        <f>AVERAGEIF($A66:$A75,"Otros",$G66:$G75)</f>
        <v>#DIV/0!</v>
      </c>
    </row>
    <row r="32" ht="14.25" customHeight="1">
      <c r="A32" s="49" t="s">
        <v>113</v>
      </c>
      <c r="B32" s="62" t="s">
        <v>114</v>
      </c>
      <c r="C32" s="8"/>
      <c r="D32" s="9"/>
      <c r="E32" s="49">
        <v>3.0</v>
      </c>
      <c r="F32" s="49" t="s">
        <v>65</v>
      </c>
      <c r="G32" s="49"/>
      <c r="H32" s="49"/>
      <c r="I32" s="63"/>
      <c r="J32" s="64"/>
      <c r="M32" s="65"/>
      <c r="N32" s="25"/>
      <c r="O32" s="25"/>
      <c r="P32" s="25"/>
      <c r="Q32" s="25"/>
      <c r="R32" s="25"/>
      <c r="S32" s="25"/>
      <c r="T32" s="25"/>
      <c r="U32" s="25"/>
      <c r="V32" s="25"/>
      <c r="W32" s="25"/>
    </row>
    <row r="33" ht="14.25" customHeight="1">
      <c r="A33" s="49" t="s">
        <v>113</v>
      </c>
      <c r="B33" s="66" t="s">
        <v>115</v>
      </c>
      <c r="C33" s="8"/>
      <c r="D33" s="9"/>
      <c r="E33" s="49">
        <v>5.0</v>
      </c>
      <c r="F33" s="49"/>
      <c r="G33" s="49"/>
      <c r="H33" s="49"/>
      <c r="I33" s="51" t="s">
        <v>116</v>
      </c>
      <c r="J33" s="9"/>
    </row>
    <row r="34" ht="14.25" customHeight="1">
      <c r="B34" s="26"/>
      <c r="C34" s="29"/>
      <c r="D34" s="29"/>
    </row>
    <row r="35" ht="14.25" customHeight="1"/>
    <row r="36" ht="14.25" customHeight="1">
      <c r="A36" s="2" t="s">
        <v>117</v>
      </c>
      <c r="B36" s="3"/>
      <c r="C36" s="4"/>
      <c r="J36" s="1"/>
    </row>
    <row r="37" ht="14.25" customHeight="1">
      <c r="A37" s="5" t="s">
        <v>2</v>
      </c>
      <c r="B37" s="7" t="s">
        <v>4</v>
      </c>
      <c r="C37" s="8"/>
      <c r="D37" s="9"/>
      <c r="E37" s="5" t="s">
        <v>5</v>
      </c>
      <c r="F37" s="5" t="s">
        <v>6</v>
      </c>
      <c r="G37" s="5" t="s">
        <v>7</v>
      </c>
      <c r="H37" s="5" t="s">
        <v>8</v>
      </c>
      <c r="I37" s="7" t="s">
        <v>9</v>
      </c>
      <c r="J37" s="9"/>
    </row>
    <row r="38" ht="14.25" customHeight="1">
      <c r="A38" s="53" t="s">
        <v>12</v>
      </c>
      <c r="B38" s="54" t="s">
        <v>13</v>
      </c>
      <c r="C38" s="18"/>
      <c r="D38" s="20"/>
      <c r="E38" s="53">
        <v>2.0</v>
      </c>
      <c r="F38" s="53">
        <v>10.0</v>
      </c>
      <c r="G38" s="53"/>
      <c r="H38" s="53"/>
      <c r="I38" s="55"/>
      <c r="J38" s="9"/>
    </row>
    <row r="39" ht="14.25" customHeight="1">
      <c r="A39" s="53" t="s">
        <v>12</v>
      </c>
      <c r="B39" s="54" t="s">
        <v>118</v>
      </c>
      <c r="C39" s="18"/>
      <c r="D39" s="20"/>
      <c r="E39" s="53">
        <v>3.0</v>
      </c>
      <c r="F39" s="53" t="s">
        <v>65</v>
      </c>
      <c r="G39" s="53"/>
      <c r="H39" s="53"/>
      <c r="I39" s="55"/>
      <c r="J39" s="9"/>
    </row>
    <row r="40" ht="14.25" customHeight="1">
      <c r="A40" s="53" t="s">
        <v>12</v>
      </c>
      <c r="B40" s="54" t="s">
        <v>119</v>
      </c>
      <c r="C40" s="18"/>
      <c r="D40" s="20"/>
      <c r="E40" s="53">
        <v>3.0</v>
      </c>
      <c r="F40" s="53" t="s">
        <v>71</v>
      </c>
      <c r="G40" s="53"/>
      <c r="H40" s="53"/>
      <c r="I40" s="55"/>
      <c r="J40" s="9"/>
    </row>
    <row r="41" ht="14.25" customHeight="1">
      <c r="A41" s="49" t="s">
        <v>31</v>
      </c>
      <c r="B41" s="50" t="s">
        <v>120</v>
      </c>
      <c r="C41" s="18"/>
      <c r="D41" s="20"/>
      <c r="E41" s="49">
        <v>4.0</v>
      </c>
      <c r="F41" s="49">
        <v>8.0</v>
      </c>
      <c r="G41" s="49">
        <v>8.0</v>
      </c>
      <c r="H41" s="49" t="s">
        <v>55</v>
      </c>
      <c r="I41" s="51"/>
      <c r="J41" s="9"/>
    </row>
    <row r="42" ht="14.25" customHeight="1">
      <c r="A42" s="49" t="s">
        <v>26</v>
      </c>
      <c r="B42" s="50" t="s">
        <v>121</v>
      </c>
      <c r="C42" s="18"/>
      <c r="D42" s="20"/>
      <c r="E42" s="49">
        <v>4.0</v>
      </c>
      <c r="F42" s="49">
        <v>10.0</v>
      </c>
      <c r="G42" s="49">
        <v>8.0</v>
      </c>
      <c r="H42" s="49"/>
      <c r="I42" s="51"/>
      <c r="J42" s="9"/>
    </row>
    <row r="43" ht="14.25" customHeight="1">
      <c r="A43" s="53" t="s">
        <v>31</v>
      </c>
      <c r="B43" s="54" t="s">
        <v>122</v>
      </c>
      <c r="C43" s="18"/>
      <c r="D43" s="20"/>
      <c r="E43" s="53">
        <v>3.0</v>
      </c>
      <c r="F43" s="53">
        <v>8.0</v>
      </c>
      <c r="G43" s="53"/>
      <c r="H43" s="53"/>
      <c r="I43" s="55"/>
      <c r="J43" s="9"/>
    </row>
    <row r="44" ht="14.25" customHeight="1">
      <c r="A44" s="53" t="s">
        <v>26</v>
      </c>
      <c r="B44" s="54" t="s">
        <v>124</v>
      </c>
      <c r="C44" s="18"/>
      <c r="D44" s="20"/>
      <c r="E44" s="53">
        <v>4.0</v>
      </c>
      <c r="F44" s="53">
        <v>10.0</v>
      </c>
      <c r="G44" s="53"/>
      <c r="H44" s="53"/>
      <c r="I44" s="55"/>
      <c r="J44" s="9"/>
    </row>
    <row r="45" ht="14.25" customHeight="1">
      <c r="A45" s="15" t="s">
        <v>113</v>
      </c>
      <c r="B45" s="17" t="s">
        <v>126</v>
      </c>
      <c r="C45" s="18"/>
      <c r="D45" s="20"/>
      <c r="E45" s="15">
        <v>3.0</v>
      </c>
      <c r="F45" s="15">
        <v>15.0</v>
      </c>
      <c r="G45" s="15"/>
      <c r="H45" s="15"/>
      <c r="I45" s="23"/>
      <c r="J45" s="9"/>
    </row>
    <row r="46" ht="14.25" customHeight="1">
      <c r="A46" s="15" t="s">
        <v>113</v>
      </c>
      <c r="B46" s="17" t="s">
        <v>127</v>
      </c>
      <c r="C46" s="18"/>
      <c r="D46" s="20"/>
      <c r="E46" s="15">
        <v>3.0</v>
      </c>
      <c r="F46" s="15" t="s">
        <v>128</v>
      </c>
      <c r="G46" s="15"/>
      <c r="H46" s="15"/>
      <c r="I46" s="23"/>
      <c r="J46" s="9"/>
    </row>
    <row r="47" ht="14.25" customHeight="1">
      <c r="A47" s="15" t="s">
        <v>113</v>
      </c>
      <c r="B47" s="61" t="s">
        <v>129</v>
      </c>
      <c r="C47" s="8"/>
      <c r="D47" s="9"/>
      <c r="E47" s="15">
        <v>3.0</v>
      </c>
      <c r="F47" s="15">
        <v>12.0</v>
      </c>
      <c r="G47" s="15"/>
      <c r="H47" s="15"/>
      <c r="I47" s="23"/>
      <c r="J47" s="9"/>
    </row>
    <row r="48" ht="14.25" customHeight="1">
      <c r="B48" s="26"/>
      <c r="C48" s="29"/>
      <c r="D48" s="29"/>
    </row>
    <row r="49" ht="14.25" customHeight="1"/>
    <row r="50" ht="14.25" customHeight="1">
      <c r="A50" s="2" t="s">
        <v>132</v>
      </c>
      <c r="B50" s="3"/>
      <c r="C50" s="4"/>
      <c r="J50" s="1"/>
    </row>
    <row r="51" ht="14.25" customHeight="1">
      <c r="A51" s="5" t="s">
        <v>2</v>
      </c>
      <c r="B51" s="7" t="s">
        <v>4</v>
      </c>
      <c r="C51" s="8"/>
      <c r="D51" s="9"/>
      <c r="E51" s="5" t="s">
        <v>5</v>
      </c>
      <c r="F51" s="5" t="s">
        <v>6</v>
      </c>
      <c r="G51" s="5" t="s">
        <v>7</v>
      </c>
      <c r="H51" s="5" t="s">
        <v>8</v>
      </c>
      <c r="I51" s="7" t="s">
        <v>9</v>
      </c>
      <c r="J51" s="9"/>
    </row>
    <row r="52" ht="14.25" customHeight="1">
      <c r="A52" s="15" t="s">
        <v>113</v>
      </c>
      <c r="B52" s="17" t="s">
        <v>134</v>
      </c>
      <c r="C52" s="18"/>
      <c r="D52" s="20"/>
      <c r="E52" s="15"/>
      <c r="F52" s="15"/>
      <c r="G52" s="15"/>
      <c r="H52" s="15"/>
      <c r="I52" s="23"/>
      <c r="J52" s="9"/>
    </row>
    <row r="53" ht="14.25" customHeight="1">
      <c r="A53" s="15" t="s">
        <v>113</v>
      </c>
      <c r="B53" s="17" t="s">
        <v>136</v>
      </c>
      <c r="C53" s="18"/>
      <c r="D53" s="20"/>
      <c r="E53" s="15"/>
      <c r="F53" s="15"/>
      <c r="G53" s="15"/>
      <c r="H53" s="15"/>
      <c r="I53" s="23"/>
      <c r="J53" s="9"/>
    </row>
    <row r="54" ht="14.25" customHeight="1">
      <c r="A54" s="15" t="s">
        <v>12</v>
      </c>
      <c r="B54" s="17" t="s">
        <v>137</v>
      </c>
      <c r="C54" s="18"/>
      <c r="D54" s="20"/>
      <c r="E54" s="15"/>
      <c r="F54" s="15">
        <v>10.0</v>
      </c>
      <c r="G54" s="15"/>
      <c r="H54" s="15"/>
      <c r="I54" s="23"/>
      <c r="J54" s="9"/>
    </row>
    <row r="55" ht="14.25" customHeight="1">
      <c r="A55" s="49" t="s">
        <v>16</v>
      </c>
      <c r="B55" s="50" t="s">
        <v>139</v>
      </c>
      <c r="C55" s="18"/>
      <c r="D55" s="20"/>
      <c r="E55" s="49">
        <v>4.0</v>
      </c>
      <c r="F55" s="49">
        <v>10.0</v>
      </c>
      <c r="G55" s="49">
        <v>7.0</v>
      </c>
      <c r="H55" s="49"/>
      <c r="I55" s="51"/>
      <c r="J55" s="9"/>
    </row>
    <row r="56" ht="14.25" customHeight="1">
      <c r="A56" s="49" t="s">
        <v>26</v>
      </c>
      <c r="B56" s="50" t="s">
        <v>142</v>
      </c>
      <c r="C56" s="18"/>
      <c r="D56" s="20"/>
      <c r="E56" s="49">
        <v>4.0</v>
      </c>
      <c r="F56" s="49" t="s">
        <v>143</v>
      </c>
      <c r="G56" s="49">
        <v>8.0</v>
      </c>
      <c r="H56" s="49"/>
      <c r="I56" s="51"/>
      <c r="J56" s="9"/>
    </row>
    <row r="57" ht="14.25" customHeight="1">
      <c r="A57" s="68" t="s">
        <v>30</v>
      </c>
      <c r="B57" s="69" t="s">
        <v>145</v>
      </c>
      <c r="C57" s="18"/>
      <c r="D57" s="20"/>
      <c r="E57" s="68">
        <v>3.0</v>
      </c>
      <c r="F57" s="68">
        <v>10.0</v>
      </c>
      <c r="G57" s="68">
        <v>6.0</v>
      </c>
      <c r="H57" s="68"/>
      <c r="I57" s="71"/>
      <c r="J57" s="9"/>
    </row>
    <row r="58" ht="14.25" customHeight="1">
      <c r="A58" s="68" t="s">
        <v>32</v>
      </c>
      <c r="B58" s="69" t="s">
        <v>148</v>
      </c>
      <c r="C58" s="18"/>
      <c r="D58" s="20"/>
      <c r="E58" s="68">
        <v>3.0</v>
      </c>
      <c r="F58" s="68">
        <v>10.0</v>
      </c>
      <c r="G58" s="68">
        <v>6.0</v>
      </c>
      <c r="H58" s="68"/>
      <c r="I58" s="71" t="s">
        <v>149</v>
      </c>
      <c r="J58" s="9"/>
    </row>
    <row r="59" ht="14.25" customHeight="1">
      <c r="A59" s="15" t="s">
        <v>30</v>
      </c>
      <c r="B59" s="17" t="s">
        <v>151</v>
      </c>
      <c r="C59" s="18"/>
      <c r="D59" s="20"/>
      <c r="E59" s="15">
        <v>3.0</v>
      </c>
      <c r="F59" s="15">
        <v>8.0</v>
      </c>
      <c r="G59" s="15">
        <v>6.0</v>
      </c>
      <c r="H59" s="15" t="s">
        <v>154</v>
      </c>
      <c r="I59" s="23" t="s">
        <v>155</v>
      </c>
      <c r="J59" s="9"/>
    </row>
    <row r="60" ht="14.25" customHeight="1">
      <c r="A60" s="15" t="s">
        <v>31</v>
      </c>
      <c r="B60" s="17" t="s">
        <v>156</v>
      </c>
      <c r="C60" s="18"/>
      <c r="D60" s="20"/>
      <c r="E60" s="15">
        <v>3.0</v>
      </c>
      <c r="F60" s="15">
        <v>2.0</v>
      </c>
      <c r="G60" s="15">
        <v>7.0</v>
      </c>
      <c r="H60" s="15"/>
      <c r="I60" s="23"/>
      <c r="J60" s="9"/>
    </row>
    <row r="61" ht="14.25" customHeight="1">
      <c r="A61" s="15" t="s">
        <v>33</v>
      </c>
      <c r="B61" s="61" t="s">
        <v>158</v>
      </c>
      <c r="C61" s="8"/>
      <c r="D61" s="9"/>
      <c r="E61" s="15">
        <v>3.0</v>
      </c>
      <c r="F61" s="15">
        <v>6.0</v>
      </c>
      <c r="G61" s="15">
        <v>7.0</v>
      </c>
      <c r="H61" s="15"/>
      <c r="I61" s="23"/>
      <c r="J61" s="9"/>
    </row>
    <row r="62" ht="14.25" customHeight="1">
      <c r="B62" s="26"/>
      <c r="C62" s="29"/>
      <c r="D62" s="29"/>
    </row>
    <row r="63" ht="14.25" customHeight="1"/>
    <row r="64" ht="14.25" customHeight="1">
      <c r="A64" s="2" t="s">
        <v>160</v>
      </c>
      <c r="B64" s="3"/>
      <c r="C64" s="4"/>
      <c r="D64" s="82" t="s">
        <v>161</v>
      </c>
      <c r="J64" s="1"/>
    </row>
    <row r="65" ht="14.25" customHeight="1">
      <c r="A65" s="5" t="s">
        <v>2</v>
      </c>
      <c r="B65" s="7" t="s">
        <v>4</v>
      </c>
      <c r="C65" s="8"/>
      <c r="D65" s="9"/>
      <c r="E65" s="5" t="s">
        <v>5</v>
      </c>
      <c r="F65" s="5" t="s">
        <v>6</v>
      </c>
      <c r="G65" s="5" t="s">
        <v>7</v>
      </c>
      <c r="H65" s="5" t="s">
        <v>8</v>
      </c>
      <c r="I65" s="7" t="s">
        <v>9</v>
      </c>
      <c r="J65" s="9"/>
    </row>
    <row r="66" ht="14.25" customHeight="1">
      <c r="A66" s="83" t="s">
        <v>113</v>
      </c>
      <c r="B66" s="85" t="s">
        <v>163</v>
      </c>
      <c r="C66" s="18"/>
      <c r="D66" s="20"/>
      <c r="E66" s="83"/>
      <c r="F66" s="83">
        <v>10.0</v>
      </c>
      <c r="G66" s="83"/>
      <c r="H66" s="83"/>
      <c r="I66" s="86"/>
      <c r="J66" s="9"/>
    </row>
    <row r="67" ht="14.25" customHeight="1">
      <c r="A67" s="83" t="s">
        <v>113</v>
      </c>
      <c r="B67" s="85" t="s">
        <v>166</v>
      </c>
      <c r="C67" s="18"/>
      <c r="D67" s="20"/>
      <c r="E67" s="83"/>
      <c r="F67" s="83"/>
      <c r="G67" s="83"/>
      <c r="H67" s="83"/>
      <c r="I67" s="86"/>
      <c r="J67" s="9"/>
    </row>
    <row r="68" ht="14.25" customHeight="1">
      <c r="A68" s="83" t="s">
        <v>113</v>
      </c>
      <c r="B68" s="85" t="s">
        <v>169</v>
      </c>
      <c r="C68" s="18"/>
      <c r="D68" s="20"/>
      <c r="E68" s="83"/>
      <c r="F68" s="83"/>
      <c r="G68" s="83"/>
      <c r="H68" s="83"/>
      <c r="I68" s="86"/>
      <c r="J68" s="9"/>
    </row>
    <row r="69" ht="14.25" customHeight="1">
      <c r="A69" s="49" t="s">
        <v>31</v>
      </c>
      <c r="B69" s="50" t="s">
        <v>173</v>
      </c>
      <c r="C69" s="18"/>
      <c r="D69" s="20"/>
      <c r="E69" s="49"/>
      <c r="F69" s="49">
        <v>8.0</v>
      </c>
      <c r="G69" s="49">
        <v>6.0</v>
      </c>
      <c r="H69" s="49"/>
      <c r="I69" s="51"/>
      <c r="J69" s="9"/>
    </row>
    <row r="70" ht="14.25" customHeight="1">
      <c r="A70" s="49" t="s">
        <v>31</v>
      </c>
      <c r="B70" s="50" t="s">
        <v>176</v>
      </c>
      <c r="C70" s="18"/>
      <c r="D70" s="20"/>
      <c r="E70" s="49"/>
      <c r="F70" s="49">
        <v>6.0</v>
      </c>
      <c r="G70" s="49">
        <v>6.0</v>
      </c>
      <c r="H70" s="49"/>
      <c r="I70" s="51"/>
      <c r="J70" s="9"/>
    </row>
    <row r="71" ht="14.25" customHeight="1">
      <c r="A71" s="68" t="s">
        <v>16</v>
      </c>
      <c r="B71" s="69" t="s">
        <v>179</v>
      </c>
      <c r="C71" s="18"/>
      <c r="D71" s="20"/>
      <c r="E71" s="68"/>
      <c r="F71" s="68">
        <v>10.0</v>
      </c>
      <c r="G71" s="68">
        <v>6.0</v>
      </c>
      <c r="H71" s="68"/>
      <c r="I71" s="71"/>
      <c r="J71" s="9"/>
    </row>
    <row r="72" ht="14.25" customHeight="1">
      <c r="A72" s="68" t="s">
        <v>16</v>
      </c>
      <c r="B72" s="69" t="s">
        <v>181</v>
      </c>
      <c r="C72" s="18"/>
      <c r="D72" s="20"/>
      <c r="E72" s="68"/>
      <c r="F72" s="68">
        <v>10.0</v>
      </c>
      <c r="G72" s="68">
        <v>6.0</v>
      </c>
      <c r="H72" s="68"/>
      <c r="I72" s="71"/>
      <c r="J72" s="9"/>
    </row>
    <row r="73" ht="14.25" customHeight="1">
      <c r="A73" s="15" t="s">
        <v>28</v>
      </c>
      <c r="B73" s="17" t="s">
        <v>182</v>
      </c>
      <c r="C73" s="18"/>
      <c r="D73" s="20"/>
      <c r="E73" s="15"/>
      <c r="F73" s="15">
        <v>10.0</v>
      </c>
      <c r="G73" s="15">
        <v>7.0</v>
      </c>
      <c r="H73" s="15"/>
      <c r="I73" s="23"/>
      <c r="J73" s="9"/>
    </row>
    <row r="74" ht="14.25" customHeight="1">
      <c r="A74" s="15" t="s">
        <v>33</v>
      </c>
      <c r="B74" s="17" t="s">
        <v>183</v>
      </c>
      <c r="C74" s="18"/>
      <c r="D74" s="20"/>
      <c r="E74" s="15"/>
      <c r="F74" s="15">
        <v>12.0</v>
      </c>
      <c r="G74" s="15">
        <v>7.0</v>
      </c>
      <c r="H74" s="15"/>
      <c r="I74" s="23"/>
      <c r="J74" s="9"/>
    </row>
    <row r="75" ht="14.25" customHeight="1">
      <c r="A75" s="15" t="s">
        <v>32</v>
      </c>
      <c r="B75" s="61" t="s">
        <v>185</v>
      </c>
      <c r="C75" s="8"/>
      <c r="D75" s="9"/>
      <c r="E75" s="15"/>
      <c r="F75" s="15" t="s">
        <v>178</v>
      </c>
      <c r="G75" s="15"/>
      <c r="H75" s="15"/>
      <c r="I75" s="23"/>
      <c r="J75" s="9"/>
    </row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7">
    <mergeCell ref="I27:J27"/>
    <mergeCell ref="I28:J28"/>
    <mergeCell ref="I11:J11"/>
    <mergeCell ref="I13:J13"/>
    <mergeCell ref="I22:J22"/>
    <mergeCell ref="I23:J23"/>
    <mergeCell ref="I24:J24"/>
    <mergeCell ref="I25:J25"/>
    <mergeCell ref="I26:J26"/>
    <mergeCell ref="A6:C6"/>
    <mergeCell ref="B7:D7"/>
    <mergeCell ref="I7:J7"/>
    <mergeCell ref="M7:W7"/>
    <mergeCell ref="Z7:AB7"/>
    <mergeCell ref="B8:D8"/>
    <mergeCell ref="B9:D9"/>
    <mergeCell ref="I12:J12"/>
    <mergeCell ref="M12:W12"/>
    <mergeCell ref="I8:J8"/>
    <mergeCell ref="I9:J9"/>
    <mergeCell ref="B10:D10"/>
    <mergeCell ref="I10:J10"/>
    <mergeCell ref="B11:D11"/>
    <mergeCell ref="B12:D12"/>
    <mergeCell ref="B13:D13"/>
    <mergeCell ref="I16:J16"/>
    <mergeCell ref="I18:J18"/>
    <mergeCell ref="M18:W18"/>
    <mergeCell ref="M23:W23"/>
    <mergeCell ref="B14:D14"/>
    <mergeCell ref="I14:J14"/>
    <mergeCell ref="B15:D15"/>
    <mergeCell ref="I15:J15"/>
    <mergeCell ref="B16:D16"/>
    <mergeCell ref="B17:D17"/>
    <mergeCell ref="B18:D18"/>
    <mergeCell ref="B27:D27"/>
    <mergeCell ref="B28:D28"/>
    <mergeCell ref="M28:W28"/>
    <mergeCell ref="I29:J29"/>
    <mergeCell ref="B19:D19"/>
    <mergeCell ref="A21:C21"/>
    <mergeCell ref="B22:D22"/>
    <mergeCell ref="B23:D23"/>
    <mergeCell ref="B24:D24"/>
    <mergeCell ref="B25:D25"/>
    <mergeCell ref="B26:D26"/>
    <mergeCell ref="B51:D51"/>
    <mergeCell ref="B52:D52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62:D62"/>
    <mergeCell ref="A64:C64"/>
    <mergeCell ref="B65:D65"/>
    <mergeCell ref="B73:D73"/>
    <mergeCell ref="B74:D74"/>
    <mergeCell ref="B75:D75"/>
    <mergeCell ref="B66:D66"/>
    <mergeCell ref="B67:D67"/>
    <mergeCell ref="B68:D68"/>
    <mergeCell ref="B69:D69"/>
    <mergeCell ref="B70:D70"/>
    <mergeCell ref="B71:D71"/>
    <mergeCell ref="B72:D72"/>
    <mergeCell ref="I71:J71"/>
    <mergeCell ref="I72:J72"/>
    <mergeCell ref="I73:J73"/>
    <mergeCell ref="I74:J74"/>
    <mergeCell ref="I75:J75"/>
    <mergeCell ref="I61:J61"/>
    <mergeCell ref="I65:J65"/>
    <mergeCell ref="I66:J66"/>
    <mergeCell ref="I67:J67"/>
    <mergeCell ref="I68:J68"/>
    <mergeCell ref="I69:J69"/>
    <mergeCell ref="I70:J70"/>
    <mergeCell ref="B29:D29"/>
    <mergeCell ref="B30:D30"/>
    <mergeCell ref="I30:J30"/>
    <mergeCell ref="B31:D31"/>
    <mergeCell ref="I31:J31"/>
    <mergeCell ref="B32:D32"/>
    <mergeCell ref="I33:J33"/>
    <mergeCell ref="I38:J38"/>
    <mergeCell ref="I39:J39"/>
    <mergeCell ref="B33:D33"/>
    <mergeCell ref="B34:D34"/>
    <mergeCell ref="A36:C36"/>
    <mergeCell ref="B37:D37"/>
    <mergeCell ref="I37:J37"/>
    <mergeCell ref="B38:D38"/>
    <mergeCell ref="B39:D39"/>
    <mergeCell ref="B40:D40"/>
    <mergeCell ref="I40:J40"/>
    <mergeCell ref="B41:D41"/>
    <mergeCell ref="I41:J41"/>
    <mergeCell ref="B42:D42"/>
    <mergeCell ref="I42:J42"/>
    <mergeCell ref="I43:J43"/>
    <mergeCell ref="B43:D43"/>
    <mergeCell ref="B44:D44"/>
    <mergeCell ref="B45:D45"/>
    <mergeCell ref="B46:D46"/>
    <mergeCell ref="B47:D47"/>
    <mergeCell ref="B48:D48"/>
    <mergeCell ref="A50:C50"/>
    <mergeCell ref="I44:J44"/>
    <mergeCell ref="I45:J45"/>
    <mergeCell ref="I46:J46"/>
    <mergeCell ref="I47:J47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60:J60"/>
  </mergeCells>
  <dataValidations>
    <dataValidation type="list" allowBlank="1" showErrorMessage="1" sqref="A8:A18 A23:A33 A38:A47 A52:A61 A66:A75">
      <formula1>Datos!$D$2:$D$11</formula1>
    </dataValidation>
    <dataValidation type="list" allowBlank="1" showErrorMessage="1" sqref="J5">
      <formula1>Datos!$B$2:$B$12</formula1>
    </dataValidation>
    <dataValidation type="list" allowBlank="1" showErrorMessage="1" sqref="J6 J21 J36 J50 J64">
      <formula1>Datos!$D$2:$D$14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10.71"/>
    <col customWidth="1" min="24" max="24" width="7.86"/>
    <col customWidth="1" min="25" max="25" width="15.43"/>
    <col customWidth="1" min="26" max="28" width="10.71"/>
  </cols>
  <sheetData>
    <row r="1" ht="14.25" customHeight="1"/>
    <row r="2" ht="14.25" customHeight="1"/>
    <row r="3" ht="14.25" customHeight="1"/>
    <row r="4" ht="14.25" customHeight="1"/>
    <row r="5" ht="14.25" customHeight="1">
      <c r="J5" s="1"/>
    </row>
    <row r="6" ht="14.25" customHeight="1">
      <c r="A6" s="2" t="s">
        <v>1</v>
      </c>
      <c r="B6" s="3"/>
      <c r="C6" s="4"/>
      <c r="J6" s="1"/>
    </row>
    <row r="7" ht="14.25" customHeight="1">
      <c r="A7" s="5" t="s">
        <v>2</v>
      </c>
      <c r="B7" s="7" t="s">
        <v>4</v>
      </c>
      <c r="C7" s="8"/>
      <c r="D7" s="9"/>
      <c r="E7" s="5" t="s">
        <v>5</v>
      </c>
      <c r="F7" s="5" t="s">
        <v>6</v>
      </c>
      <c r="G7" s="5" t="s">
        <v>7</v>
      </c>
      <c r="H7" s="5" t="s">
        <v>8</v>
      </c>
      <c r="I7" s="7" t="s">
        <v>9</v>
      </c>
      <c r="J7" s="9"/>
      <c r="M7" s="11" t="s">
        <v>0</v>
      </c>
      <c r="N7" s="12"/>
      <c r="O7" s="12"/>
      <c r="P7" s="12"/>
      <c r="Q7" s="12"/>
      <c r="R7" s="12"/>
      <c r="S7" s="12"/>
      <c r="T7" s="12"/>
      <c r="U7" s="12"/>
      <c r="V7" s="12"/>
      <c r="W7" s="13"/>
      <c r="Y7" s="1"/>
      <c r="Z7" s="14" t="s">
        <v>10</v>
      </c>
      <c r="AA7" s="12"/>
      <c r="AB7" s="13"/>
    </row>
    <row r="8" ht="14.25" customHeight="1">
      <c r="A8" s="15" t="s">
        <v>12</v>
      </c>
      <c r="B8" s="17" t="s">
        <v>13</v>
      </c>
      <c r="C8" s="18"/>
      <c r="D8" s="20"/>
      <c r="E8" s="15">
        <v>2.0</v>
      </c>
      <c r="F8" s="15">
        <v>10.0</v>
      </c>
      <c r="G8" s="15"/>
      <c r="H8" s="15"/>
      <c r="I8" s="23" t="s">
        <v>15</v>
      </c>
      <c r="J8" s="9"/>
      <c r="M8" s="25"/>
      <c r="N8" s="28" t="s">
        <v>16</v>
      </c>
      <c r="O8" s="28" t="s">
        <v>26</v>
      </c>
      <c r="P8" s="28" t="s">
        <v>27</v>
      </c>
      <c r="Q8" s="28" t="s">
        <v>28</v>
      </c>
      <c r="R8" s="28" t="s">
        <v>29</v>
      </c>
      <c r="S8" s="28" t="s">
        <v>30</v>
      </c>
      <c r="T8" s="28" t="s">
        <v>31</v>
      </c>
      <c r="U8" s="28" t="s">
        <v>32</v>
      </c>
      <c r="V8" s="28" t="s">
        <v>33</v>
      </c>
      <c r="W8" s="28" t="s">
        <v>12</v>
      </c>
      <c r="Z8" s="28" t="s">
        <v>16</v>
      </c>
      <c r="AA8" s="1">
        <f>SUM(N9,N15,N21,N27,N32)</f>
        <v>11</v>
      </c>
    </row>
    <row r="9" ht="14.25" customHeight="1">
      <c r="A9" s="15" t="s">
        <v>12</v>
      </c>
      <c r="B9" s="17" t="s">
        <v>37</v>
      </c>
      <c r="C9" s="18"/>
      <c r="D9" s="20"/>
      <c r="E9" s="15">
        <v>3.0</v>
      </c>
      <c r="F9" s="15">
        <v>12.0</v>
      </c>
      <c r="G9" s="15"/>
      <c r="H9" s="15"/>
      <c r="I9" s="23"/>
      <c r="J9" s="9"/>
      <c r="M9" s="34" t="s">
        <v>36</v>
      </c>
      <c r="N9" s="37">
        <f>SUMIF(A8:A19,"Pecho",E8:E19)</f>
        <v>4</v>
      </c>
      <c r="O9" s="37">
        <f>SUMIF(A8:A19,"Espalda",E8:E19)</f>
        <v>0</v>
      </c>
      <c r="P9" s="37">
        <f>SUMIF($A8:$A19,"Hombros",$E8:$E19)</f>
        <v>8</v>
      </c>
      <c r="Q9" s="37">
        <f>SUMIF($A8:$A19,"Bíceps",$E8:$E19)</f>
        <v>3</v>
      </c>
      <c r="R9" s="37">
        <f>SUMIF($A8:$A19,"Tríceps",$E8:$E19)</f>
        <v>4</v>
      </c>
      <c r="S9" s="38">
        <f>SUMIF(A8:A19,"Cuádriceps",E8:E19)</f>
        <v>9</v>
      </c>
      <c r="T9" s="37">
        <f>SUMIF($A8:$A19,"Isquios",$E8:$E19)</f>
        <v>0</v>
      </c>
      <c r="U9" s="37">
        <f>SUMIF($A8:$A19,"Glúteos",$E8:$E19)</f>
        <v>0</v>
      </c>
      <c r="V9" s="37">
        <f>SUMIF($A8:$A19,"Pantorrillas",$E8:$E19)</f>
        <v>0</v>
      </c>
      <c r="W9" s="37">
        <f>SUMIF($A8:$A19,"Otros",$E8:$E19)</f>
        <v>11</v>
      </c>
      <c r="Z9" s="28" t="s">
        <v>26</v>
      </c>
      <c r="AA9" s="1">
        <f>SUM(O9,O15,O21,O27,O32)</f>
        <v>12</v>
      </c>
    </row>
    <row r="10" ht="14.25" customHeight="1">
      <c r="A10" s="15" t="s">
        <v>113</v>
      </c>
      <c r="B10" s="61" t="s">
        <v>781</v>
      </c>
      <c r="C10" s="8"/>
      <c r="D10" s="9"/>
      <c r="E10" s="15">
        <v>3.0</v>
      </c>
      <c r="F10" s="15">
        <v>10.0</v>
      </c>
      <c r="G10" s="15"/>
      <c r="H10" s="15"/>
      <c r="I10" s="217"/>
      <c r="J10" s="218"/>
      <c r="M10" s="34"/>
      <c r="N10" s="37"/>
      <c r="O10" s="37"/>
      <c r="P10" s="37"/>
      <c r="Q10" s="37"/>
      <c r="R10" s="37"/>
      <c r="S10" s="38"/>
      <c r="T10" s="37"/>
      <c r="U10" s="37"/>
      <c r="V10" s="37"/>
      <c r="W10" s="37"/>
      <c r="Z10" s="28"/>
      <c r="AA10" s="1"/>
    </row>
    <row r="11" ht="14.25" customHeight="1">
      <c r="A11" s="15" t="s">
        <v>12</v>
      </c>
      <c r="B11" s="17" t="s">
        <v>846</v>
      </c>
      <c r="C11" s="18"/>
      <c r="D11" s="20"/>
      <c r="E11" s="15">
        <v>3.0</v>
      </c>
      <c r="F11" s="15">
        <v>10.0</v>
      </c>
      <c r="G11" s="15"/>
      <c r="H11" s="15"/>
      <c r="I11" s="23"/>
      <c r="J11" s="9"/>
      <c r="M11" s="34" t="s">
        <v>7</v>
      </c>
      <c r="N11" s="35">
        <f>AVERAGEIF($A8:$A19,"Pecho",$G8:$G19)</f>
        <v>8</v>
      </c>
      <c r="O11" s="35" t="str">
        <f>AVERAGEIF($A8:$A19,"Espalda",$G8:$G19)</f>
        <v>#DIV/0!</v>
      </c>
      <c r="P11" s="35">
        <f>AVERAGEIF($A8:$A19,"Hombros",$G8:$G19)</f>
        <v>8</v>
      </c>
      <c r="Q11" s="35" t="str">
        <f>AVERAGEIF($A8:$A19,"Bíceps",$G8:$G19)</f>
        <v>#DIV/0!</v>
      </c>
      <c r="R11" s="35" t="str">
        <f>AVERAGEIF($A8:$A19,"Tríceps",$G8:$G19)</f>
        <v>#DIV/0!</v>
      </c>
      <c r="S11" s="35">
        <f>AVERAGEIF($A8:$A19,"Cuádriceps",$G8:$G19)</f>
        <v>7.666666667</v>
      </c>
      <c r="T11" s="35" t="str">
        <f>AVERAGEIF($A8:$A19,"Isquios",$G8:$G19)</f>
        <v>#DIV/0!</v>
      </c>
      <c r="U11" s="35" t="str">
        <f>AVERAGEIF($A8:$A19,"Glúteos",$G8:$G19)</f>
        <v>#DIV/0!</v>
      </c>
      <c r="V11" s="35" t="str">
        <f>AVERAGEIF($A8:$A19,"Pantorrillas",$G8:$G19)</f>
        <v>#DIV/0!</v>
      </c>
      <c r="W11" s="35" t="str">
        <f>AVERAGEIF($A8:$A19,"Otros",$G8:$G19)</f>
        <v>#DIV/0!</v>
      </c>
      <c r="Z11" s="28" t="s">
        <v>27</v>
      </c>
      <c r="AA11" s="1">
        <f>SUM(P9,P15,P21,P27,P32)</f>
        <v>11</v>
      </c>
    </row>
    <row r="12" ht="14.25" customHeight="1">
      <c r="A12" s="49" t="s">
        <v>16</v>
      </c>
      <c r="B12" s="50" t="s">
        <v>52</v>
      </c>
      <c r="C12" s="18"/>
      <c r="D12" s="20"/>
      <c r="E12" s="49">
        <v>4.0</v>
      </c>
      <c r="F12" s="49" t="s">
        <v>53</v>
      </c>
      <c r="G12" s="49">
        <v>8.0</v>
      </c>
      <c r="H12" s="49" t="s">
        <v>55</v>
      </c>
      <c r="I12" s="51"/>
      <c r="J12" s="9"/>
      <c r="M12" s="25"/>
      <c r="N12" s="25"/>
      <c r="O12" s="25"/>
      <c r="P12" s="25"/>
      <c r="Q12" s="25"/>
      <c r="R12" s="25"/>
      <c r="S12" s="25"/>
      <c r="T12" s="25"/>
      <c r="U12" s="25"/>
      <c r="Z12" s="28" t="s">
        <v>28</v>
      </c>
      <c r="AA12" s="1">
        <f>SUM(Q9,Q15,Q21,Q27,Q32)</f>
        <v>3</v>
      </c>
    </row>
    <row r="13" ht="14.25" customHeight="1">
      <c r="A13" s="27" t="s">
        <v>27</v>
      </c>
      <c r="B13" s="30" t="s">
        <v>56</v>
      </c>
      <c r="C13" s="18"/>
      <c r="D13" s="20"/>
      <c r="E13" s="27">
        <v>4.0</v>
      </c>
      <c r="F13" s="27">
        <v>10.0</v>
      </c>
      <c r="G13" s="27">
        <v>8.0</v>
      </c>
      <c r="H13" s="27"/>
      <c r="I13" s="33" t="s">
        <v>58</v>
      </c>
      <c r="J13" s="9"/>
      <c r="M13" s="11" t="s">
        <v>45</v>
      </c>
      <c r="N13" s="12"/>
      <c r="O13" s="12"/>
      <c r="P13" s="12"/>
      <c r="Q13" s="12"/>
      <c r="R13" s="12"/>
      <c r="S13" s="12"/>
      <c r="T13" s="12"/>
      <c r="U13" s="12"/>
      <c r="V13" s="12"/>
      <c r="W13" s="13"/>
      <c r="Z13" s="28" t="s">
        <v>29</v>
      </c>
      <c r="AA13" s="1">
        <f>SUM(R9,R15,R21,R27,R32)</f>
        <v>4</v>
      </c>
    </row>
    <row r="14" ht="14.25" customHeight="1">
      <c r="A14" s="27" t="s">
        <v>27</v>
      </c>
      <c r="B14" s="30" t="s">
        <v>62</v>
      </c>
      <c r="C14" s="18"/>
      <c r="D14" s="20"/>
      <c r="E14" s="27">
        <v>4.0</v>
      </c>
      <c r="F14" s="27">
        <v>6.0</v>
      </c>
      <c r="G14" s="27"/>
      <c r="H14" s="27"/>
      <c r="I14" s="33"/>
      <c r="J14" s="9"/>
      <c r="M14" s="25"/>
      <c r="N14" s="28" t="s">
        <v>16</v>
      </c>
      <c r="O14" s="28" t="s">
        <v>26</v>
      </c>
      <c r="P14" s="28" t="s">
        <v>27</v>
      </c>
      <c r="Q14" s="28" t="s">
        <v>28</v>
      </c>
      <c r="R14" s="28" t="s">
        <v>29</v>
      </c>
      <c r="S14" s="28" t="s">
        <v>30</v>
      </c>
      <c r="T14" s="28" t="s">
        <v>31</v>
      </c>
      <c r="U14" s="28" t="s">
        <v>32</v>
      </c>
      <c r="V14" s="28" t="s">
        <v>33</v>
      </c>
      <c r="W14" s="28" t="s">
        <v>12</v>
      </c>
      <c r="Z14" s="28" t="s">
        <v>30</v>
      </c>
      <c r="AA14" s="1">
        <f>SUM(S9,S15,S21,S27,S32)</f>
        <v>28</v>
      </c>
    </row>
    <row r="15" ht="14.25" customHeight="1">
      <c r="A15" s="49" t="s">
        <v>30</v>
      </c>
      <c r="B15" s="50" t="s">
        <v>64</v>
      </c>
      <c r="C15" s="18"/>
      <c r="D15" s="20"/>
      <c r="E15" s="49">
        <v>3.0</v>
      </c>
      <c r="F15" s="49" t="s">
        <v>65</v>
      </c>
      <c r="G15" s="49">
        <v>8.0</v>
      </c>
      <c r="H15" s="49"/>
      <c r="I15" s="51"/>
      <c r="J15" s="9"/>
      <c r="M15" s="34" t="s">
        <v>36</v>
      </c>
      <c r="N15" s="35">
        <f>SUMIF($A24:$A35,"Pecho",$E24:$E35)</f>
        <v>0</v>
      </c>
      <c r="O15" s="35">
        <f>SUMIF($A24:$A35,"Espalda",$E24:$E35)</f>
        <v>0</v>
      </c>
      <c r="P15" s="35">
        <f>SUMIF($A24:$A35,"Hombros",$E24:$E35)</f>
        <v>0</v>
      </c>
      <c r="Q15" s="35">
        <f>SUMIF($A24:$A35,"Bíceps",$E24:$E35)</f>
        <v>0</v>
      </c>
      <c r="R15" s="35">
        <f>SUMIF($A24:$A35,"Tríceps",$E24:$E35)</f>
        <v>0</v>
      </c>
      <c r="S15" s="35">
        <f>SUMIF($A24:$A35,"Cuádriceps",$E24:$E35)</f>
        <v>10</v>
      </c>
      <c r="T15" s="35">
        <f>SUMIF($A24:$A35,"Isquios",$E24:$E35)</f>
        <v>0</v>
      </c>
      <c r="U15" s="35">
        <f>SUMIF($A24:$A35,"Glúteos",$E24:$E35)</f>
        <v>10</v>
      </c>
      <c r="V15" s="35">
        <f>SUMIF($A24:$A35,"Pantorrillas",$E24:$E35)</f>
        <v>0</v>
      </c>
      <c r="W15" s="35">
        <f>SUMIF($A24:$A35,"Otros",$E24:$E35)</f>
        <v>18</v>
      </c>
      <c r="Z15" s="28" t="s">
        <v>31</v>
      </c>
      <c r="AA15" s="1">
        <f>SUM(T9,T15,T21,T27,T32)</f>
        <v>13</v>
      </c>
    </row>
    <row r="16" ht="14.25" customHeight="1">
      <c r="A16" s="49" t="s">
        <v>30</v>
      </c>
      <c r="B16" s="50" t="s">
        <v>847</v>
      </c>
      <c r="C16" s="18"/>
      <c r="D16" s="20"/>
      <c r="E16" s="49">
        <v>3.0</v>
      </c>
      <c r="F16" s="49" t="s">
        <v>71</v>
      </c>
      <c r="G16" s="49">
        <v>8.0</v>
      </c>
      <c r="H16" s="49"/>
      <c r="I16" s="51" t="s">
        <v>72</v>
      </c>
      <c r="J16" s="9"/>
      <c r="M16" s="34" t="s">
        <v>7</v>
      </c>
      <c r="N16" s="35" t="str">
        <f>AVERAGEIF($A24:$A35,"Pecho",$G24:$G35)</f>
        <v>#DIV/0!</v>
      </c>
      <c r="O16" s="35" t="str">
        <f>AVERAGEIF($A24:$A35,"Espalda",$G24:$G35)</f>
        <v>#DIV/0!</v>
      </c>
      <c r="P16" s="35" t="str">
        <f>AVERAGEIF($A24:$A35,"Hombros",$G24:$G35)</f>
        <v>#DIV/0!</v>
      </c>
      <c r="Q16" s="35" t="str">
        <f>AVERAGEIF($A24:$A35,"Bíceps",$G24:$G35)</f>
        <v>#DIV/0!</v>
      </c>
      <c r="R16" s="35" t="str">
        <f>AVERAGEIF($A24:$A35,"Tríceps",$G24:$G35)</f>
        <v>#DIV/0!</v>
      </c>
      <c r="S16" s="35">
        <f>AVERAGEIF($A24:$A35,"Cuádriceps",$G24:$G35)</f>
        <v>7</v>
      </c>
      <c r="T16" s="35" t="str">
        <f>AVERAGEIF($A24:$A35,"Isquios",$G24:$G35)</f>
        <v>#DIV/0!</v>
      </c>
      <c r="U16" s="35">
        <f>AVERAGEIF($A24:$A35,"Glúteos",$G24:$G35)</f>
        <v>8</v>
      </c>
      <c r="V16" s="35" t="str">
        <f>AVERAGEIF($A24:$A35,"Pantorrillas",$G24:$G35)</f>
        <v>#DIV/0!</v>
      </c>
      <c r="W16" s="35" t="str">
        <f>AVERAGEIF($A24:$A35,"Otros",$G24:$G35)</f>
        <v>#DIV/0!</v>
      </c>
      <c r="Z16" s="28" t="s">
        <v>32</v>
      </c>
      <c r="AA16" s="1">
        <f>SUM(U9,U15,U21,U27,U32)</f>
        <v>13</v>
      </c>
    </row>
    <row r="17" ht="14.25" customHeight="1">
      <c r="A17" s="53" t="s">
        <v>30</v>
      </c>
      <c r="B17" s="54" t="s">
        <v>79</v>
      </c>
      <c r="C17" s="18"/>
      <c r="D17" s="20"/>
      <c r="E17" s="53">
        <v>3.0</v>
      </c>
      <c r="F17" s="53">
        <v>12.0</v>
      </c>
      <c r="G17" s="53">
        <v>7.0</v>
      </c>
      <c r="H17" s="53"/>
      <c r="I17" s="55" t="s">
        <v>81</v>
      </c>
      <c r="J17" s="9"/>
      <c r="M17" s="25"/>
      <c r="N17" s="25"/>
      <c r="O17" s="25"/>
      <c r="P17" s="25"/>
      <c r="Q17" s="25"/>
      <c r="R17" s="25"/>
      <c r="S17" s="25"/>
      <c r="T17" s="25"/>
      <c r="U17" s="25"/>
      <c r="Z17" s="28" t="s">
        <v>33</v>
      </c>
      <c r="AA17" s="1">
        <f>SUM(V9,V15,V21,V27,V32)</f>
        <v>9</v>
      </c>
    </row>
    <row r="18" ht="14.25" customHeight="1">
      <c r="A18" s="53" t="s">
        <v>28</v>
      </c>
      <c r="B18" s="56" t="s">
        <v>83</v>
      </c>
      <c r="C18" s="8"/>
      <c r="D18" s="9"/>
      <c r="E18" s="53">
        <v>3.0</v>
      </c>
      <c r="F18" s="53">
        <v>12.0</v>
      </c>
      <c r="G18" s="53"/>
      <c r="H18" s="53"/>
      <c r="I18" s="57"/>
      <c r="J18" s="59"/>
      <c r="M18" s="25"/>
      <c r="N18" s="25"/>
      <c r="O18" s="25"/>
      <c r="P18" s="25"/>
      <c r="Q18" s="25"/>
      <c r="R18" s="25"/>
      <c r="S18" s="25"/>
      <c r="T18" s="25"/>
      <c r="U18" s="25"/>
      <c r="Z18" s="28"/>
      <c r="AA18" s="1"/>
    </row>
    <row r="19" ht="14.25" customHeight="1">
      <c r="A19" s="53" t="s">
        <v>29</v>
      </c>
      <c r="B19" s="54" t="s">
        <v>85</v>
      </c>
      <c r="C19" s="18"/>
      <c r="D19" s="20"/>
      <c r="E19" s="53">
        <v>4.0</v>
      </c>
      <c r="F19" s="53">
        <v>10.0</v>
      </c>
      <c r="G19" s="53"/>
      <c r="H19" s="53"/>
      <c r="I19" s="55"/>
      <c r="J19" s="9"/>
      <c r="M19" s="11" t="s">
        <v>57</v>
      </c>
      <c r="N19" s="12"/>
      <c r="O19" s="12"/>
      <c r="P19" s="12"/>
      <c r="Q19" s="12"/>
      <c r="R19" s="12"/>
      <c r="S19" s="12"/>
      <c r="T19" s="12"/>
      <c r="U19" s="12"/>
      <c r="V19" s="12"/>
      <c r="W19" s="13"/>
      <c r="Z19" s="28" t="s">
        <v>12</v>
      </c>
      <c r="AA19" s="1">
        <f>SUM(W9,W15,W21,W27,W32)</f>
        <v>55</v>
      </c>
    </row>
    <row r="20" ht="14.25" customHeight="1">
      <c r="B20" s="26"/>
      <c r="C20" s="29"/>
      <c r="D20" s="29"/>
      <c r="M20" s="25"/>
      <c r="N20" s="28" t="s">
        <v>16</v>
      </c>
      <c r="O20" s="28" t="s">
        <v>26</v>
      </c>
      <c r="P20" s="28" t="s">
        <v>27</v>
      </c>
      <c r="Q20" s="28" t="s">
        <v>28</v>
      </c>
      <c r="R20" s="28" t="s">
        <v>29</v>
      </c>
      <c r="S20" s="28" t="s">
        <v>30</v>
      </c>
      <c r="T20" s="28" t="s">
        <v>31</v>
      </c>
      <c r="U20" s="28" t="s">
        <v>32</v>
      </c>
      <c r="V20" s="28" t="s">
        <v>33</v>
      </c>
      <c r="W20" s="28" t="s">
        <v>12</v>
      </c>
    </row>
    <row r="21" ht="14.25" customHeight="1">
      <c r="M21" s="34" t="s">
        <v>36</v>
      </c>
      <c r="N21" s="35">
        <f>SUMIF($A40:$A49,"Pecho",$E40:$E49)</f>
        <v>0</v>
      </c>
      <c r="O21" s="35">
        <f>SUMIF($A40:$A49,"Espalda",$E40:$E49)</f>
        <v>8</v>
      </c>
      <c r="P21" s="35">
        <f>SUMIF($A40:$A49,"Hombros",$E40:$E49)</f>
        <v>0</v>
      </c>
      <c r="Q21" s="35">
        <f>SUMIF($A40:$A49,"Bíceps",$E40:$E49)</f>
        <v>0</v>
      </c>
      <c r="R21" s="35">
        <f>SUMIF($A40:$A49,"Tríceps",$E40:$E49)</f>
        <v>0</v>
      </c>
      <c r="S21" s="35">
        <f>SUMIF($A40:$A49,"Cuádriceps",$E40:$E49)</f>
        <v>0</v>
      </c>
      <c r="T21" s="35">
        <f>SUMIF($A40:$A49,"Isquios",$E40:$E49)</f>
        <v>7</v>
      </c>
      <c r="U21" s="35">
        <f>SUMIF($A40:$A49,"Glúteos",$E40:$E49)</f>
        <v>0</v>
      </c>
      <c r="V21" s="35">
        <f>SUMIF($A40:$A49,"Pantorrillas",$E40:$E49)</f>
        <v>0</v>
      </c>
      <c r="W21" s="35">
        <f>SUMIF($A40:$A49,"Otros",$E40:$E49)</f>
        <v>17</v>
      </c>
    </row>
    <row r="22" ht="14.25" customHeight="1">
      <c r="A22" s="2" t="s">
        <v>97</v>
      </c>
      <c r="B22" s="3"/>
      <c r="C22" s="4"/>
      <c r="J22" s="1"/>
      <c r="M22" s="34" t="s">
        <v>7</v>
      </c>
      <c r="N22" s="35" t="str">
        <f>AVERAGEIF($A40:$A49,"Pecho",$G40:$G49)</f>
        <v>#DIV/0!</v>
      </c>
      <c r="O22" s="35">
        <f>AVERAGEIF($A40:$A49,"Espalda",$G40:$G49)</f>
        <v>8</v>
      </c>
      <c r="P22" s="35" t="str">
        <f>AVERAGEIF($A40:$A49,"Hombros",$G40:$G49)</f>
        <v>#DIV/0!</v>
      </c>
      <c r="Q22" s="35" t="str">
        <f>AVERAGEIF($A40:$A49,"Bíceps",$G40:$G49)</f>
        <v>#DIV/0!</v>
      </c>
      <c r="R22" s="35" t="str">
        <f>AVERAGEIF($A40:$A49,"Tríceps",$G40:$G49)</f>
        <v>#DIV/0!</v>
      </c>
      <c r="S22" s="35" t="str">
        <f>AVERAGEIF($A40:$A49,"Cuádriceps",$G40:$G49)</f>
        <v>#DIV/0!</v>
      </c>
      <c r="T22" s="35">
        <f>AVERAGEIF($A40:$A49,"Isquios",$G40:$G49)</f>
        <v>8</v>
      </c>
      <c r="U22" s="35" t="str">
        <f>AVERAGEIF($A40:$A49,"Glúteos",$G40:$G49)</f>
        <v>#DIV/0!</v>
      </c>
      <c r="V22" s="35" t="str">
        <f>AVERAGEIF($A40:$A49,"Pantorrillas",$G40:$G49)</f>
        <v>#DIV/0!</v>
      </c>
      <c r="W22" s="35" t="str">
        <f>AVERAGEIF($A40:$A49,"Otros",$G40:$G49)</f>
        <v>#DIV/0!</v>
      </c>
    </row>
    <row r="23" ht="14.25" customHeight="1">
      <c r="A23" s="5" t="s">
        <v>2</v>
      </c>
      <c r="B23" s="7" t="s">
        <v>4</v>
      </c>
      <c r="C23" s="8"/>
      <c r="D23" s="9"/>
      <c r="E23" s="5" t="s">
        <v>5</v>
      </c>
      <c r="F23" s="5" t="s">
        <v>6</v>
      </c>
      <c r="G23" s="5" t="s">
        <v>7</v>
      </c>
      <c r="H23" s="5" t="s">
        <v>8</v>
      </c>
      <c r="I23" s="7" t="s">
        <v>9</v>
      </c>
      <c r="J23" s="9"/>
      <c r="M23" s="25"/>
      <c r="N23" s="25"/>
      <c r="O23" s="25"/>
      <c r="P23" s="25"/>
      <c r="Q23" s="25"/>
      <c r="R23" s="25"/>
      <c r="S23" s="25"/>
      <c r="T23" s="25"/>
      <c r="U23" s="25"/>
    </row>
    <row r="24" ht="14.25" customHeight="1">
      <c r="A24" s="15" t="s">
        <v>12</v>
      </c>
      <c r="B24" s="17" t="s">
        <v>99</v>
      </c>
      <c r="C24" s="18"/>
      <c r="D24" s="20"/>
      <c r="E24" s="15">
        <v>2.0</v>
      </c>
      <c r="F24" s="15">
        <v>10.0</v>
      </c>
      <c r="G24" s="15"/>
      <c r="H24" s="15"/>
      <c r="I24" s="23"/>
      <c r="J24" s="9"/>
      <c r="M24" s="11" t="s">
        <v>66</v>
      </c>
      <c r="N24" s="12"/>
      <c r="O24" s="12"/>
      <c r="P24" s="12"/>
      <c r="Q24" s="12"/>
      <c r="R24" s="12"/>
      <c r="S24" s="12"/>
      <c r="T24" s="12"/>
      <c r="U24" s="12"/>
      <c r="V24" s="12"/>
      <c r="W24" s="13"/>
    </row>
    <row r="25" ht="14.25" customHeight="1">
      <c r="A25" s="15" t="s">
        <v>12</v>
      </c>
      <c r="B25" s="17" t="s">
        <v>100</v>
      </c>
      <c r="C25" s="18"/>
      <c r="D25" s="20"/>
      <c r="E25" s="15">
        <v>2.0</v>
      </c>
      <c r="F25" s="15">
        <v>12.0</v>
      </c>
      <c r="G25" s="15"/>
      <c r="H25" s="15"/>
      <c r="I25" s="23"/>
      <c r="J25" s="9"/>
      <c r="M25" s="25"/>
      <c r="N25" s="28" t="s">
        <v>16</v>
      </c>
      <c r="O25" s="28" t="s">
        <v>26</v>
      </c>
      <c r="P25" s="28" t="s">
        <v>27</v>
      </c>
      <c r="Q25" s="28" t="s">
        <v>28</v>
      </c>
      <c r="R25" s="28" t="s">
        <v>29</v>
      </c>
      <c r="S25" s="28" t="s">
        <v>30</v>
      </c>
      <c r="T25" s="28" t="s">
        <v>31</v>
      </c>
      <c r="U25" s="28" t="s">
        <v>32</v>
      </c>
      <c r="V25" s="28" t="s">
        <v>33</v>
      </c>
      <c r="W25" s="28" t="s">
        <v>12</v>
      </c>
    </row>
    <row r="26" ht="14.25" customHeight="1">
      <c r="A26" s="15" t="s">
        <v>113</v>
      </c>
      <c r="B26" s="61" t="s">
        <v>853</v>
      </c>
      <c r="C26" s="8"/>
      <c r="D26" s="9"/>
      <c r="E26" s="15">
        <v>3.0</v>
      </c>
      <c r="F26" s="15" t="s">
        <v>71</v>
      </c>
      <c r="G26" s="15"/>
      <c r="H26" s="15"/>
      <c r="I26" s="217"/>
      <c r="J26" s="218"/>
      <c r="M26" s="25"/>
      <c r="N26" s="28"/>
      <c r="O26" s="28"/>
      <c r="P26" s="28"/>
      <c r="Q26" s="28"/>
      <c r="R26" s="28"/>
      <c r="S26" s="28"/>
      <c r="T26" s="28"/>
      <c r="U26" s="28"/>
      <c r="V26" s="28"/>
      <c r="W26" s="28"/>
    </row>
    <row r="27" ht="14.25" customHeight="1">
      <c r="A27" s="15" t="s">
        <v>12</v>
      </c>
      <c r="B27" s="17" t="s">
        <v>854</v>
      </c>
      <c r="C27" s="18"/>
      <c r="D27" s="20"/>
      <c r="E27" s="15">
        <v>3.0</v>
      </c>
      <c r="F27" s="15">
        <v>10.0</v>
      </c>
      <c r="G27" s="15"/>
      <c r="H27" s="15"/>
      <c r="I27" s="23"/>
      <c r="J27" s="9"/>
      <c r="M27" s="34" t="s">
        <v>36</v>
      </c>
      <c r="N27" s="35">
        <f>SUMIF($A54:$A63,"Pecho",$E54:$E63)</f>
        <v>4</v>
      </c>
      <c r="O27" s="35">
        <f>SUMIF($A54:$A63,"Espalda",$E54:$E63)</f>
        <v>4</v>
      </c>
      <c r="P27" s="35">
        <f>SUMIF($A54:$A63,"Hombros",$E54:$E63)</f>
        <v>0</v>
      </c>
      <c r="Q27" s="35">
        <f>SUMIF($A54:$A63,"Bíceps",$E54:$E63)</f>
        <v>0</v>
      </c>
      <c r="R27" s="35">
        <f>SUMIF($A54:$A63,"Tríceps",$E54:$E63)</f>
        <v>0</v>
      </c>
      <c r="S27" s="35">
        <f>SUMIF($A54:$A63,"Cuádriceps",$E54:$E63)</f>
        <v>6</v>
      </c>
      <c r="T27" s="35">
        <f>SUMIF($A54:$A63,"Isquios",$E54:$E63)</f>
        <v>3</v>
      </c>
      <c r="U27" s="35">
        <f>SUMIF($A54:$A63,"Glúteos",$E54:$E63)</f>
        <v>3</v>
      </c>
      <c r="V27" s="35">
        <f>SUMIF($A54:$A63,"Pantorrillas",$E54:$E63)</f>
        <v>3</v>
      </c>
      <c r="W27" s="35">
        <f>SUMIF($A54:$A63,"Otros",$E54:$E63)</f>
        <v>0</v>
      </c>
    </row>
    <row r="28" ht="14.25" customHeight="1">
      <c r="A28" s="49" t="s">
        <v>30</v>
      </c>
      <c r="B28" s="50" t="s">
        <v>102</v>
      </c>
      <c r="C28" s="18"/>
      <c r="D28" s="20"/>
      <c r="E28" s="49">
        <v>4.0</v>
      </c>
      <c r="F28" s="49">
        <v>8.0</v>
      </c>
      <c r="G28" s="49" t="s">
        <v>103</v>
      </c>
      <c r="H28" s="49" t="s">
        <v>55</v>
      </c>
      <c r="I28" s="51"/>
      <c r="J28" s="9"/>
      <c r="M28" s="34" t="s">
        <v>7</v>
      </c>
      <c r="N28" s="35">
        <f>AVERAGEIF($A54:$A63,"Pecho",$G54:$G63)</f>
        <v>7</v>
      </c>
      <c r="O28" s="35">
        <f>AVERAGEIF($A54:$A63,"Espalda",$G54:$G63)</f>
        <v>8</v>
      </c>
      <c r="P28" s="35" t="str">
        <f>AVERAGEIF($A54:$A63,"Hombros",$G54:$G63)</f>
        <v>#DIV/0!</v>
      </c>
      <c r="Q28" s="35" t="str">
        <f>AVERAGEIF($A54:$A63,"Bíceps",$G54:$G63)</f>
        <v>#DIV/0!</v>
      </c>
      <c r="R28" s="35" t="str">
        <f>AVERAGEIF($A54:$A63,"Tríceps",$G54:$G63)</f>
        <v>#DIV/0!</v>
      </c>
      <c r="S28" s="35">
        <f>AVERAGEIF($A54:$A63,"Cuádriceps",$G54:$G63)</f>
        <v>6</v>
      </c>
      <c r="T28" s="35">
        <f>AVERAGEIF($A54:$A63,"Isquios",$G54:$G63)</f>
        <v>7</v>
      </c>
      <c r="U28" s="35">
        <f>AVERAGEIF($A54:$A63,"Glúteos",$G54:$G63)</f>
        <v>6</v>
      </c>
      <c r="V28" s="35">
        <f>AVERAGEIF($A54:$A63,"Pantorrillas",$G54:$G63)</f>
        <v>7</v>
      </c>
      <c r="W28" s="35" t="str">
        <f>AVERAGEIF($A54:$A63,"Otros",$G54:$G63)</f>
        <v>#DIV/0!</v>
      </c>
    </row>
    <row r="29" ht="14.25" customHeight="1">
      <c r="A29" s="49" t="s">
        <v>30</v>
      </c>
      <c r="B29" s="50" t="s">
        <v>104</v>
      </c>
      <c r="C29" s="18"/>
      <c r="D29" s="20"/>
      <c r="E29" s="49">
        <v>3.0</v>
      </c>
      <c r="F29" s="49" t="s">
        <v>105</v>
      </c>
      <c r="G29" s="49">
        <v>7.0</v>
      </c>
      <c r="H29" s="49"/>
      <c r="I29" s="51" t="s">
        <v>106</v>
      </c>
      <c r="J29" s="9"/>
      <c r="M29" s="25"/>
      <c r="N29" s="25"/>
      <c r="O29" s="25"/>
      <c r="P29" s="25"/>
      <c r="Q29" s="25"/>
      <c r="R29" s="25"/>
      <c r="S29" s="25"/>
      <c r="T29" s="25"/>
      <c r="U29" s="25"/>
    </row>
    <row r="30" ht="14.25" customHeight="1">
      <c r="A30" s="49" t="s">
        <v>32</v>
      </c>
      <c r="B30" s="50" t="s">
        <v>107</v>
      </c>
      <c r="C30" s="18"/>
      <c r="D30" s="20"/>
      <c r="E30" s="49">
        <v>4.0</v>
      </c>
      <c r="F30" s="49" t="s">
        <v>108</v>
      </c>
      <c r="G30" s="49">
        <v>8.0</v>
      </c>
      <c r="H30" s="49"/>
      <c r="I30" s="51"/>
      <c r="J30" s="9"/>
      <c r="M30" s="11" t="s">
        <v>76</v>
      </c>
      <c r="N30" s="12"/>
      <c r="O30" s="12"/>
      <c r="P30" s="12"/>
      <c r="Q30" s="12"/>
      <c r="R30" s="12"/>
      <c r="S30" s="12"/>
      <c r="T30" s="12"/>
      <c r="U30" s="12"/>
      <c r="V30" s="12"/>
      <c r="W30" s="13"/>
    </row>
    <row r="31" ht="14.25" customHeight="1">
      <c r="A31" s="15" t="s">
        <v>30</v>
      </c>
      <c r="B31" s="17" t="s">
        <v>109</v>
      </c>
      <c r="C31" s="18"/>
      <c r="D31" s="20"/>
      <c r="E31" s="15">
        <v>3.0</v>
      </c>
      <c r="F31" s="15">
        <v>8.0</v>
      </c>
      <c r="G31" s="15"/>
      <c r="H31" s="15"/>
      <c r="I31" s="23" t="s">
        <v>110</v>
      </c>
      <c r="J31" s="9"/>
      <c r="M31" s="25"/>
      <c r="N31" s="28" t="s">
        <v>16</v>
      </c>
      <c r="O31" s="28" t="s">
        <v>26</v>
      </c>
      <c r="P31" s="28" t="s">
        <v>27</v>
      </c>
      <c r="Q31" s="28" t="s">
        <v>28</v>
      </c>
      <c r="R31" s="28" t="s">
        <v>29</v>
      </c>
      <c r="S31" s="28" t="s">
        <v>30</v>
      </c>
      <c r="T31" s="28" t="s">
        <v>31</v>
      </c>
      <c r="U31" s="28" t="s">
        <v>32</v>
      </c>
      <c r="V31" s="28" t="s">
        <v>33</v>
      </c>
      <c r="W31" s="28" t="s">
        <v>12</v>
      </c>
    </row>
    <row r="32" ht="14.25" customHeight="1">
      <c r="A32" s="15" t="s">
        <v>32</v>
      </c>
      <c r="B32" s="17" t="s">
        <v>111</v>
      </c>
      <c r="C32" s="18"/>
      <c r="D32" s="20"/>
      <c r="E32" s="15">
        <v>3.0</v>
      </c>
      <c r="F32" s="15">
        <v>6.0</v>
      </c>
      <c r="G32" s="15"/>
      <c r="H32" s="15"/>
      <c r="I32" s="23"/>
      <c r="J32" s="9"/>
      <c r="M32" s="34" t="s">
        <v>36</v>
      </c>
      <c r="N32" s="35">
        <f>SUMIF($A68:$A78,"Pecho",$E68:$E78)</f>
        <v>3</v>
      </c>
      <c r="O32" s="35">
        <f>SUMIF($A68:$A78,"Espalda",$E68:$E78)</f>
        <v>0</v>
      </c>
      <c r="P32" s="35">
        <f>SUMIF($A68:$A78,"Hombros",$E68:$E78)</f>
        <v>3</v>
      </c>
      <c r="Q32" s="35">
        <f>SUMIF($A68:$A78,"Bíceps",$E68:$E78)</f>
        <v>0</v>
      </c>
      <c r="R32" s="35">
        <f>SUMIF($A68:$A78,"Tríceps",$E68:$E78)</f>
        <v>0</v>
      </c>
      <c r="S32" s="35">
        <f>SUMIF($A68:$A78,"Cuádriceps",$E68:$E78)</f>
        <v>3</v>
      </c>
      <c r="T32" s="35">
        <f>SUMIF($A68:$A78,"Isquios",$E68:$E78)</f>
        <v>3</v>
      </c>
      <c r="U32" s="35">
        <f>SUMIF($A68:$A78,"Glúteos",$E68:$E78)</f>
        <v>0</v>
      </c>
      <c r="V32" s="35">
        <f>SUMIF($A68:$A78,"Pantorrillas",$E68:$E78)</f>
        <v>6</v>
      </c>
      <c r="W32" s="35">
        <f>SUMIF($A68:$A78,"Otros",$E68:$E78)</f>
        <v>9</v>
      </c>
    </row>
    <row r="33" ht="14.25" customHeight="1">
      <c r="A33" s="15" t="s">
        <v>32</v>
      </c>
      <c r="B33" s="61" t="s">
        <v>112</v>
      </c>
      <c r="C33" s="8"/>
      <c r="D33" s="9"/>
      <c r="E33" s="15">
        <v>3.0</v>
      </c>
      <c r="F33" s="15" t="s">
        <v>71</v>
      </c>
      <c r="G33" s="15"/>
      <c r="H33" s="15"/>
      <c r="I33" s="23"/>
      <c r="J33" s="9"/>
      <c r="M33" s="34" t="s">
        <v>7</v>
      </c>
      <c r="N33" s="35">
        <f>AVERAGEIF($A68:$A78,"Pecho",$G68:$G78)</f>
        <v>6</v>
      </c>
      <c r="O33" s="35" t="str">
        <f>AVERAGEIF($A68:$A78,"Espalda",$G68:$G78)</f>
        <v>#DIV/0!</v>
      </c>
      <c r="P33" s="35">
        <f>AVERAGEIF($A68:$A78,"Hombros",$G68:$G78)</f>
        <v>7</v>
      </c>
      <c r="Q33" s="35" t="str">
        <f>AVERAGEIF($A68:$A78,"Bíceps",$G68:$G78)</f>
        <v>#DIV/0!</v>
      </c>
      <c r="R33" s="35" t="str">
        <f>AVERAGEIF($A68:$A78,"Tríceps",$G68:$G78)</f>
        <v>#DIV/0!</v>
      </c>
      <c r="S33" s="35" t="str">
        <f>AVERAGEIF($A68:$A78,"Cuádriceps",$G68:$G78)</f>
        <v>#DIV/0!</v>
      </c>
      <c r="T33" s="35">
        <f>AVERAGEIF($A68:$A78,"Isquios",$G68:$G78)</f>
        <v>6</v>
      </c>
      <c r="U33" s="35" t="str">
        <f>AVERAGEIF($A68:$A78,"Glúteos",$G68:$G78)</f>
        <v>#DIV/0!</v>
      </c>
      <c r="V33" s="35">
        <f>AVERAGEIF($A68:$A78,"Pantorrillas",$G68:$G78)</f>
        <v>6.5</v>
      </c>
      <c r="W33" s="35" t="str">
        <f>AVERAGEIF($A68:$A78,"Otros",$G68:$G78)</f>
        <v>#DIV/0!</v>
      </c>
    </row>
    <row r="34" ht="14.25" customHeight="1">
      <c r="A34" s="49" t="s">
        <v>113</v>
      </c>
      <c r="B34" s="62" t="s">
        <v>114</v>
      </c>
      <c r="C34" s="8"/>
      <c r="D34" s="9"/>
      <c r="E34" s="49">
        <v>3.0</v>
      </c>
      <c r="F34" s="49" t="s">
        <v>65</v>
      </c>
      <c r="G34" s="49"/>
      <c r="H34" s="49"/>
      <c r="I34" s="63"/>
      <c r="J34" s="64"/>
      <c r="M34" s="65"/>
      <c r="N34" s="25"/>
      <c r="O34" s="25"/>
      <c r="P34" s="25"/>
      <c r="Q34" s="25"/>
      <c r="R34" s="25"/>
      <c r="S34" s="25"/>
      <c r="T34" s="25"/>
      <c r="U34" s="25"/>
      <c r="V34" s="25"/>
      <c r="W34" s="25"/>
    </row>
    <row r="35" ht="14.25" customHeight="1">
      <c r="A35" s="49" t="s">
        <v>113</v>
      </c>
      <c r="B35" s="66" t="s">
        <v>115</v>
      </c>
      <c r="C35" s="8"/>
      <c r="D35" s="9"/>
      <c r="E35" s="49">
        <v>5.0</v>
      </c>
      <c r="F35" s="49"/>
      <c r="G35" s="49"/>
      <c r="H35" s="49"/>
      <c r="I35" s="51" t="s">
        <v>116</v>
      </c>
      <c r="J35" s="9"/>
    </row>
    <row r="36" ht="14.25" customHeight="1">
      <c r="B36" s="26"/>
      <c r="C36" s="29"/>
      <c r="D36" s="29"/>
    </row>
    <row r="37" ht="14.25" customHeight="1"/>
    <row r="38" ht="14.25" customHeight="1">
      <c r="A38" s="2" t="s">
        <v>117</v>
      </c>
      <c r="B38" s="3"/>
      <c r="C38" s="4"/>
      <c r="J38" s="1"/>
    </row>
    <row r="39" ht="14.25" customHeight="1">
      <c r="A39" s="5" t="s">
        <v>2</v>
      </c>
      <c r="B39" s="7" t="s">
        <v>4</v>
      </c>
      <c r="C39" s="8"/>
      <c r="D39" s="9"/>
      <c r="E39" s="5" t="s">
        <v>5</v>
      </c>
      <c r="F39" s="5" t="s">
        <v>6</v>
      </c>
      <c r="G39" s="5" t="s">
        <v>7</v>
      </c>
      <c r="H39" s="5" t="s">
        <v>8</v>
      </c>
      <c r="I39" s="7" t="s">
        <v>9</v>
      </c>
      <c r="J39" s="9"/>
    </row>
    <row r="40" ht="14.25" customHeight="1">
      <c r="A40" s="53" t="s">
        <v>12</v>
      </c>
      <c r="B40" s="54" t="s">
        <v>13</v>
      </c>
      <c r="C40" s="18"/>
      <c r="D40" s="20"/>
      <c r="E40" s="53">
        <v>2.0</v>
      </c>
      <c r="F40" s="53">
        <v>10.0</v>
      </c>
      <c r="G40" s="53"/>
      <c r="H40" s="53"/>
      <c r="I40" s="55"/>
      <c r="J40" s="9"/>
    </row>
    <row r="41" ht="14.25" customHeight="1">
      <c r="A41" s="53" t="s">
        <v>12</v>
      </c>
      <c r="B41" s="54" t="s">
        <v>118</v>
      </c>
      <c r="C41" s="18"/>
      <c r="D41" s="20"/>
      <c r="E41" s="53">
        <v>3.0</v>
      </c>
      <c r="F41" s="53" t="s">
        <v>65</v>
      </c>
      <c r="G41" s="53"/>
      <c r="H41" s="53"/>
      <c r="I41" s="55"/>
      <c r="J41" s="9"/>
    </row>
    <row r="42" ht="14.25" customHeight="1">
      <c r="A42" s="53" t="s">
        <v>12</v>
      </c>
      <c r="B42" s="54" t="s">
        <v>119</v>
      </c>
      <c r="C42" s="18"/>
      <c r="D42" s="20"/>
      <c r="E42" s="53">
        <v>3.0</v>
      </c>
      <c r="F42" s="53" t="s">
        <v>71</v>
      </c>
      <c r="G42" s="53"/>
      <c r="H42" s="53"/>
      <c r="I42" s="55"/>
      <c r="J42" s="9"/>
    </row>
    <row r="43" ht="14.25" customHeight="1">
      <c r="A43" s="49" t="s">
        <v>31</v>
      </c>
      <c r="B43" s="50" t="s">
        <v>869</v>
      </c>
      <c r="C43" s="18"/>
      <c r="D43" s="20"/>
      <c r="E43" s="49">
        <v>4.0</v>
      </c>
      <c r="F43" s="49" t="s">
        <v>53</v>
      </c>
      <c r="G43" s="49">
        <v>8.0</v>
      </c>
      <c r="H43" s="49" t="s">
        <v>55</v>
      </c>
      <c r="I43" s="51" t="s">
        <v>870</v>
      </c>
      <c r="J43" s="9"/>
    </row>
    <row r="44" ht="14.25" customHeight="1">
      <c r="A44" s="49" t="s">
        <v>26</v>
      </c>
      <c r="B44" s="50" t="s">
        <v>121</v>
      </c>
      <c r="C44" s="18"/>
      <c r="D44" s="20"/>
      <c r="E44" s="49">
        <v>4.0</v>
      </c>
      <c r="F44" s="49">
        <v>10.0</v>
      </c>
      <c r="G44" s="49">
        <v>8.0</v>
      </c>
      <c r="H44" s="49"/>
      <c r="I44" s="51"/>
      <c r="J44" s="9"/>
    </row>
    <row r="45" ht="14.25" customHeight="1">
      <c r="A45" s="53" t="s">
        <v>31</v>
      </c>
      <c r="B45" s="54" t="s">
        <v>737</v>
      </c>
      <c r="C45" s="18"/>
      <c r="D45" s="20"/>
      <c r="E45" s="53">
        <v>3.0</v>
      </c>
      <c r="F45" s="53">
        <v>8.0</v>
      </c>
      <c r="G45" s="53"/>
      <c r="H45" s="53"/>
      <c r="I45" s="55"/>
      <c r="J45" s="9"/>
    </row>
    <row r="46" ht="14.25" customHeight="1">
      <c r="A46" s="53" t="s">
        <v>26</v>
      </c>
      <c r="B46" s="54" t="s">
        <v>124</v>
      </c>
      <c r="C46" s="18"/>
      <c r="D46" s="20"/>
      <c r="E46" s="53">
        <v>4.0</v>
      </c>
      <c r="F46" s="53">
        <v>10.0</v>
      </c>
      <c r="G46" s="53"/>
      <c r="H46" s="53"/>
      <c r="I46" s="55"/>
      <c r="J46" s="9"/>
    </row>
    <row r="47" ht="14.25" customHeight="1">
      <c r="A47" s="15" t="s">
        <v>113</v>
      </c>
      <c r="B47" s="17" t="s">
        <v>871</v>
      </c>
      <c r="C47" s="18"/>
      <c r="D47" s="20"/>
      <c r="E47" s="15">
        <v>3.0</v>
      </c>
      <c r="F47" s="15" t="s">
        <v>65</v>
      </c>
      <c r="G47" s="15"/>
      <c r="H47" s="15"/>
      <c r="I47" s="23"/>
      <c r="J47" s="9"/>
    </row>
    <row r="48" ht="14.25" customHeight="1">
      <c r="A48" s="15" t="s">
        <v>113</v>
      </c>
      <c r="B48" s="17" t="s">
        <v>872</v>
      </c>
      <c r="C48" s="18"/>
      <c r="D48" s="20"/>
      <c r="E48" s="15">
        <v>3.0</v>
      </c>
      <c r="F48" s="15" t="s">
        <v>128</v>
      </c>
      <c r="G48" s="15"/>
      <c r="H48" s="15"/>
      <c r="I48" s="23"/>
      <c r="J48" s="9"/>
    </row>
    <row r="49" ht="14.25" customHeight="1">
      <c r="A49" s="15" t="s">
        <v>113</v>
      </c>
      <c r="B49" s="61" t="s">
        <v>873</v>
      </c>
      <c r="C49" s="8"/>
      <c r="D49" s="9"/>
      <c r="E49" s="15">
        <v>3.0</v>
      </c>
      <c r="F49" s="15">
        <v>6.0</v>
      </c>
      <c r="G49" s="15"/>
      <c r="H49" s="15"/>
      <c r="I49" s="23"/>
      <c r="J49" s="9"/>
    </row>
    <row r="50" ht="14.25" customHeight="1">
      <c r="B50" s="26"/>
      <c r="C50" s="29"/>
      <c r="D50" s="29"/>
    </row>
    <row r="51" ht="14.25" customHeight="1"/>
    <row r="52" ht="14.25" customHeight="1">
      <c r="A52" s="2" t="s">
        <v>132</v>
      </c>
      <c r="B52" s="3"/>
      <c r="C52" s="4"/>
      <c r="J52" s="1"/>
    </row>
    <row r="53" ht="14.25" customHeight="1">
      <c r="A53" s="5" t="s">
        <v>2</v>
      </c>
      <c r="B53" s="7" t="s">
        <v>4</v>
      </c>
      <c r="C53" s="8"/>
      <c r="D53" s="9"/>
      <c r="E53" s="5" t="s">
        <v>5</v>
      </c>
      <c r="F53" s="5" t="s">
        <v>6</v>
      </c>
      <c r="G53" s="5" t="s">
        <v>7</v>
      </c>
      <c r="H53" s="5" t="s">
        <v>8</v>
      </c>
      <c r="I53" s="7" t="s">
        <v>9</v>
      </c>
      <c r="J53" s="9"/>
    </row>
    <row r="54" ht="14.25" customHeight="1">
      <c r="A54" s="15" t="s">
        <v>113</v>
      </c>
      <c r="B54" s="17" t="s">
        <v>134</v>
      </c>
      <c r="C54" s="18"/>
      <c r="D54" s="20"/>
      <c r="E54" s="15"/>
      <c r="F54" s="15"/>
      <c r="G54" s="15"/>
      <c r="H54" s="15"/>
      <c r="I54" s="23"/>
      <c r="J54" s="9"/>
    </row>
    <row r="55" ht="14.25" customHeight="1">
      <c r="A55" s="15" t="s">
        <v>113</v>
      </c>
      <c r="B55" s="17" t="s">
        <v>136</v>
      </c>
      <c r="C55" s="18"/>
      <c r="D55" s="20"/>
      <c r="E55" s="15"/>
      <c r="F55" s="15"/>
      <c r="G55" s="15"/>
      <c r="H55" s="15"/>
      <c r="I55" s="23"/>
      <c r="J55" s="9"/>
    </row>
    <row r="56" ht="14.25" customHeight="1">
      <c r="A56" s="15" t="s">
        <v>12</v>
      </c>
      <c r="B56" s="17" t="s">
        <v>137</v>
      </c>
      <c r="C56" s="18"/>
      <c r="D56" s="20"/>
      <c r="E56" s="15"/>
      <c r="F56" s="15">
        <v>10.0</v>
      </c>
      <c r="G56" s="15"/>
      <c r="H56" s="15"/>
      <c r="I56" s="23"/>
      <c r="J56" s="9"/>
    </row>
    <row r="57" ht="14.25" customHeight="1">
      <c r="A57" s="49" t="s">
        <v>16</v>
      </c>
      <c r="B57" s="50" t="s">
        <v>139</v>
      </c>
      <c r="C57" s="18"/>
      <c r="D57" s="20"/>
      <c r="E57" s="49">
        <v>4.0</v>
      </c>
      <c r="F57" s="49">
        <v>10.0</v>
      </c>
      <c r="G57" s="49">
        <v>7.0</v>
      </c>
      <c r="H57" s="49"/>
      <c r="I57" s="51"/>
      <c r="J57" s="9"/>
    </row>
    <row r="58" ht="14.25" customHeight="1">
      <c r="A58" s="49" t="s">
        <v>26</v>
      </c>
      <c r="B58" s="50" t="s">
        <v>142</v>
      </c>
      <c r="C58" s="18"/>
      <c r="D58" s="20"/>
      <c r="E58" s="49">
        <v>4.0</v>
      </c>
      <c r="F58" s="49" t="s">
        <v>143</v>
      </c>
      <c r="G58" s="49">
        <v>8.0</v>
      </c>
      <c r="H58" s="49"/>
      <c r="I58" s="51"/>
      <c r="J58" s="9"/>
    </row>
    <row r="59" ht="14.25" customHeight="1">
      <c r="A59" s="68" t="s">
        <v>30</v>
      </c>
      <c r="B59" s="69" t="s">
        <v>145</v>
      </c>
      <c r="C59" s="18"/>
      <c r="D59" s="20"/>
      <c r="E59" s="68">
        <v>3.0</v>
      </c>
      <c r="F59" s="68">
        <v>10.0</v>
      </c>
      <c r="G59" s="68">
        <v>6.0</v>
      </c>
      <c r="H59" s="68"/>
      <c r="I59" s="71"/>
      <c r="J59" s="9"/>
    </row>
    <row r="60" ht="14.25" customHeight="1">
      <c r="A60" s="68" t="s">
        <v>32</v>
      </c>
      <c r="B60" s="69" t="s">
        <v>148</v>
      </c>
      <c r="C60" s="18"/>
      <c r="D60" s="20"/>
      <c r="E60" s="68">
        <v>3.0</v>
      </c>
      <c r="F60" s="68">
        <v>10.0</v>
      </c>
      <c r="G60" s="68">
        <v>6.0</v>
      </c>
      <c r="H60" s="68"/>
      <c r="I60" s="71" t="s">
        <v>149</v>
      </c>
      <c r="J60" s="9"/>
    </row>
    <row r="61" ht="14.25" customHeight="1">
      <c r="A61" s="15" t="s">
        <v>30</v>
      </c>
      <c r="B61" s="17" t="s">
        <v>151</v>
      </c>
      <c r="C61" s="18"/>
      <c r="D61" s="20"/>
      <c r="E61" s="15">
        <v>3.0</v>
      </c>
      <c r="F61" s="15">
        <v>8.0</v>
      </c>
      <c r="G61" s="15">
        <v>6.0</v>
      </c>
      <c r="H61" s="15" t="s">
        <v>154</v>
      </c>
      <c r="I61" s="23" t="s">
        <v>155</v>
      </c>
      <c r="J61" s="9"/>
    </row>
    <row r="62" ht="14.25" customHeight="1">
      <c r="A62" s="15" t="s">
        <v>31</v>
      </c>
      <c r="B62" s="17" t="s">
        <v>156</v>
      </c>
      <c r="C62" s="18"/>
      <c r="D62" s="20"/>
      <c r="E62" s="15">
        <v>3.0</v>
      </c>
      <c r="F62" s="15">
        <v>2.0</v>
      </c>
      <c r="G62" s="15">
        <v>7.0</v>
      </c>
      <c r="H62" s="15"/>
      <c r="I62" s="23"/>
      <c r="J62" s="9"/>
    </row>
    <row r="63" ht="14.25" customHeight="1">
      <c r="A63" s="15" t="s">
        <v>33</v>
      </c>
      <c r="B63" s="61" t="s">
        <v>158</v>
      </c>
      <c r="C63" s="8"/>
      <c r="D63" s="9"/>
      <c r="E63" s="15">
        <v>3.0</v>
      </c>
      <c r="F63" s="15">
        <v>6.0</v>
      </c>
      <c r="G63" s="15">
        <v>7.0</v>
      </c>
      <c r="H63" s="15"/>
      <c r="I63" s="23"/>
      <c r="J63" s="9"/>
    </row>
    <row r="64" ht="14.25" customHeight="1">
      <c r="B64" s="26"/>
      <c r="C64" s="29"/>
      <c r="D64" s="29"/>
    </row>
    <row r="65" ht="14.25" customHeight="1"/>
    <row r="66" ht="14.25" customHeight="1">
      <c r="A66" s="2" t="s">
        <v>160</v>
      </c>
      <c r="B66" s="3"/>
      <c r="C66" s="4"/>
      <c r="D66" s="82" t="s">
        <v>161</v>
      </c>
      <c r="J66" s="1"/>
    </row>
    <row r="67" ht="14.25" customHeight="1">
      <c r="A67" s="5" t="s">
        <v>2</v>
      </c>
      <c r="B67" s="7" t="s">
        <v>4</v>
      </c>
      <c r="C67" s="8"/>
      <c r="D67" s="9"/>
      <c r="E67" s="5" t="s">
        <v>5</v>
      </c>
      <c r="F67" s="5" t="s">
        <v>6</v>
      </c>
      <c r="G67" s="5" t="s">
        <v>7</v>
      </c>
      <c r="H67" s="5" t="s">
        <v>8</v>
      </c>
      <c r="I67" s="7" t="s">
        <v>9</v>
      </c>
      <c r="J67" s="9"/>
    </row>
    <row r="68" ht="14.25" customHeight="1">
      <c r="A68" s="83" t="s">
        <v>113</v>
      </c>
      <c r="B68" s="85" t="s">
        <v>163</v>
      </c>
      <c r="C68" s="18"/>
      <c r="D68" s="20"/>
      <c r="E68" s="83">
        <v>3.0</v>
      </c>
      <c r="F68" s="83">
        <v>10.0</v>
      </c>
      <c r="G68" s="83"/>
      <c r="H68" s="83"/>
      <c r="I68" s="86"/>
      <c r="J68" s="9"/>
    </row>
    <row r="69" ht="14.25" customHeight="1">
      <c r="A69" s="83" t="s">
        <v>30</v>
      </c>
      <c r="B69" s="228" t="s">
        <v>885</v>
      </c>
      <c r="C69" s="8"/>
      <c r="D69" s="9"/>
      <c r="E69" s="83">
        <v>3.0</v>
      </c>
      <c r="F69" s="83" t="s">
        <v>731</v>
      </c>
      <c r="G69" s="83"/>
      <c r="H69" s="83"/>
      <c r="I69" s="229"/>
      <c r="J69" s="224"/>
    </row>
    <row r="70" ht="14.25" customHeight="1">
      <c r="A70" s="83" t="s">
        <v>113</v>
      </c>
      <c r="B70" s="85" t="s">
        <v>887</v>
      </c>
      <c r="C70" s="18"/>
      <c r="D70" s="20"/>
      <c r="E70" s="83">
        <v>3.0</v>
      </c>
      <c r="F70" s="83">
        <v>12.0</v>
      </c>
      <c r="G70" s="83"/>
      <c r="H70" s="83"/>
      <c r="I70" s="86"/>
      <c r="J70" s="9"/>
    </row>
    <row r="71" ht="14.25" customHeight="1">
      <c r="A71" s="83" t="s">
        <v>113</v>
      </c>
      <c r="B71" s="85" t="s">
        <v>888</v>
      </c>
      <c r="C71" s="18"/>
      <c r="D71" s="20"/>
      <c r="E71" s="83">
        <v>3.0</v>
      </c>
      <c r="F71" s="83" t="s">
        <v>65</v>
      </c>
      <c r="G71" s="83"/>
      <c r="H71" s="83"/>
      <c r="I71" s="86"/>
      <c r="J71" s="9"/>
    </row>
    <row r="72" ht="14.25" customHeight="1">
      <c r="A72" s="49" t="s">
        <v>31</v>
      </c>
      <c r="B72" s="50" t="s">
        <v>742</v>
      </c>
      <c r="C72" s="18"/>
      <c r="D72" s="20"/>
      <c r="E72" s="49">
        <v>3.0</v>
      </c>
      <c r="F72" s="49" t="s">
        <v>53</v>
      </c>
      <c r="G72" s="49">
        <v>6.0</v>
      </c>
      <c r="H72" s="49"/>
      <c r="I72" s="51" t="s">
        <v>890</v>
      </c>
      <c r="J72" s="9"/>
    </row>
    <row r="73" ht="14.25" customHeight="1">
      <c r="A73" s="49" t="s">
        <v>33</v>
      </c>
      <c r="B73" s="50" t="s">
        <v>892</v>
      </c>
      <c r="C73" s="18"/>
      <c r="D73" s="20"/>
      <c r="E73" s="49">
        <v>3.0</v>
      </c>
      <c r="F73" s="49">
        <v>6.0</v>
      </c>
      <c r="G73" s="49">
        <v>6.0</v>
      </c>
      <c r="H73" s="49"/>
      <c r="I73" s="51" t="s">
        <v>894</v>
      </c>
      <c r="J73" s="9"/>
    </row>
    <row r="74" ht="14.25" customHeight="1">
      <c r="A74" s="68" t="s">
        <v>16</v>
      </c>
      <c r="B74" s="69" t="s">
        <v>179</v>
      </c>
      <c r="C74" s="18"/>
      <c r="D74" s="20"/>
      <c r="E74" s="68"/>
      <c r="F74" s="68">
        <v>10.0</v>
      </c>
      <c r="G74" s="68">
        <v>6.0</v>
      </c>
      <c r="H74" s="68"/>
      <c r="I74" s="71"/>
      <c r="J74" s="9"/>
    </row>
    <row r="75" ht="14.25" customHeight="1">
      <c r="A75" s="68" t="s">
        <v>16</v>
      </c>
      <c r="B75" s="69" t="s">
        <v>899</v>
      </c>
      <c r="C75" s="18"/>
      <c r="D75" s="20"/>
      <c r="E75" s="68">
        <v>3.0</v>
      </c>
      <c r="F75" s="68">
        <v>10.0</v>
      </c>
      <c r="G75" s="68">
        <v>6.0</v>
      </c>
      <c r="H75" s="68"/>
      <c r="I75" s="71"/>
      <c r="J75" s="9"/>
    </row>
    <row r="76" ht="14.25" customHeight="1">
      <c r="A76" s="15" t="s">
        <v>27</v>
      </c>
      <c r="B76" s="17" t="s">
        <v>901</v>
      </c>
      <c r="C76" s="18"/>
      <c r="D76" s="20"/>
      <c r="E76" s="15">
        <v>3.0</v>
      </c>
      <c r="F76" s="15" t="s">
        <v>71</v>
      </c>
      <c r="G76" s="15">
        <v>7.0</v>
      </c>
      <c r="H76" s="15"/>
      <c r="I76" s="23"/>
      <c r="J76" s="9"/>
    </row>
    <row r="77" ht="14.25" customHeight="1">
      <c r="A77" s="15" t="s">
        <v>33</v>
      </c>
      <c r="B77" s="17" t="s">
        <v>903</v>
      </c>
      <c r="C77" s="18"/>
      <c r="D77" s="20"/>
      <c r="E77" s="15">
        <v>3.0</v>
      </c>
      <c r="F77" s="15">
        <v>25.0</v>
      </c>
      <c r="G77" s="15">
        <v>7.0</v>
      </c>
      <c r="H77" s="15"/>
      <c r="I77" s="23"/>
      <c r="J77" s="9"/>
    </row>
    <row r="78" ht="14.25" customHeight="1">
      <c r="A78" s="15" t="s">
        <v>32</v>
      </c>
      <c r="B78" s="61" t="s">
        <v>185</v>
      </c>
      <c r="C78" s="8"/>
      <c r="D78" s="9"/>
      <c r="E78" s="15"/>
      <c r="F78" s="15" t="s">
        <v>178</v>
      </c>
      <c r="G78" s="15"/>
      <c r="H78" s="15"/>
      <c r="I78" s="23"/>
      <c r="J78" s="9"/>
    </row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0">
    <mergeCell ref="A6:C6"/>
    <mergeCell ref="B7:D7"/>
    <mergeCell ref="I7:J7"/>
    <mergeCell ref="M7:W7"/>
    <mergeCell ref="Z7:AB7"/>
    <mergeCell ref="B8:D8"/>
    <mergeCell ref="B9:D9"/>
    <mergeCell ref="I12:J12"/>
    <mergeCell ref="I13:J13"/>
    <mergeCell ref="M13:W13"/>
    <mergeCell ref="I8:J8"/>
    <mergeCell ref="I9:J9"/>
    <mergeCell ref="B10:D10"/>
    <mergeCell ref="B11:D11"/>
    <mergeCell ref="I11:J11"/>
    <mergeCell ref="B12:D12"/>
    <mergeCell ref="B13:D13"/>
    <mergeCell ref="B17:D17"/>
    <mergeCell ref="B18:D18"/>
    <mergeCell ref="B19:D19"/>
    <mergeCell ref="M19:W19"/>
    <mergeCell ref="I23:J23"/>
    <mergeCell ref="I24:J24"/>
    <mergeCell ref="M24:W24"/>
    <mergeCell ref="I25:J25"/>
    <mergeCell ref="I27:J27"/>
    <mergeCell ref="M30:W30"/>
    <mergeCell ref="B14:D14"/>
    <mergeCell ref="I14:J14"/>
    <mergeCell ref="B15:D15"/>
    <mergeCell ref="I15:J15"/>
    <mergeCell ref="I16:J16"/>
    <mergeCell ref="I17:J17"/>
    <mergeCell ref="I19:J19"/>
    <mergeCell ref="B16:D16"/>
    <mergeCell ref="B20:D20"/>
    <mergeCell ref="A22:C22"/>
    <mergeCell ref="B23:D23"/>
    <mergeCell ref="B24:D24"/>
    <mergeCell ref="B25:D25"/>
    <mergeCell ref="B26:D26"/>
    <mergeCell ref="A52:C52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62:D62"/>
    <mergeCell ref="B63:D63"/>
    <mergeCell ref="B64:D64"/>
    <mergeCell ref="A66:C66"/>
    <mergeCell ref="B74:D74"/>
    <mergeCell ref="B75:D75"/>
    <mergeCell ref="B76:D76"/>
    <mergeCell ref="B77:D77"/>
    <mergeCell ref="B78:D78"/>
    <mergeCell ref="B67:D67"/>
    <mergeCell ref="B68:D68"/>
    <mergeCell ref="B69:D69"/>
    <mergeCell ref="B70:D70"/>
    <mergeCell ref="B71:D71"/>
    <mergeCell ref="B72:D72"/>
    <mergeCell ref="B73:D73"/>
    <mergeCell ref="I72:J72"/>
    <mergeCell ref="I73:J73"/>
    <mergeCell ref="I74:J74"/>
    <mergeCell ref="I75:J75"/>
    <mergeCell ref="I76:J76"/>
    <mergeCell ref="I77:J77"/>
    <mergeCell ref="I78:J78"/>
    <mergeCell ref="I61:J61"/>
    <mergeCell ref="I62:J62"/>
    <mergeCell ref="I63:J63"/>
    <mergeCell ref="I67:J67"/>
    <mergeCell ref="I68:J68"/>
    <mergeCell ref="I70:J70"/>
    <mergeCell ref="I71:J71"/>
    <mergeCell ref="B27:D27"/>
    <mergeCell ref="B28:D28"/>
    <mergeCell ref="I28:J28"/>
    <mergeCell ref="B29:D29"/>
    <mergeCell ref="I29:J29"/>
    <mergeCell ref="B30:D30"/>
    <mergeCell ref="B31:D31"/>
    <mergeCell ref="B32:D32"/>
    <mergeCell ref="I32:J32"/>
    <mergeCell ref="B33:D33"/>
    <mergeCell ref="I33:J33"/>
    <mergeCell ref="B34:D34"/>
    <mergeCell ref="B35:D35"/>
    <mergeCell ref="I35:J35"/>
    <mergeCell ref="B36:D36"/>
    <mergeCell ref="A38:C38"/>
    <mergeCell ref="B39:D39"/>
    <mergeCell ref="B40:D40"/>
    <mergeCell ref="B41:D41"/>
    <mergeCell ref="B42:D42"/>
    <mergeCell ref="B43:D43"/>
    <mergeCell ref="I30:J30"/>
    <mergeCell ref="I31:J31"/>
    <mergeCell ref="I39:J39"/>
    <mergeCell ref="I40:J40"/>
    <mergeCell ref="I41:J41"/>
    <mergeCell ref="I42:J42"/>
    <mergeCell ref="I43:J43"/>
    <mergeCell ref="B44:D44"/>
    <mergeCell ref="B45:D45"/>
    <mergeCell ref="B46:D46"/>
    <mergeCell ref="B47:D47"/>
    <mergeCell ref="B48:D48"/>
    <mergeCell ref="B49:D49"/>
    <mergeCell ref="B50:D50"/>
    <mergeCell ref="I44:J44"/>
    <mergeCell ref="I45:J45"/>
    <mergeCell ref="I46:J46"/>
    <mergeCell ref="I47:J47"/>
    <mergeCell ref="I48:J48"/>
    <mergeCell ref="I49:J49"/>
    <mergeCell ref="I53:J53"/>
    <mergeCell ref="I54:J54"/>
    <mergeCell ref="I55:J55"/>
    <mergeCell ref="I56:J56"/>
    <mergeCell ref="I57:J57"/>
    <mergeCell ref="I58:J58"/>
    <mergeCell ref="I59:J59"/>
    <mergeCell ref="I60:J60"/>
  </mergeCells>
  <dataValidations>
    <dataValidation type="list" allowBlank="1" showErrorMessage="1" sqref="A8:A19 A24:A35 A40:A49 A54:A63 A68:A78">
      <formula1>Datos!$D$2:$D$11</formula1>
    </dataValidation>
    <dataValidation type="list" allowBlank="1" showErrorMessage="1" sqref="J5">
      <formula1>Datos!$B$2:$B$12</formula1>
    </dataValidation>
    <dataValidation type="list" allowBlank="1" showErrorMessage="1" sqref="J6 J22 J38 J52 J66">
      <formula1>Datos!$D$2:$D$14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10.71"/>
    <col customWidth="1" min="24" max="24" width="7.86"/>
    <col customWidth="1" min="25" max="25" width="15.43"/>
    <col customWidth="1" min="26" max="28" width="10.71"/>
  </cols>
  <sheetData>
    <row r="1" ht="14.25" customHeight="1"/>
    <row r="2" ht="14.25" customHeight="1"/>
    <row r="3" ht="14.25" customHeight="1"/>
    <row r="4" ht="14.25" customHeight="1">
      <c r="F4" s="1"/>
    </row>
    <row r="5" ht="14.25" customHeight="1">
      <c r="J5" s="1"/>
    </row>
    <row r="6" ht="14.25" customHeight="1">
      <c r="A6" s="2" t="s">
        <v>848</v>
      </c>
      <c r="B6" s="3"/>
      <c r="C6" s="4"/>
      <c r="J6" s="1"/>
    </row>
    <row r="7" ht="14.25" customHeight="1">
      <c r="A7" s="5" t="s">
        <v>2</v>
      </c>
      <c r="B7" s="7" t="s">
        <v>4</v>
      </c>
      <c r="C7" s="8"/>
      <c r="D7" s="9"/>
      <c r="E7" s="5" t="s">
        <v>5</v>
      </c>
      <c r="F7" s="5" t="s">
        <v>6</v>
      </c>
      <c r="G7" s="5" t="s">
        <v>7</v>
      </c>
      <c r="H7" s="5" t="s">
        <v>8</v>
      </c>
      <c r="I7" s="7" t="s">
        <v>9</v>
      </c>
      <c r="J7" s="9"/>
      <c r="M7" s="11" t="s">
        <v>0</v>
      </c>
      <c r="N7" s="12"/>
      <c r="O7" s="12"/>
      <c r="P7" s="12"/>
      <c r="Q7" s="12"/>
      <c r="R7" s="12"/>
      <c r="S7" s="12"/>
      <c r="T7" s="12"/>
      <c r="U7" s="12"/>
      <c r="V7" s="12"/>
      <c r="W7" s="13"/>
      <c r="Y7" s="1"/>
      <c r="Z7" s="14" t="s">
        <v>10</v>
      </c>
      <c r="AA7" s="12"/>
      <c r="AB7" s="13"/>
    </row>
    <row r="8" ht="14.25" customHeight="1">
      <c r="A8" s="219"/>
      <c r="B8" s="220" t="s">
        <v>849</v>
      </c>
      <c r="C8" s="8"/>
      <c r="D8" s="9"/>
      <c r="E8" s="221">
        <v>2.0</v>
      </c>
      <c r="F8" s="221">
        <v>8.0</v>
      </c>
      <c r="G8" s="219"/>
      <c r="H8" s="219"/>
      <c r="I8" s="220" t="s">
        <v>15</v>
      </c>
      <c r="J8" s="9"/>
      <c r="M8" s="94"/>
      <c r="N8" s="1"/>
      <c r="O8" s="1"/>
      <c r="P8" s="1"/>
      <c r="Q8" s="1"/>
      <c r="R8" s="1"/>
      <c r="S8" s="1"/>
      <c r="T8" s="1"/>
      <c r="U8" s="1"/>
      <c r="V8" s="1"/>
      <c r="W8" s="1"/>
      <c r="Y8" s="1"/>
      <c r="Z8" s="222"/>
      <c r="AA8" s="1"/>
      <c r="AB8" s="1"/>
    </row>
    <row r="9" ht="14.25" customHeight="1">
      <c r="A9" s="219"/>
      <c r="B9" s="220" t="s">
        <v>850</v>
      </c>
      <c r="C9" s="8"/>
      <c r="D9" s="9"/>
      <c r="E9" s="221">
        <v>2.0</v>
      </c>
      <c r="F9" s="221">
        <v>8.0</v>
      </c>
      <c r="G9" s="219"/>
      <c r="H9" s="219"/>
      <c r="I9" s="223"/>
      <c r="J9" s="224"/>
      <c r="M9" s="94"/>
      <c r="N9" s="1"/>
      <c r="O9" s="1"/>
      <c r="P9" s="1"/>
      <c r="Q9" s="1"/>
      <c r="R9" s="1"/>
      <c r="S9" s="1"/>
      <c r="T9" s="1"/>
      <c r="U9" s="1"/>
      <c r="V9" s="1"/>
      <c r="W9" s="1"/>
      <c r="Y9" s="1"/>
      <c r="Z9" s="222"/>
      <c r="AA9" s="1"/>
      <c r="AB9" s="1"/>
    </row>
    <row r="10" ht="14.25" customHeight="1">
      <c r="A10" s="83"/>
      <c r="B10" s="85" t="s">
        <v>851</v>
      </c>
      <c r="C10" s="18"/>
      <c r="D10" s="20"/>
      <c r="E10" s="83">
        <v>2.0</v>
      </c>
      <c r="F10" s="83">
        <v>10.0</v>
      </c>
      <c r="G10" s="83"/>
      <c r="H10" s="83"/>
      <c r="I10" s="225"/>
      <c r="J10" s="224"/>
      <c r="M10" s="25"/>
      <c r="N10" s="28" t="s">
        <v>16</v>
      </c>
      <c r="O10" s="28" t="s">
        <v>26</v>
      </c>
      <c r="P10" s="28" t="s">
        <v>27</v>
      </c>
      <c r="Q10" s="28" t="s">
        <v>28</v>
      </c>
      <c r="R10" s="28" t="s">
        <v>29</v>
      </c>
      <c r="S10" s="28" t="s">
        <v>30</v>
      </c>
      <c r="T10" s="28" t="s">
        <v>31</v>
      </c>
      <c r="U10" s="28" t="s">
        <v>32</v>
      </c>
      <c r="V10" s="28" t="s">
        <v>33</v>
      </c>
      <c r="W10" s="28" t="s">
        <v>12</v>
      </c>
      <c r="Z10" s="28" t="s">
        <v>16</v>
      </c>
      <c r="AA10" s="1">
        <f>SUM(N11,N17,N23,N29,N34)</f>
        <v>8</v>
      </c>
    </row>
    <row r="11" ht="14.25" customHeight="1">
      <c r="A11" s="15" t="s">
        <v>12</v>
      </c>
      <c r="B11" s="17" t="s">
        <v>852</v>
      </c>
      <c r="C11" s="18"/>
      <c r="D11" s="20"/>
      <c r="E11" s="15">
        <v>3.0</v>
      </c>
      <c r="F11" s="15">
        <v>12.0</v>
      </c>
      <c r="G11" s="15"/>
      <c r="H11" s="15"/>
      <c r="I11" s="23"/>
      <c r="J11" s="9"/>
      <c r="M11" s="34" t="s">
        <v>36</v>
      </c>
      <c r="N11" s="37">
        <f>SUMIF(A10:A21,"Pecho",E10:E21)</f>
        <v>4</v>
      </c>
      <c r="O11" s="37">
        <f>SUMIF(A10:A21,"Espalda",E10:E21)</f>
        <v>0</v>
      </c>
      <c r="P11" s="37">
        <f>SUMIF($A10:$A21,"Hombros",$E10:$E21)</f>
        <v>6</v>
      </c>
      <c r="Q11" s="37">
        <f>SUMIF($A10:$A21,"Bíceps",$E10:$E21)</f>
        <v>0</v>
      </c>
      <c r="R11" s="37">
        <f>SUMIF($A10:$A21,"Tríceps",$E10:$E21)</f>
        <v>0</v>
      </c>
      <c r="S11" s="38">
        <f>SUMIF(A10:A21,"Cuádriceps",E10:E21)</f>
        <v>7</v>
      </c>
      <c r="T11" s="37">
        <f>SUMIF($A10:$A21,"Isquios",$E10:$E21)</f>
        <v>0</v>
      </c>
      <c r="U11" s="37">
        <f>SUMIF($A10:$A21,"Glúteos",$E10:$E21)</f>
        <v>0</v>
      </c>
      <c r="V11" s="37">
        <f>SUMIF($A10:$A21,"Pantorrillas",$E10:$E21)</f>
        <v>0</v>
      </c>
      <c r="W11" s="37">
        <f>SUMIF($A10:$A21,"Otros",$E10:$E21)</f>
        <v>19</v>
      </c>
      <c r="Z11" s="28" t="s">
        <v>26</v>
      </c>
      <c r="AA11" s="1">
        <f>SUM(O11,O17,O23,O29,O34)</f>
        <v>12</v>
      </c>
    </row>
    <row r="12" ht="14.25" customHeight="1">
      <c r="A12" s="15" t="s">
        <v>113</v>
      </c>
      <c r="B12" s="61" t="s">
        <v>855</v>
      </c>
      <c r="C12" s="8"/>
      <c r="D12" s="9"/>
      <c r="E12" s="15">
        <v>3.0</v>
      </c>
      <c r="F12" s="15">
        <v>10.0</v>
      </c>
      <c r="G12" s="15"/>
      <c r="H12" s="15"/>
      <c r="I12" s="217"/>
      <c r="J12" s="218"/>
      <c r="M12" s="34"/>
      <c r="N12" s="37"/>
      <c r="O12" s="37"/>
      <c r="P12" s="37"/>
      <c r="Q12" s="37"/>
      <c r="R12" s="37"/>
      <c r="S12" s="38"/>
      <c r="T12" s="37"/>
      <c r="U12" s="37"/>
      <c r="V12" s="37"/>
      <c r="W12" s="37"/>
      <c r="Z12" s="28"/>
      <c r="AA12" s="1"/>
    </row>
    <row r="13" ht="14.25" customHeight="1">
      <c r="A13" s="15" t="s">
        <v>12</v>
      </c>
      <c r="B13" s="17" t="s">
        <v>856</v>
      </c>
      <c r="C13" s="18"/>
      <c r="D13" s="20"/>
      <c r="E13" s="15">
        <v>3.0</v>
      </c>
      <c r="F13" s="15">
        <v>10.0</v>
      </c>
      <c r="G13" s="15"/>
      <c r="H13" s="15"/>
      <c r="I13" s="23"/>
      <c r="J13" s="9"/>
      <c r="M13" s="34" t="s">
        <v>7</v>
      </c>
      <c r="N13" s="35">
        <f>AVERAGEIF($A10:$A21,"Pecho",$G10:$G21)</f>
        <v>8</v>
      </c>
      <c r="O13" s="35" t="str">
        <f>AVERAGEIF($A10:$A21,"Espalda",$G10:$G21)</f>
        <v>#DIV/0!</v>
      </c>
      <c r="P13" s="35">
        <f>AVERAGEIF($A10:$A21,"Hombros",$G10:$G21)</f>
        <v>8</v>
      </c>
      <c r="Q13" s="35" t="str">
        <f>AVERAGEIF($A10:$A21,"Bíceps",$G10:$G21)</f>
        <v>#DIV/0!</v>
      </c>
      <c r="R13" s="35" t="str">
        <f>AVERAGEIF($A10:$A21,"Tríceps",$G10:$G21)</f>
        <v>#DIV/0!</v>
      </c>
      <c r="S13" s="35">
        <f>AVERAGEIF($A10:$A21,"Cuádriceps",$G10:$G21)</f>
        <v>7.5</v>
      </c>
      <c r="T13" s="35" t="str">
        <f>AVERAGEIF($A10:$A21,"Isquios",$G10:$G21)</f>
        <v>#DIV/0!</v>
      </c>
      <c r="U13" s="35" t="str">
        <f>AVERAGEIF($A10:$A21,"Glúteos",$G10:$G21)</f>
        <v>#DIV/0!</v>
      </c>
      <c r="V13" s="35" t="str">
        <f>AVERAGEIF($A10:$A21,"Pantorrillas",$G10:$G21)</f>
        <v>#DIV/0!</v>
      </c>
      <c r="W13" s="35">
        <f>AVERAGEIF($A10:$A21,"Otros",$G10:$G21)</f>
        <v>7</v>
      </c>
      <c r="Z13" s="28" t="s">
        <v>27</v>
      </c>
      <c r="AA13" s="1">
        <f>SUM(P11,P17,P23,P29,P34)</f>
        <v>6</v>
      </c>
    </row>
    <row r="14" ht="14.25" customHeight="1">
      <c r="A14" s="49" t="s">
        <v>16</v>
      </c>
      <c r="B14" s="50" t="s">
        <v>52</v>
      </c>
      <c r="C14" s="18"/>
      <c r="D14" s="20"/>
      <c r="E14" s="49">
        <v>4.0</v>
      </c>
      <c r="F14" s="49" t="s">
        <v>858</v>
      </c>
      <c r="G14" s="49">
        <v>8.0</v>
      </c>
      <c r="H14" s="49" t="s">
        <v>55</v>
      </c>
      <c r="I14" s="51" t="s">
        <v>859</v>
      </c>
      <c r="J14" s="9"/>
      <c r="M14" s="25"/>
      <c r="N14" s="25"/>
      <c r="O14" s="25"/>
      <c r="P14" s="25"/>
      <c r="Q14" s="25"/>
      <c r="R14" s="25"/>
      <c r="S14" s="25"/>
      <c r="T14" s="25"/>
      <c r="U14" s="25"/>
      <c r="Z14" s="28" t="s">
        <v>28</v>
      </c>
      <c r="AA14" s="1">
        <f>SUM(Q11,Q17,Q23,Q29,Q34)</f>
        <v>3</v>
      </c>
    </row>
    <row r="15" ht="14.25" customHeight="1">
      <c r="A15" s="15" t="s">
        <v>27</v>
      </c>
      <c r="B15" s="17" t="s">
        <v>860</v>
      </c>
      <c r="C15" s="18"/>
      <c r="D15" s="20"/>
      <c r="E15" s="15">
        <v>3.0</v>
      </c>
      <c r="F15" s="15">
        <v>10.0</v>
      </c>
      <c r="G15" s="15">
        <v>8.0</v>
      </c>
      <c r="H15" s="15"/>
      <c r="I15" s="23"/>
      <c r="J15" s="9"/>
      <c r="M15" s="11" t="s">
        <v>45</v>
      </c>
      <c r="N15" s="12"/>
      <c r="O15" s="12"/>
      <c r="P15" s="12"/>
      <c r="Q15" s="12"/>
      <c r="R15" s="12"/>
      <c r="S15" s="12"/>
      <c r="T15" s="12"/>
      <c r="U15" s="12"/>
      <c r="V15" s="12"/>
      <c r="W15" s="13"/>
      <c r="Z15" s="28" t="s">
        <v>29</v>
      </c>
      <c r="AA15" s="1">
        <f>SUM(R11,R17,R23,R29,R34)</f>
        <v>0</v>
      </c>
    </row>
    <row r="16" ht="14.25" customHeight="1">
      <c r="A16" s="15" t="s">
        <v>30</v>
      </c>
      <c r="B16" s="17" t="s">
        <v>861</v>
      </c>
      <c r="C16" s="18"/>
      <c r="D16" s="20"/>
      <c r="E16" s="15">
        <v>4.0</v>
      </c>
      <c r="F16" s="15" t="s">
        <v>71</v>
      </c>
      <c r="G16" s="15">
        <v>7.0</v>
      </c>
      <c r="H16" s="15"/>
      <c r="I16" s="23"/>
      <c r="J16" s="9"/>
      <c r="M16" s="25"/>
      <c r="N16" s="28" t="s">
        <v>16</v>
      </c>
      <c r="O16" s="28" t="s">
        <v>26</v>
      </c>
      <c r="P16" s="28" t="s">
        <v>27</v>
      </c>
      <c r="Q16" s="28" t="s">
        <v>28</v>
      </c>
      <c r="R16" s="28" t="s">
        <v>29</v>
      </c>
      <c r="S16" s="28" t="s">
        <v>30</v>
      </c>
      <c r="T16" s="28" t="s">
        <v>31</v>
      </c>
      <c r="U16" s="28" t="s">
        <v>32</v>
      </c>
      <c r="V16" s="28" t="s">
        <v>33</v>
      </c>
      <c r="W16" s="28" t="s">
        <v>12</v>
      </c>
      <c r="Z16" s="28" t="s">
        <v>30</v>
      </c>
      <c r="AA16" s="1">
        <f>SUM(S11,S17,S23,S29,S34)</f>
        <v>20</v>
      </c>
    </row>
    <row r="17" ht="14.25" customHeight="1">
      <c r="A17" s="49" t="s">
        <v>30</v>
      </c>
      <c r="B17" s="50" t="s">
        <v>104</v>
      </c>
      <c r="C17" s="18"/>
      <c r="D17" s="20"/>
      <c r="E17" s="49">
        <v>3.0</v>
      </c>
      <c r="F17" s="49">
        <v>16.0</v>
      </c>
      <c r="G17" s="49">
        <v>8.0</v>
      </c>
      <c r="H17" s="49"/>
      <c r="I17" s="51" t="s">
        <v>862</v>
      </c>
      <c r="J17" s="9"/>
      <c r="M17" s="34" t="s">
        <v>36</v>
      </c>
      <c r="N17" s="35">
        <f>SUMIF($A26:$A37,"Pecho",$E26:$E37)</f>
        <v>0</v>
      </c>
      <c r="O17" s="35">
        <f>SUMIF($A26:$A37,"Espalda",$E26:$E37)</f>
        <v>0</v>
      </c>
      <c r="P17" s="35">
        <f>SUMIF($A26:$A37,"Hombros",$E26:$E37)</f>
        <v>0</v>
      </c>
      <c r="Q17" s="35">
        <f>SUMIF($A26:$A37,"Bíceps",$E26:$E37)</f>
        <v>3</v>
      </c>
      <c r="R17" s="35">
        <f>SUMIF($A26:$A37,"Tríceps",$E26:$E37)</f>
        <v>0</v>
      </c>
      <c r="S17" s="35">
        <f>SUMIF($A26:$A37,"Cuádriceps",$E26:$E37)</f>
        <v>7</v>
      </c>
      <c r="T17" s="35">
        <f>SUMIF($A26:$A37,"Isquios",$E26:$E37)</f>
        <v>0</v>
      </c>
      <c r="U17" s="35">
        <f>SUMIF($A26:$A37,"Glúteos",$E26:$E37)</f>
        <v>7</v>
      </c>
      <c r="V17" s="35">
        <f>SUMIF($A26:$A37,"Pantorrillas",$E26:$E37)</f>
        <v>3</v>
      </c>
      <c r="W17" s="35">
        <f>SUMIF($A26:$A37,"Otros",$E26:$E37)</f>
        <v>18</v>
      </c>
      <c r="Z17" s="28" t="s">
        <v>31</v>
      </c>
      <c r="AA17" s="1">
        <f>SUM(T11,T17,T23,T29,T34)</f>
        <v>10</v>
      </c>
    </row>
    <row r="18" ht="14.25" customHeight="1">
      <c r="A18" s="49" t="s">
        <v>27</v>
      </c>
      <c r="B18" s="50" t="s">
        <v>863</v>
      </c>
      <c r="C18" s="18"/>
      <c r="D18" s="20"/>
      <c r="E18" s="49">
        <v>3.0</v>
      </c>
      <c r="F18" s="49">
        <v>10.0</v>
      </c>
      <c r="G18" s="49">
        <v>8.0</v>
      </c>
      <c r="H18" s="49"/>
      <c r="I18" s="51"/>
      <c r="J18" s="9"/>
      <c r="M18" s="34" t="s">
        <v>7</v>
      </c>
      <c r="N18" s="35" t="str">
        <f>AVERAGEIF($A26:$A37,"Pecho",$G26:$G37)</f>
        <v>#DIV/0!</v>
      </c>
      <c r="O18" s="35" t="str">
        <f>AVERAGEIF($A26:$A37,"Espalda",$G26:$G37)</f>
        <v>#DIV/0!</v>
      </c>
      <c r="P18" s="35" t="str">
        <f>AVERAGEIF($A26:$A37,"Hombros",$G26:$G37)</f>
        <v>#DIV/0!</v>
      </c>
      <c r="Q18" s="35" t="str">
        <f>AVERAGEIF($A26:$A37,"Bíceps",$G26:$G37)</f>
        <v>#DIV/0!</v>
      </c>
      <c r="R18" s="35" t="str">
        <f>AVERAGEIF($A26:$A37,"Tríceps",$G26:$G37)</f>
        <v>#DIV/0!</v>
      </c>
      <c r="S18" s="35" t="str">
        <f>AVERAGEIF($A26:$A37,"Cuádriceps",$G26:$G37)</f>
        <v>#DIV/0!</v>
      </c>
      <c r="T18" s="35" t="str">
        <f>AVERAGEIF($A26:$A37,"Isquios",$G26:$G37)</f>
        <v>#DIV/0!</v>
      </c>
      <c r="U18" s="35">
        <f>AVERAGEIF($A26:$A37,"Glúteos",$G26:$G37)</f>
        <v>7.5</v>
      </c>
      <c r="V18" s="35" t="str">
        <f>AVERAGEIF($A26:$A37,"Pantorrillas",$G26:$G37)</f>
        <v>#DIV/0!</v>
      </c>
      <c r="W18" s="35" t="str">
        <f>AVERAGEIF($A26:$A37,"Otros",$G26:$G37)</f>
        <v>#DIV/0!</v>
      </c>
      <c r="Z18" s="28" t="s">
        <v>32</v>
      </c>
      <c r="AA18" s="1">
        <f>SUM(U11,U17,U23,U29,U34)</f>
        <v>10</v>
      </c>
    </row>
    <row r="19" ht="14.25" customHeight="1">
      <c r="A19" s="27" t="s">
        <v>113</v>
      </c>
      <c r="B19" s="30" t="s">
        <v>129</v>
      </c>
      <c r="C19" s="18"/>
      <c r="D19" s="20"/>
      <c r="E19" s="27">
        <v>3.0</v>
      </c>
      <c r="F19" s="27">
        <v>16.0</v>
      </c>
      <c r="G19" s="27">
        <v>7.0</v>
      </c>
      <c r="H19" s="27"/>
      <c r="I19" s="33" t="s">
        <v>865</v>
      </c>
      <c r="J19" s="9"/>
      <c r="M19" s="25"/>
      <c r="N19" s="25"/>
      <c r="O19" s="25"/>
      <c r="P19" s="25"/>
      <c r="Q19" s="25"/>
      <c r="R19" s="25"/>
      <c r="S19" s="25"/>
      <c r="T19" s="25"/>
      <c r="U19" s="25"/>
      <c r="Z19" s="28" t="s">
        <v>33</v>
      </c>
      <c r="AA19" s="1">
        <f>SUM(V11,V17,V23,V29,V34)</f>
        <v>6</v>
      </c>
    </row>
    <row r="20" ht="14.25" customHeight="1">
      <c r="A20" s="27" t="s">
        <v>113</v>
      </c>
      <c r="B20" s="60" t="s">
        <v>866</v>
      </c>
      <c r="C20" s="8"/>
      <c r="D20" s="9"/>
      <c r="E20" s="27">
        <v>3.0</v>
      </c>
      <c r="F20" s="27" t="s">
        <v>376</v>
      </c>
      <c r="G20" s="27"/>
      <c r="H20" s="27"/>
      <c r="I20" s="153"/>
      <c r="J20" s="154"/>
      <c r="M20" s="25"/>
      <c r="N20" s="25"/>
      <c r="O20" s="25"/>
      <c r="P20" s="25"/>
      <c r="Q20" s="25"/>
      <c r="R20" s="25"/>
      <c r="S20" s="25"/>
      <c r="T20" s="25"/>
      <c r="U20" s="25"/>
      <c r="Z20" s="28"/>
      <c r="AA20" s="1"/>
    </row>
    <row r="21" ht="14.25" customHeight="1">
      <c r="A21" s="27" t="s">
        <v>113</v>
      </c>
      <c r="B21" s="30" t="s">
        <v>867</v>
      </c>
      <c r="C21" s="18"/>
      <c r="D21" s="20"/>
      <c r="E21" s="27">
        <v>4.0</v>
      </c>
      <c r="F21" s="27" t="s">
        <v>868</v>
      </c>
      <c r="G21" s="27"/>
      <c r="H21" s="27"/>
      <c r="I21" s="33"/>
      <c r="J21" s="9"/>
      <c r="M21" s="11" t="s">
        <v>57</v>
      </c>
      <c r="N21" s="12"/>
      <c r="O21" s="12"/>
      <c r="P21" s="12"/>
      <c r="Q21" s="12"/>
      <c r="R21" s="12"/>
      <c r="S21" s="12"/>
      <c r="T21" s="12"/>
      <c r="U21" s="12"/>
      <c r="V21" s="12"/>
      <c r="W21" s="13"/>
      <c r="Z21" s="28" t="s">
        <v>12</v>
      </c>
      <c r="AA21" s="1">
        <f>SUM(W11,W17,W23,W29,W34)</f>
        <v>54</v>
      </c>
    </row>
    <row r="22" ht="14.25" customHeight="1">
      <c r="B22" s="26"/>
      <c r="C22" s="29"/>
      <c r="D22" s="29"/>
      <c r="M22" s="25"/>
      <c r="N22" s="28" t="s">
        <v>16</v>
      </c>
      <c r="O22" s="28" t="s">
        <v>26</v>
      </c>
      <c r="P22" s="28" t="s">
        <v>27</v>
      </c>
      <c r="Q22" s="28" t="s">
        <v>28</v>
      </c>
      <c r="R22" s="28" t="s">
        <v>29</v>
      </c>
      <c r="S22" s="28" t="s">
        <v>30</v>
      </c>
      <c r="T22" s="28" t="s">
        <v>31</v>
      </c>
      <c r="U22" s="28" t="s">
        <v>32</v>
      </c>
      <c r="V22" s="28" t="s">
        <v>33</v>
      </c>
      <c r="W22" s="28" t="s">
        <v>12</v>
      </c>
    </row>
    <row r="23" ht="14.25" customHeight="1">
      <c r="M23" s="34" t="s">
        <v>36</v>
      </c>
      <c r="N23" s="35">
        <f>SUMIF($A42:$A52,"Pecho",$E42:$E52)</f>
        <v>0</v>
      </c>
      <c r="O23" s="35">
        <f>SUMIF($A42:$A52,"Espalda",$E42:$E52)</f>
        <v>8</v>
      </c>
      <c r="P23" s="35">
        <f>SUMIF($A42:$A52,"Hombros",$E42:$E52)</f>
        <v>0</v>
      </c>
      <c r="Q23" s="35">
        <f>SUMIF($A42:$A52,"Bíceps",$E42:$E52)</f>
        <v>0</v>
      </c>
      <c r="R23" s="35">
        <f>SUMIF($A42:$A52,"Tríceps",$E42:$E52)</f>
        <v>0</v>
      </c>
      <c r="S23" s="35">
        <f>SUMIF($A42:$A52,"Cuádriceps",$E42:$E52)</f>
        <v>0</v>
      </c>
      <c r="T23" s="35">
        <f>SUMIF($A42:$A52,"Isquios",$E42:$E52)</f>
        <v>7</v>
      </c>
      <c r="U23" s="35">
        <f>SUMIF($A42:$A52,"Glúteos",$E42:$E52)</f>
        <v>0</v>
      </c>
      <c r="V23" s="35">
        <f>SUMIF($A42:$A52,"Pantorrillas",$E42:$E52)</f>
        <v>0</v>
      </c>
      <c r="W23" s="35">
        <f>SUMIF($A42:$A52,"Otros",$E42:$E52)</f>
        <v>17</v>
      </c>
    </row>
    <row r="24" ht="14.25" customHeight="1">
      <c r="A24" s="2" t="s">
        <v>97</v>
      </c>
      <c r="B24" s="3"/>
      <c r="C24" s="4"/>
      <c r="J24" s="1"/>
      <c r="M24" s="34" t="s">
        <v>7</v>
      </c>
      <c r="N24" s="35" t="str">
        <f>AVERAGEIF($A42:$A52,"Pecho",$G42:$G52)</f>
        <v>#DIV/0!</v>
      </c>
      <c r="O24" s="35">
        <f>AVERAGEIF($A42:$A52,"Espalda",$G42:$G52)</f>
        <v>8</v>
      </c>
      <c r="P24" s="35" t="str">
        <f>AVERAGEIF($A42:$A52,"Hombros",$G42:$G52)</f>
        <v>#DIV/0!</v>
      </c>
      <c r="Q24" s="35" t="str">
        <f>AVERAGEIF($A42:$A52,"Bíceps",$G42:$G52)</f>
        <v>#DIV/0!</v>
      </c>
      <c r="R24" s="35" t="str">
        <f>AVERAGEIF($A42:$A52,"Tríceps",$G42:$G52)</f>
        <v>#DIV/0!</v>
      </c>
      <c r="S24" s="35" t="str">
        <f>AVERAGEIF($A42:$A52,"Cuádriceps",$G42:$G52)</f>
        <v>#DIV/0!</v>
      </c>
      <c r="T24" s="35">
        <f>AVERAGEIF($A42:$A52,"Isquios",$G42:$G52)</f>
        <v>8</v>
      </c>
      <c r="U24" s="35" t="str">
        <f>AVERAGEIF($A42:$A52,"Glúteos",$G42:$G52)</f>
        <v>#DIV/0!</v>
      </c>
      <c r="V24" s="35" t="str">
        <f>AVERAGEIF($A42:$A52,"Pantorrillas",$G42:$G52)</f>
        <v>#DIV/0!</v>
      </c>
      <c r="W24" s="35" t="str">
        <f>AVERAGEIF($A42:$A52,"Otros",$G42:$G52)</f>
        <v>#DIV/0!</v>
      </c>
    </row>
    <row r="25" ht="14.25" customHeight="1">
      <c r="A25" s="5" t="s">
        <v>2</v>
      </c>
      <c r="B25" s="7" t="s">
        <v>4</v>
      </c>
      <c r="C25" s="8"/>
      <c r="D25" s="9"/>
      <c r="E25" s="5" t="s">
        <v>5</v>
      </c>
      <c r="F25" s="5" t="s">
        <v>6</v>
      </c>
      <c r="G25" s="5" t="s">
        <v>7</v>
      </c>
      <c r="H25" s="5" t="s">
        <v>8</v>
      </c>
      <c r="I25" s="7" t="s">
        <v>9</v>
      </c>
      <c r="J25" s="9"/>
      <c r="M25" s="25"/>
      <c r="N25" s="25"/>
      <c r="O25" s="25"/>
      <c r="P25" s="25"/>
      <c r="Q25" s="25"/>
      <c r="R25" s="25"/>
      <c r="S25" s="25"/>
      <c r="T25" s="25"/>
      <c r="U25" s="25"/>
    </row>
    <row r="26" ht="14.25" customHeight="1">
      <c r="A26" s="15" t="s">
        <v>12</v>
      </c>
      <c r="B26" s="17" t="s">
        <v>875</v>
      </c>
      <c r="C26" s="18"/>
      <c r="D26" s="20"/>
      <c r="E26" s="15">
        <v>2.0</v>
      </c>
      <c r="F26" s="15">
        <v>10.0</v>
      </c>
      <c r="G26" s="15"/>
      <c r="H26" s="15" t="s">
        <v>876</v>
      </c>
      <c r="I26" s="23" t="s">
        <v>877</v>
      </c>
      <c r="J26" s="9"/>
      <c r="M26" s="11" t="s">
        <v>66</v>
      </c>
      <c r="N26" s="12"/>
      <c r="O26" s="12"/>
      <c r="P26" s="12"/>
      <c r="Q26" s="12"/>
      <c r="R26" s="12"/>
      <c r="S26" s="12"/>
      <c r="T26" s="12"/>
      <c r="U26" s="12"/>
      <c r="V26" s="12"/>
      <c r="W26" s="13"/>
    </row>
    <row r="27" ht="14.25" customHeight="1">
      <c r="A27" s="15" t="s">
        <v>12</v>
      </c>
      <c r="B27" s="17" t="s">
        <v>879</v>
      </c>
      <c r="C27" s="18"/>
      <c r="D27" s="20"/>
      <c r="E27" s="15">
        <v>2.0</v>
      </c>
      <c r="F27" s="15" t="s">
        <v>880</v>
      </c>
      <c r="G27" s="15"/>
      <c r="H27" s="15"/>
      <c r="I27" s="23"/>
      <c r="J27" s="9"/>
      <c r="M27" s="25"/>
      <c r="N27" s="28" t="s">
        <v>16</v>
      </c>
      <c r="O27" s="28" t="s">
        <v>26</v>
      </c>
      <c r="P27" s="28" t="s">
        <v>27</v>
      </c>
      <c r="Q27" s="28" t="s">
        <v>28</v>
      </c>
      <c r="R27" s="28" t="s">
        <v>29</v>
      </c>
      <c r="S27" s="28" t="s">
        <v>30</v>
      </c>
      <c r="T27" s="28" t="s">
        <v>31</v>
      </c>
      <c r="U27" s="28" t="s">
        <v>32</v>
      </c>
      <c r="V27" s="28" t="s">
        <v>33</v>
      </c>
      <c r="W27" s="28" t="s">
        <v>12</v>
      </c>
    </row>
    <row r="28" ht="14.25" customHeight="1">
      <c r="A28" s="15" t="s">
        <v>113</v>
      </c>
      <c r="B28" s="61" t="s">
        <v>882</v>
      </c>
      <c r="C28" s="8"/>
      <c r="D28" s="9"/>
      <c r="E28" s="15">
        <v>3.0</v>
      </c>
      <c r="F28" s="129" t="s">
        <v>65</v>
      </c>
      <c r="G28" s="15"/>
      <c r="H28" s="15"/>
      <c r="I28" s="61" t="s">
        <v>883</v>
      </c>
      <c r="J28" s="9"/>
      <c r="M28" s="25"/>
      <c r="N28" s="28"/>
      <c r="O28" s="28"/>
      <c r="P28" s="28"/>
      <c r="Q28" s="28"/>
      <c r="R28" s="28"/>
      <c r="S28" s="28"/>
      <c r="T28" s="28"/>
      <c r="U28" s="28"/>
      <c r="V28" s="28"/>
      <c r="W28" s="28"/>
    </row>
    <row r="29" ht="14.25" customHeight="1">
      <c r="A29" s="15" t="s">
        <v>12</v>
      </c>
      <c r="B29" s="17" t="s">
        <v>854</v>
      </c>
      <c r="C29" s="18"/>
      <c r="D29" s="20"/>
      <c r="E29" s="15">
        <v>3.0</v>
      </c>
      <c r="F29" s="15">
        <v>10.0</v>
      </c>
      <c r="G29" s="15"/>
      <c r="H29" s="15"/>
      <c r="I29" s="23"/>
      <c r="J29" s="9"/>
      <c r="M29" s="34" t="s">
        <v>36</v>
      </c>
      <c r="N29" s="35">
        <f>SUMIF($A57:$A66,"Pecho",$E57:$E66)</f>
        <v>4</v>
      </c>
      <c r="O29" s="35">
        <f>SUMIF($A57:$A66,"Espalda",$E57:$E66)</f>
        <v>4</v>
      </c>
      <c r="P29" s="35">
        <f>SUMIF($A57:$A66,"Hombros",$E57:$E66)</f>
        <v>0</v>
      </c>
      <c r="Q29" s="35">
        <f>SUMIF($A57:$A66,"Bíceps",$E57:$E66)</f>
        <v>0</v>
      </c>
      <c r="R29" s="35">
        <f>SUMIF($A57:$A66,"Tríceps",$E57:$E66)</f>
        <v>0</v>
      </c>
      <c r="S29" s="35">
        <f>SUMIF($A57:$A66,"Cuádriceps",$E57:$E66)</f>
        <v>6</v>
      </c>
      <c r="T29" s="35">
        <f>SUMIF($A57:$A66,"Isquios",$E57:$E66)</f>
        <v>3</v>
      </c>
      <c r="U29" s="35">
        <f>SUMIF($A57:$A66,"Glúteos",$E57:$E66)</f>
        <v>3</v>
      </c>
      <c r="V29" s="35">
        <f>SUMIF($A57:$A66,"Pantorrillas",$E57:$E66)</f>
        <v>3</v>
      </c>
      <c r="W29" s="35">
        <f>SUMIF($A57:$A66,"Otros",$E57:$E66)</f>
        <v>0</v>
      </c>
    </row>
    <row r="30" ht="14.25" customHeight="1">
      <c r="A30" s="49" t="s">
        <v>30</v>
      </c>
      <c r="B30" s="50" t="s">
        <v>102</v>
      </c>
      <c r="C30" s="18"/>
      <c r="D30" s="20"/>
      <c r="E30" s="49">
        <v>4.0</v>
      </c>
      <c r="F30" s="49" t="s">
        <v>886</v>
      </c>
      <c r="G30" s="49" t="s">
        <v>103</v>
      </c>
      <c r="H30" s="49" t="s">
        <v>55</v>
      </c>
      <c r="I30" s="51" t="s">
        <v>667</v>
      </c>
      <c r="J30" s="9"/>
      <c r="M30" s="34" t="s">
        <v>7</v>
      </c>
      <c r="N30" s="35">
        <f>AVERAGEIF($A57:$A66,"Pecho",$G57:$G66)</f>
        <v>7</v>
      </c>
      <c r="O30" s="35">
        <f>AVERAGEIF($A57:$A66,"Espalda",$G57:$G66)</f>
        <v>8</v>
      </c>
      <c r="P30" s="35" t="str">
        <f>AVERAGEIF($A57:$A66,"Hombros",$G57:$G66)</f>
        <v>#DIV/0!</v>
      </c>
      <c r="Q30" s="35" t="str">
        <f>AVERAGEIF($A57:$A66,"Bíceps",$G57:$G66)</f>
        <v>#DIV/0!</v>
      </c>
      <c r="R30" s="35" t="str">
        <f>AVERAGEIF($A57:$A66,"Tríceps",$G57:$G66)</f>
        <v>#DIV/0!</v>
      </c>
      <c r="S30" s="35">
        <f>AVERAGEIF($A57:$A66,"Cuádriceps",$G57:$G66)</f>
        <v>6</v>
      </c>
      <c r="T30" s="35">
        <f>AVERAGEIF($A57:$A66,"Isquios",$G57:$G66)</f>
        <v>7</v>
      </c>
      <c r="U30" s="35">
        <f>AVERAGEIF($A57:$A66,"Glúteos",$G57:$G66)</f>
        <v>6</v>
      </c>
      <c r="V30" s="35">
        <f>AVERAGEIF($A57:$A66,"Pantorrillas",$G57:$G66)</f>
        <v>7</v>
      </c>
      <c r="W30" s="35" t="str">
        <f>AVERAGEIF($A57:$A66,"Otros",$G57:$G66)</f>
        <v>#DIV/0!</v>
      </c>
    </row>
    <row r="31" ht="14.25" customHeight="1">
      <c r="A31" s="49" t="s">
        <v>32</v>
      </c>
      <c r="B31" s="50" t="s">
        <v>895</v>
      </c>
      <c r="C31" s="18"/>
      <c r="D31" s="20"/>
      <c r="E31" s="49">
        <v>3.0</v>
      </c>
      <c r="F31" s="49" t="s">
        <v>71</v>
      </c>
      <c r="G31" s="49">
        <v>7.0</v>
      </c>
      <c r="H31" s="49"/>
      <c r="I31" s="51" t="s">
        <v>896</v>
      </c>
      <c r="J31" s="9"/>
      <c r="M31" s="25"/>
      <c r="N31" s="25"/>
      <c r="O31" s="25"/>
      <c r="P31" s="25"/>
      <c r="Q31" s="25"/>
      <c r="R31" s="25"/>
      <c r="S31" s="25"/>
      <c r="T31" s="25"/>
      <c r="U31" s="25"/>
    </row>
    <row r="32" ht="14.25" customHeight="1">
      <c r="A32" s="49" t="s">
        <v>32</v>
      </c>
      <c r="B32" s="50" t="s">
        <v>900</v>
      </c>
      <c r="C32" s="18"/>
      <c r="D32" s="20"/>
      <c r="E32" s="49">
        <v>4.0</v>
      </c>
      <c r="F32" s="49">
        <v>8.0</v>
      </c>
      <c r="G32" s="49">
        <v>8.0</v>
      </c>
      <c r="H32" s="49"/>
      <c r="I32" s="51"/>
      <c r="J32" s="9"/>
      <c r="M32" s="11" t="s">
        <v>76</v>
      </c>
      <c r="N32" s="12"/>
      <c r="O32" s="12"/>
      <c r="P32" s="12"/>
      <c r="Q32" s="12"/>
      <c r="R32" s="12"/>
      <c r="S32" s="12"/>
      <c r="T32" s="12"/>
      <c r="U32" s="12"/>
      <c r="V32" s="12"/>
      <c r="W32" s="13"/>
    </row>
    <row r="33" ht="14.25" customHeight="1">
      <c r="A33" s="15" t="s">
        <v>28</v>
      </c>
      <c r="B33" s="17" t="s">
        <v>902</v>
      </c>
      <c r="C33" s="18"/>
      <c r="D33" s="20"/>
      <c r="E33" s="15">
        <v>3.0</v>
      </c>
      <c r="F33" s="15">
        <v>12.0</v>
      </c>
      <c r="G33" s="15"/>
      <c r="H33" s="15"/>
      <c r="I33" s="23"/>
      <c r="J33" s="9"/>
      <c r="M33" s="25"/>
      <c r="N33" s="28" t="s">
        <v>16</v>
      </c>
      <c r="O33" s="28" t="s">
        <v>26</v>
      </c>
      <c r="P33" s="28" t="s">
        <v>27</v>
      </c>
      <c r="Q33" s="28" t="s">
        <v>28</v>
      </c>
      <c r="R33" s="28" t="s">
        <v>29</v>
      </c>
      <c r="S33" s="28" t="s">
        <v>30</v>
      </c>
      <c r="T33" s="28" t="s">
        <v>31</v>
      </c>
      <c r="U33" s="28" t="s">
        <v>32</v>
      </c>
      <c r="V33" s="28" t="s">
        <v>33</v>
      </c>
      <c r="W33" s="28" t="s">
        <v>12</v>
      </c>
    </row>
    <row r="34" ht="14.25" customHeight="1">
      <c r="A34" s="27" t="s">
        <v>30</v>
      </c>
      <c r="B34" s="30" t="s">
        <v>905</v>
      </c>
      <c r="C34" s="18"/>
      <c r="D34" s="20"/>
      <c r="E34" s="27">
        <v>3.0</v>
      </c>
      <c r="F34" s="27">
        <v>12.0</v>
      </c>
      <c r="G34" s="27"/>
      <c r="H34" s="27"/>
      <c r="I34" s="33"/>
      <c r="J34" s="9"/>
      <c r="M34" s="34" t="s">
        <v>36</v>
      </c>
      <c r="N34" s="35">
        <f>SUMIF($A71:$A80,"Pecho",$E71:$E80)</f>
        <v>0</v>
      </c>
      <c r="O34" s="35">
        <f>SUMIF($A71:$A80,"Espalda",$E71:$E80)</f>
        <v>0</v>
      </c>
      <c r="P34" s="35">
        <f>SUMIF($A71:$A80,"Hombros",$E71:$E80)</f>
        <v>0</v>
      </c>
      <c r="Q34" s="35">
        <f>SUMIF($A71:$A80,"Bíceps",$E71:$E80)</f>
        <v>0</v>
      </c>
      <c r="R34" s="35">
        <f>SUMIF($A71:$A80,"Tríceps",$E71:$E80)</f>
        <v>0</v>
      </c>
      <c r="S34" s="35">
        <f>SUMIF($A71:$A80,"Cuádriceps",$E71:$E80)</f>
        <v>0</v>
      </c>
      <c r="T34" s="35">
        <f>SUMIF($A71:$A80,"Isquios",$E71:$E80)</f>
        <v>0</v>
      </c>
      <c r="U34" s="35">
        <f>SUMIF($A71:$A80,"Glúteos",$E71:$E80)</f>
        <v>0</v>
      </c>
      <c r="V34" s="35">
        <f>SUMIF($A71:$A80,"Pantorrillas",$E71:$E80)</f>
        <v>0</v>
      </c>
      <c r="W34" s="35">
        <f>SUMIF($A71:$A80,"Otros",$E71:$E80)</f>
        <v>0</v>
      </c>
    </row>
    <row r="35" ht="14.25" customHeight="1">
      <c r="A35" s="27" t="s">
        <v>113</v>
      </c>
      <c r="B35" s="60" t="s">
        <v>909</v>
      </c>
      <c r="C35" s="8"/>
      <c r="D35" s="9"/>
      <c r="E35" s="27">
        <v>3.0</v>
      </c>
      <c r="F35" s="27">
        <v>6.0</v>
      </c>
      <c r="G35" s="27"/>
      <c r="H35" s="27"/>
      <c r="I35" s="33"/>
      <c r="J35" s="9"/>
      <c r="M35" s="34" t="s">
        <v>7</v>
      </c>
      <c r="N35" s="35">
        <f>AVERAGEIF($A71:$A80,"Pecho",$G71:$G80)</f>
        <v>6</v>
      </c>
      <c r="O35" s="35" t="str">
        <f>AVERAGEIF($A71:$A80,"Espalda",$G71:$G80)</f>
        <v>#DIV/0!</v>
      </c>
      <c r="P35" s="35" t="str">
        <f>AVERAGEIF($A71:$A80,"Hombros",$G71:$G80)</f>
        <v>#DIV/0!</v>
      </c>
      <c r="Q35" s="35">
        <f>AVERAGEIF($A71:$A80,"Bíceps",$G71:$G80)</f>
        <v>7</v>
      </c>
      <c r="R35" s="35" t="str">
        <f>AVERAGEIF($A71:$A80,"Tríceps",$G71:$G80)</f>
        <v>#DIV/0!</v>
      </c>
      <c r="S35" s="35" t="str">
        <f>AVERAGEIF($A71:$A80,"Cuádriceps",$G71:$G80)</f>
        <v>#DIV/0!</v>
      </c>
      <c r="T35" s="35">
        <f>AVERAGEIF($A71:$A80,"Isquios",$G71:$G80)</f>
        <v>6</v>
      </c>
      <c r="U35" s="35" t="str">
        <f>AVERAGEIF($A71:$A80,"Glúteos",$G71:$G80)</f>
        <v>#DIV/0!</v>
      </c>
      <c r="V35" s="35">
        <f>AVERAGEIF($A71:$A80,"Pantorrillas",$G71:$G80)</f>
        <v>7</v>
      </c>
      <c r="W35" s="35" t="str">
        <f>AVERAGEIF($A71:$A80,"Otros",$G71:$G80)</f>
        <v>#DIV/0!</v>
      </c>
    </row>
    <row r="36" ht="14.25" customHeight="1">
      <c r="A36" s="27" t="s">
        <v>33</v>
      </c>
      <c r="B36" s="196" t="s">
        <v>920</v>
      </c>
      <c r="C36" s="8"/>
      <c r="D36" s="9"/>
      <c r="E36" s="27">
        <v>3.0</v>
      </c>
      <c r="F36" s="27">
        <v>2.0</v>
      </c>
      <c r="G36" s="27"/>
      <c r="H36" s="27"/>
      <c r="I36" s="153"/>
      <c r="J36" s="154"/>
      <c r="M36" s="65"/>
      <c r="N36" s="25"/>
      <c r="O36" s="25"/>
      <c r="P36" s="25"/>
      <c r="Q36" s="25"/>
      <c r="R36" s="25"/>
      <c r="S36" s="25"/>
      <c r="T36" s="25"/>
      <c r="U36" s="25"/>
      <c r="V36" s="25"/>
      <c r="W36" s="25"/>
    </row>
    <row r="37" ht="14.25" customHeight="1">
      <c r="A37" s="27" t="s">
        <v>113</v>
      </c>
      <c r="B37" s="60" t="s">
        <v>921</v>
      </c>
      <c r="C37" s="8"/>
      <c r="D37" s="9"/>
      <c r="E37" s="27">
        <v>5.0</v>
      </c>
      <c r="F37" s="27"/>
      <c r="G37" s="27"/>
      <c r="H37" s="27"/>
      <c r="I37" s="33"/>
      <c r="J37" s="9"/>
    </row>
    <row r="38" ht="14.25" customHeight="1">
      <c r="B38" s="26"/>
      <c r="C38" s="29"/>
      <c r="D38" s="29"/>
    </row>
    <row r="39" ht="14.25" customHeight="1"/>
    <row r="40" ht="14.25" customHeight="1">
      <c r="A40" s="2" t="s">
        <v>117</v>
      </c>
      <c r="B40" s="3"/>
      <c r="C40" s="4"/>
      <c r="J40" s="1"/>
    </row>
    <row r="41" ht="14.25" customHeight="1">
      <c r="A41" s="5" t="s">
        <v>2</v>
      </c>
      <c r="B41" s="7" t="s">
        <v>4</v>
      </c>
      <c r="C41" s="8"/>
      <c r="D41" s="9"/>
      <c r="E41" s="5" t="s">
        <v>5</v>
      </c>
      <c r="F41" s="5" t="s">
        <v>6</v>
      </c>
      <c r="G41" s="5" t="s">
        <v>7</v>
      </c>
      <c r="H41" s="5" t="s">
        <v>8</v>
      </c>
      <c r="I41" s="7" t="s">
        <v>9</v>
      </c>
      <c r="J41" s="9"/>
    </row>
    <row r="42" ht="14.25" customHeight="1">
      <c r="A42" s="53" t="s">
        <v>12</v>
      </c>
      <c r="B42" s="54" t="s">
        <v>13</v>
      </c>
      <c r="C42" s="18"/>
      <c r="D42" s="20"/>
      <c r="E42" s="53">
        <v>2.0</v>
      </c>
      <c r="F42" s="53">
        <v>10.0</v>
      </c>
      <c r="G42" s="53"/>
      <c r="H42" s="53"/>
      <c r="I42" s="55"/>
      <c r="J42" s="9"/>
    </row>
    <row r="43" ht="14.25" customHeight="1">
      <c r="A43" s="53" t="s">
        <v>12</v>
      </c>
      <c r="B43" s="54" t="s">
        <v>923</v>
      </c>
      <c r="C43" s="18"/>
      <c r="D43" s="20"/>
      <c r="E43" s="53">
        <v>3.0</v>
      </c>
      <c r="F43" s="53" t="s">
        <v>925</v>
      </c>
      <c r="G43" s="53"/>
      <c r="H43" s="53"/>
      <c r="I43" s="55"/>
      <c r="J43" s="9"/>
    </row>
    <row r="44" ht="14.25" customHeight="1">
      <c r="A44" s="53" t="s">
        <v>12</v>
      </c>
      <c r="B44" s="54" t="s">
        <v>127</v>
      </c>
      <c r="C44" s="18"/>
      <c r="D44" s="20"/>
      <c r="E44" s="53">
        <v>3.0</v>
      </c>
      <c r="F44" s="53" t="s">
        <v>71</v>
      </c>
      <c r="G44" s="53"/>
      <c r="H44" s="53"/>
      <c r="I44" s="55"/>
      <c r="J44" s="9"/>
    </row>
    <row r="45" ht="14.25" customHeight="1">
      <c r="A45" s="49" t="s">
        <v>31</v>
      </c>
      <c r="B45" s="50" t="s">
        <v>120</v>
      </c>
      <c r="C45" s="18"/>
      <c r="D45" s="20"/>
      <c r="E45" s="49">
        <v>4.0</v>
      </c>
      <c r="F45" s="49">
        <v>10.0</v>
      </c>
      <c r="G45" s="49">
        <v>8.0</v>
      </c>
      <c r="H45" s="49" t="s">
        <v>55</v>
      </c>
      <c r="I45" s="51"/>
      <c r="J45" s="9"/>
    </row>
    <row r="46" ht="14.25" customHeight="1">
      <c r="A46" s="49" t="s">
        <v>26</v>
      </c>
      <c r="B46" s="50" t="s">
        <v>927</v>
      </c>
      <c r="C46" s="18"/>
      <c r="D46" s="20"/>
      <c r="E46" s="49">
        <v>4.0</v>
      </c>
      <c r="F46" s="49">
        <v>10.0</v>
      </c>
      <c r="G46" s="49">
        <v>8.0</v>
      </c>
      <c r="H46" s="49"/>
      <c r="I46" s="51"/>
      <c r="J46" s="9"/>
    </row>
    <row r="47" ht="14.25" customHeight="1">
      <c r="A47" s="53" t="s">
        <v>31</v>
      </c>
      <c r="B47" s="54" t="s">
        <v>928</v>
      </c>
      <c r="C47" s="18"/>
      <c r="D47" s="20"/>
      <c r="E47" s="53">
        <v>3.0</v>
      </c>
      <c r="F47" s="53">
        <v>10.0</v>
      </c>
      <c r="G47" s="53"/>
      <c r="H47" s="53"/>
      <c r="I47" s="55"/>
      <c r="J47" s="9"/>
    </row>
    <row r="48" ht="14.25" customHeight="1">
      <c r="A48" s="53" t="s">
        <v>26</v>
      </c>
      <c r="B48" s="54" t="s">
        <v>929</v>
      </c>
      <c r="C48" s="18"/>
      <c r="D48" s="20"/>
      <c r="E48" s="53">
        <v>4.0</v>
      </c>
      <c r="F48" s="53">
        <v>10.0</v>
      </c>
      <c r="G48" s="53"/>
      <c r="H48" s="53"/>
      <c r="I48" s="55"/>
      <c r="J48" s="9"/>
    </row>
    <row r="49" ht="14.25" customHeight="1">
      <c r="A49" s="27" t="s">
        <v>113</v>
      </c>
      <c r="B49" s="30" t="s">
        <v>931</v>
      </c>
      <c r="C49" s="18"/>
      <c r="D49" s="20"/>
      <c r="E49" s="27">
        <v>3.0</v>
      </c>
      <c r="F49" s="27">
        <v>10.0</v>
      </c>
      <c r="G49" s="27"/>
      <c r="H49" s="27"/>
      <c r="I49" s="33"/>
      <c r="J49" s="9"/>
    </row>
    <row r="50" ht="14.25" customHeight="1">
      <c r="A50" s="27" t="s">
        <v>113</v>
      </c>
      <c r="B50" s="30" t="s">
        <v>932</v>
      </c>
      <c r="C50" s="18"/>
      <c r="D50" s="20"/>
      <c r="E50" s="27">
        <v>3.0</v>
      </c>
      <c r="F50" s="27" t="s">
        <v>65</v>
      </c>
      <c r="G50" s="27"/>
      <c r="H50" s="27"/>
      <c r="I50" s="33" t="s">
        <v>933</v>
      </c>
      <c r="J50" s="9"/>
    </row>
    <row r="51" ht="14.25" customHeight="1">
      <c r="A51" s="27"/>
      <c r="B51" s="60" t="s">
        <v>936</v>
      </c>
      <c r="C51" s="8"/>
      <c r="D51" s="9"/>
      <c r="E51" s="27">
        <v>3.0</v>
      </c>
      <c r="F51" s="27">
        <v>20.0</v>
      </c>
      <c r="G51" s="27"/>
      <c r="H51" s="27"/>
      <c r="I51" s="153"/>
      <c r="J51" s="154"/>
    </row>
    <row r="52" ht="14.25" customHeight="1">
      <c r="A52" s="27" t="s">
        <v>113</v>
      </c>
      <c r="B52" s="60" t="s">
        <v>937</v>
      </c>
      <c r="C52" s="8"/>
      <c r="D52" s="9"/>
      <c r="E52" s="27">
        <v>3.0</v>
      </c>
      <c r="F52" s="27">
        <v>10.0</v>
      </c>
      <c r="G52" s="27"/>
      <c r="H52" s="27"/>
      <c r="I52" s="33"/>
      <c r="J52" s="9"/>
    </row>
    <row r="53" ht="14.25" customHeight="1">
      <c r="B53" s="26"/>
      <c r="C53" s="29"/>
      <c r="D53" s="29"/>
    </row>
    <row r="54" ht="14.25" customHeight="1"/>
    <row r="55" ht="14.25" customHeight="1">
      <c r="A55" s="2" t="s">
        <v>132</v>
      </c>
      <c r="B55" s="3"/>
      <c r="C55" s="4"/>
      <c r="J55" s="1"/>
    </row>
    <row r="56" ht="14.25" customHeight="1">
      <c r="A56" s="5" t="s">
        <v>2</v>
      </c>
      <c r="B56" s="7" t="s">
        <v>4</v>
      </c>
      <c r="C56" s="8"/>
      <c r="D56" s="9"/>
      <c r="E56" s="5" t="s">
        <v>5</v>
      </c>
      <c r="F56" s="5" t="s">
        <v>6</v>
      </c>
      <c r="G56" s="5" t="s">
        <v>7</v>
      </c>
      <c r="H56" s="5" t="s">
        <v>8</v>
      </c>
      <c r="I56" s="7" t="s">
        <v>9</v>
      </c>
      <c r="J56" s="9"/>
    </row>
    <row r="57" ht="14.25" customHeight="1">
      <c r="A57" s="15" t="s">
        <v>113</v>
      </c>
      <c r="B57" s="17" t="s">
        <v>134</v>
      </c>
      <c r="C57" s="18"/>
      <c r="D57" s="20"/>
      <c r="E57" s="15"/>
      <c r="F57" s="15"/>
      <c r="G57" s="15"/>
      <c r="H57" s="15"/>
      <c r="I57" s="23"/>
      <c r="J57" s="9"/>
    </row>
    <row r="58" ht="14.25" customHeight="1">
      <c r="A58" s="15" t="s">
        <v>113</v>
      </c>
      <c r="B58" s="17" t="s">
        <v>136</v>
      </c>
      <c r="C58" s="18"/>
      <c r="D58" s="20"/>
      <c r="E58" s="15"/>
      <c r="F58" s="15"/>
      <c r="G58" s="15"/>
      <c r="H58" s="15"/>
      <c r="I58" s="23"/>
      <c r="J58" s="9"/>
    </row>
    <row r="59" ht="14.25" customHeight="1">
      <c r="A59" s="15" t="s">
        <v>12</v>
      </c>
      <c r="B59" s="17" t="s">
        <v>137</v>
      </c>
      <c r="C59" s="18"/>
      <c r="D59" s="20"/>
      <c r="E59" s="15"/>
      <c r="F59" s="15">
        <v>10.0</v>
      </c>
      <c r="G59" s="15"/>
      <c r="H59" s="15"/>
      <c r="I59" s="23"/>
      <c r="J59" s="9"/>
    </row>
    <row r="60" ht="14.25" customHeight="1">
      <c r="A60" s="49" t="s">
        <v>16</v>
      </c>
      <c r="B60" s="50" t="s">
        <v>139</v>
      </c>
      <c r="C60" s="18"/>
      <c r="D60" s="20"/>
      <c r="E60" s="49">
        <v>4.0</v>
      </c>
      <c r="F60" s="49">
        <v>10.0</v>
      </c>
      <c r="G60" s="49">
        <v>7.0</v>
      </c>
      <c r="H60" s="49"/>
      <c r="I60" s="51"/>
      <c r="J60" s="9"/>
    </row>
    <row r="61" ht="14.25" customHeight="1">
      <c r="A61" s="49" t="s">
        <v>26</v>
      </c>
      <c r="B61" s="50" t="s">
        <v>142</v>
      </c>
      <c r="C61" s="18"/>
      <c r="D61" s="20"/>
      <c r="E61" s="49">
        <v>4.0</v>
      </c>
      <c r="F61" s="49" t="s">
        <v>143</v>
      </c>
      <c r="G61" s="49">
        <v>8.0</v>
      </c>
      <c r="H61" s="49"/>
      <c r="I61" s="51"/>
      <c r="J61" s="9"/>
    </row>
    <row r="62" ht="14.25" customHeight="1">
      <c r="A62" s="68" t="s">
        <v>30</v>
      </c>
      <c r="B62" s="69" t="s">
        <v>145</v>
      </c>
      <c r="C62" s="18"/>
      <c r="D62" s="20"/>
      <c r="E62" s="68">
        <v>3.0</v>
      </c>
      <c r="F62" s="68">
        <v>10.0</v>
      </c>
      <c r="G62" s="68">
        <v>6.0</v>
      </c>
      <c r="H62" s="68"/>
      <c r="I62" s="71"/>
      <c r="J62" s="9"/>
    </row>
    <row r="63" ht="14.25" customHeight="1">
      <c r="A63" s="68" t="s">
        <v>32</v>
      </c>
      <c r="B63" s="69" t="s">
        <v>148</v>
      </c>
      <c r="C63" s="18"/>
      <c r="D63" s="20"/>
      <c r="E63" s="68">
        <v>3.0</v>
      </c>
      <c r="F63" s="68">
        <v>10.0</v>
      </c>
      <c r="G63" s="68">
        <v>6.0</v>
      </c>
      <c r="H63" s="68"/>
      <c r="I63" s="71" t="s">
        <v>149</v>
      </c>
      <c r="J63" s="9"/>
    </row>
    <row r="64" ht="14.25" customHeight="1">
      <c r="A64" s="27" t="s">
        <v>30</v>
      </c>
      <c r="B64" s="30" t="s">
        <v>151</v>
      </c>
      <c r="C64" s="18"/>
      <c r="D64" s="20"/>
      <c r="E64" s="27">
        <v>3.0</v>
      </c>
      <c r="F64" s="27">
        <v>8.0</v>
      </c>
      <c r="G64" s="27">
        <v>6.0</v>
      </c>
      <c r="H64" s="27" t="s">
        <v>154</v>
      </c>
      <c r="I64" s="33" t="s">
        <v>155</v>
      </c>
      <c r="J64" s="9"/>
    </row>
    <row r="65" ht="14.25" customHeight="1">
      <c r="A65" s="27" t="s">
        <v>31</v>
      </c>
      <c r="B65" s="30" t="s">
        <v>156</v>
      </c>
      <c r="C65" s="18"/>
      <c r="D65" s="20"/>
      <c r="E65" s="27">
        <v>3.0</v>
      </c>
      <c r="F65" s="27">
        <v>2.0</v>
      </c>
      <c r="G65" s="27">
        <v>7.0</v>
      </c>
      <c r="H65" s="27"/>
      <c r="I65" s="33"/>
      <c r="J65" s="9"/>
    </row>
    <row r="66" ht="14.25" customHeight="1">
      <c r="A66" s="27" t="s">
        <v>33</v>
      </c>
      <c r="B66" s="60" t="s">
        <v>158</v>
      </c>
      <c r="C66" s="8"/>
      <c r="D66" s="9"/>
      <c r="E66" s="27">
        <v>3.0</v>
      </c>
      <c r="F66" s="27">
        <v>6.0</v>
      </c>
      <c r="G66" s="27">
        <v>7.0</v>
      </c>
      <c r="H66" s="27"/>
      <c r="I66" s="33"/>
      <c r="J66" s="9"/>
    </row>
    <row r="67" ht="14.25" customHeight="1">
      <c r="B67" s="26"/>
      <c r="C67" s="29"/>
      <c r="D67" s="29"/>
    </row>
    <row r="68" ht="14.25" customHeight="1"/>
    <row r="69" ht="14.25" customHeight="1">
      <c r="A69" s="2" t="s">
        <v>160</v>
      </c>
      <c r="B69" s="3"/>
      <c r="C69" s="4"/>
      <c r="D69" s="82" t="s">
        <v>161</v>
      </c>
      <c r="J69" s="1"/>
    </row>
    <row r="70" ht="14.25" customHeight="1">
      <c r="A70" s="5" t="s">
        <v>2</v>
      </c>
      <c r="B70" s="7" t="s">
        <v>4</v>
      </c>
      <c r="C70" s="8"/>
      <c r="D70" s="9"/>
      <c r="E70" s="5" t="s">
        <v>5</v>
      </c>
      <c r="F70" s="5" t="s">
        <v>6</v>
      </c>
      <c r="G70" s="5" t="s">
        <v>7</v>
      </c>
      <c r="H70" s="5" t="s">
        <v>8</v>
      </c>
      <c r="I70" s="7" t="s">
        <v>9</v>
      </c>
      <c r="J70" s="9"/>
    </row>
    <row r="71" ht="14.25" customHeight="1">
      <c r="A71" s="83" t="s">
        <v>113</v>
      </c>
      <c r="B71" s="85" t="s">
        <v>163</v>
      </c>
      <c r="C71" s="18"/>
      <c r="D71" s="20"/>
      <c r="E71" s="83"/>
      <c r="F71" s="83">
        <v>10.0</v>
      </c>
      <c r="G71" s="83"/>
      <c r="H71" s="83"/>
      <c r="I71" s="86"/>
      <c r="J71" s="9"/>
    </row>
    <row r="72" ht="14.25" customHeight="1">
      <c r="A72" s="83" t="s">
        <v>113</v>
      </c>
      <c r="B72" s="85" t="s">
        <v>166</v>
      </c>
      <c r="C72" s="18"/>
      <c r="D72" s="20"/>
      <c r="E72" s="83"/>
      <c r="F72" s="83"/>
      <c r="G72" s="83"/>
      <c r="H72" s="83"/>
      <c r="I72" s="86"/>
      <c r="J72" s="9"/>
    </row>
    <row r="73" ht="14.25" customHeight="1">
      <c r="A73" s="83" t="s">
        <v>113</v>
      </c>
      <c r="B73" s="85" t="s">
        <v>169</v>
      </c>
      <c r="C73" s="18"/>
      <c r="D73" s="20"/>
      <c r="E73" s="83"/>
      <c r="F73" s="83"/>
      <c r="G73" s="83"/>
      <c r="H73" s="83"/>
      <c r="I73" s="86"/>
      <c r="J73" s="9"/>
    </row>
    <row r="74" ht="14.25" customHeight="1">
      <c r="A74" s="49" t="s">
        <v>31</v>
      </c>
      <c r="B74" s="50" t="s">
        <v>173</v>
      </c>
      <c r="C74" s="18"/>
      <c r="D74" s="20"/>
      <c r="E74" s="49"/>
      <c r="F74" s="49">
        <v>8.0</v>
      </c>
      <c r="G74" s="49">
        <v>6.0</v>
      </c>
      <c r="H74" s="49"/>
      <c r="I74" s="51"/>
      <c r="J74" s="9"/>
    </row>
    <row r="75" ht="14.25" customHeight="1">
      <c r="A75" s="49" t="s">
        <v>31</v>
      </c>
      <c r="B75" s="50" t="s">
        <v>951</v>
      </c>
      <c r="C75" s="18"/>
      <c r="D75" s="20"/>
      <c r="E75" s="49"/>
      <c r="F75" s="49">
        <v>6.0</v>
      </c>
      <c r="G75" s="49">
        <v>6.0</v>
      </c>
      <c r="H75" s="49"/>
      <c r="I75" s="51"/>
      <c r="J75" s="9"/>
    </row>
    <row r="76" ht="14.25" customHeight="1">
      <c r="A76" s="68" t="s">
        <v>16</v>
      </c>
      <c r="B76" s="69" t="s">
        <v>179</v>
      </c>
      <c r="C76" s="18"/>
      <c r="D76" s="20"/>
      <c r="E76" s="68"/>
      <c r="F76" s="68">
        <v>10.0</v>
      </c>
      <c r="G76" s="68">
        <v>6.0</v>
      </c>
      <c r="H76" s="68"/>
      <c r="I76" s="71"/>
      <c r="J76" s="9"/>
    </row>
    <row r="77" ht="14.25" customHeight="1">
      <c r="A77" s="68" t="s">
        <v>16</v>
      </c>
      <c r="B77" s="69" t="s">
        <v>181</v>
      </c>
      <c r="C77" s="18"/>
      <c r="D77" s="20"/>
      <c r="E77" s="68"/>
      <c r="F77" s="68">
        <v>10.0</v>
      </c>
      <c r="G77" s="68">
        <v>6.0</v>
      </c>
      <c r="H77" s="68"/>
      <c r="I77" s="71"/>
      <c r="J77" s="9"/>
    </row>
    <row r="78" ht="14.25" customHeight="1">
      <c r="A78" s="15" t="s">
        <v>28</v>
      </c>
      <c r="B78" s="17" t="s">
        <v>182</v>
      </c>
      <c r="C78" s="18"/>
      <c r="D78" s="20"/>
      <c r="E78" s="15"/>
      <c r="F78" s="15">
        <v>10.0</v>
      </c>
      <c r="G78" s="15">
        <v>7.0</v>
      </c>
      <c r="H78" s="15"/>
      <c r="I78" s="23"/>
      <c r="J78" s="9"/>
    </row>
    <row r="79" ht="14.25" customHeight="1">
      <c r="A79" s="15" t="s">
        <v>33</v>
      </c>
      <c r="B79" s="17" t="s">
        <v>183</v>
      </c>
      <c r="C79" s="18"/>
      <c r="D79" s="20"/>
      <c r="E79" s="15"/>
      <c r="F79" s="15">
        <v>12.0</v>
      </c>
      <c r="G79" s="15">
        <v>7.0</v>
      </c>
      <c r="H79" s="15"/>
      <c r="I79" s="23"/>
      <c r="J79" s="9"/>
    </row>
    <row r="80" ht="14.25" customHeight="1">
      <c r="A80" s="15" t="s">
        <v>32</v>
      </c>
      <c r="B80" s="61" t="s">
        <v>185</v>
      </c>
      <c r="C80" s="8"/>
      <c r="D80" s="9"/>
      <c r="E80" s="15"/>
      <c r="F80" s="15" t="s">
        <v>178</v>
      </c>
      <c r="G80" s="15"/>
      <c r="H80" s="15"/>
      <c r="I80" s="23"/>
      <c r="J80" s="9"/>
    </row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3">
    <mergeCell ref="A6:C6"/>
    <mergeCell ref="B7:D7"/>
    <mergeCell ref="I7:J7"/>
    <mergeCell ref="M7:W7"/>
    <mergeCell ref="Z7:AB7"/>
    <mergeCell ref="B8:D8"/>
    <mergeCell ref="I8:J8"/>
    <mergeCell ref="B15:D15"/>
    <mergeCell ref="I15:J15"/>
    <mergeCell ref="M15:W15"/>
    <mergeCell ref="B9:D9"/>
    <mergeCell ref="B10:D10"/>
    <mergeCell ref="B11:D11"/>
    <mergeCell ref="I11:J11"/>
    <mergeCell ref="B12:D12"/>
    <mergeCell ref="B13:D13"/>
    <mergeCell ref="B14:D14"/>
    <mergeCell ref="B16:D16"/>
    <mergeCell ref="I16:J16"/>
    <mergeCell ref="B17:D17"/>
    <mergeCell ref="I17:J17"/>
    <mergeCell ref="B18:D18"/>
    <mergeCell ref="I18:J18"/>
    <mergeCell ref="I19:J19"/>
    <mergeCell ref="B19:D19"/>
    <mergeCell ref="B20:D20"/>
    <mergeCell ref="B21:D21"/>
    <mergeCell ref="M21:W21"/>
    <mergeCell ref="B22:D22"/>
    <mergeCell ref="A24:C24"/>
    <mergeCell ref="I25:J25"/>
    <mergeCell ref="M26:W26"/>
    <mergeCell ref="I30:J30"/>
    <mergeCell ref="I31:J31"/>
    <mergeCell ref="I32:J32"/>
    <mergeCell ref="M32:W32"/>
    <mergeCell ref="I33:J33"/>
    <mergeCell ref="I34:J34"/>
    <mergeCell ref="I35:J35"/>
    <mergeCell ref="I37:J37"/>
    <mergeCell ref="I13:J13"/>
    <mergeCell ref="I14:J14"/>
    <mergeCell ref="I21:J21"/>
    <mergeCell ref="I26:J26"/>
    <mergeCell ref="I27:J27"/>
    <mergeCell ref="I28:J28"/>
    <mergeCell ref="I29:J29"/>
    <mergeCell ref="I60:J60"/>
    <mergeCell ref="I61:J61"/>
    <mergeCell ref="I49:J49"/>
    <mergeCell ref="I50:J50"/>
    <mergeCell ref="I52:J52"/>
    <mergeCell ref="I56:J56"/>
    <mergeCell ref="I57:J57"/>
    <mergeCell ref="I58:J58"/>
    <mergeCell ref="I59:J59"/>
    <mergeCell ref="I70:J70"/>
    <mergeCell ref="I71:J71"/>
    <mergeCell ref="I43:J43"/>
    <mergeCell ref="I44:J44"/>
    <mergeCell ref="I62:J62"/>
    <mergeCell ref="I63:J63"/>
    <mergeCell ref="I64:J64"/>
    <mergeCell ref="I65:J65"/>
    <mergeCell ref="I66:J66"/>
    <mergeCell ref="I74:J74"/>
    <mergeCell ref="I75:J75"/>
    <mergeCell ref="B71:D71"/>
    <mergeCell ref="B72:D72"/>
    <mergeCell ref="I72:J72"/>
    <mergeCell ref="B73:D73"/>
    <mergeCell ref="I73:J73"/>
    <mergeCell ref="B74:D74"/>
    <mergeCell ref="B75:D75"/>
    <mergeCell ref="B79:D79"/>
    <mergeCell ref="B80:D80"/>
    <mergeCell ref="B76:D76"/>
    <mergeCell ref="I76:J76"/>
    <mergeCell ref="B77:D77"/>
    <mergeCell ref="I77:J77"/>
    <mergeCell ref="B78:D78"/>
    <mergeCell ref="I78:J78"/>
    <mergeCell ref="I79:J79"/>
    <mergeCell ref="I80:J80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A40:C40"/>
    <mergeCell ref="B41:D41"/>
    <mergeCell ref="I41:J41"/>
    <mergeCell ref="B42:D42"/>
    <mergeCell ref="I42:J42"/>
    <mergeCell ref="B43:D43"/>
    <mergeCell ref="B44:D44"/>
    <mergeCell ref="B45:D45"/>
    <mergeCell ref="I45:J45"/>
    <mergeCell ref="B46:D46"/>
    <mergeCell ref="I46:J46"/>
    <mergeCell ref="B47:D47"/>
    <mergeCell ref="I47:J47"/>
    <mergeCell ref="I48:J48"/>
    <mergeCell ref="B48:D48"/>
    <mergeCell ref="B49:D49"/>
    <mergeCell ref="B50:D50"/>
    <mergeCell ref="B51:D51"/>
    <mergeCell ref="B52:D52"/>
    <mergeCell ref="B53:D53"/>
    <mergeCell ref="A55:C55"/>
    <mergeCell ref="B56:D56"/>
    <mergeCell ref="B57:D57"/>
    <mergeCell ref="B58:D58"/>
    <mergeCell ref="B59:D59"/>
    <mergeCell ref="B60:D60"/>
    <mergeCell ref="B61:D61"/>
    <mergeCell ref="B62:D62"/>
    <mergeCell ref="B63:D63"/>
    <mergeCell ref="B64:D64"/>
    <mergeCell ref="B65:D65"/>
    <mergeCell ref="B66:D66"/>
    <mergeCell ref="B67:D67"/>
    <mergeCell ref="A69:C69"/>
    <mergeCell ref="B70:D70"/>
  </mergeCells>
  <dataValidations>
    <dataValidation type="list" allowBlank="1" showErrorMessage="1" sqref="A10:A21 A26:A37 A42:A52 A57:A66 A71:A80">
      <formula1>Datos!$D$2:$D$11</formula1>
    </dataValidation>
    <dataValidation type="list" allowBlank="1" showErrorMessage="1" sqref="J5">
      <formula1>Datos!$B$2:$B$12</formula1>
    </dataValidation>
    <dataValidation type="list" allowBlank="1" showErrorMessage="1" sqref="J6 J24 J40 J55 J69">
      <formula1>Datos!$D$2:$D$14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10.71"/>
    <col customWidth="1" min="24" max="24" width="7.86"/>
    <col customWidth="1" min="25" max="25" width="15.43"/>
    <col customWidth="1" min="26" max="28" width="10.71"/>
  </cols>
  <sheetData>
    <row r="1" ht="14.25" customHeight="1"/>
    <row r="2" ht="14.25" customHeight="1"/>
    <row r="3" ht="14.25" customHeight="1"/>
    <row r="4" ht="14.25" customHeight="1"/>
    <row r="5" ht="14.25" customHeight="1">
      <c r="J5" s="1"/>
    </row>
    <row r="6" ht="14.25" customHeight="1">
      <c r="A6" s="2" t="s">
        <v>857</v>
      </c>
      <c r="B6" s="3"/>
      <c r="C6" s="4"/>
      <c r="J6" s="1"/>
    </row>
    <row r="7" ht="14.25" customHeight="1">
      <c r="A7" s="5" t="s">
        <v>2</v>
      </c>
      <c r="B7" s="7" t="s">
        <v>4</v>
      </c>
      <c r="C7" s="8"/>
      <c r="D7" s="9"/>
      <c r="E7" s="5" t="s">
        <v>5</v>
      </c>
      <c r="F7" s="5" t="s">
        <v>6</v>
      </c>
      <c r="G7" s="5" t="s">
        <v>7</v>
      </c>
      <c r="H7" s="5" t="s">
        <v>8</v>
      </c>
      <c r="I7" s="7" t="s">
        <v>9</v>
      </c>
      <c r="J7" s="9"/>
      <c r="M7" s="11" t="s">
        <v>0</v>
      </c>
      <c r="N7" s="12"/>
      <c r="O7" s="12"/>
      <c r="P7" s="12"/>
      <c r="Q7" s="12"/>
      <c r="R7" s="12"/>
      <c r="S7" s="12"/>
      <c r="T7" s="12"/>
      <c r="U7" s="12"/>
      <c r="V7" s="12"/>
      <c r="W7" s="13"/>
      <c r="Y7" s="1"/>
      <c r="Z7" s="14" t="s">
        <v>10</v>
      </c>
      <c r="AA7" s="12"/>
      <c r="AB7" s="13"/>
    </row>
    <row r="8" ht="14.25" customHeight="1">
      <c r="A8" s="53" t="s">
        <v>12</v>
      </c>
      <c r="B8" s="54" t="s">
        <v>428</v>
      </c>
      <c r="C8" s="18"/>
      <c r="D8" s="20"/>
      <c r="E8" s="53">
        <v>2.0</v>
      </c>
      <c r="F8" s="53">
        <v>10.0</v>
      </c>
      <c r="G8" s="53"/>
      <c r="H8" s="53"/>
      <c r="I8" s="55"/>
      <c r="J8" s="9"/>
      <c r="M8" s="25"/>
      <c r="N8" s="28" t="s">
        <v>16</v>
      </c>
      <c r="O8" s="28" t="s">
        <v>26</v>
      </c>
      <c r="P8" s="28" t="s">
        <v>27</v>
      </c>
      <c r="Q8" s="28" t="s">
        <v>28</v>
      </c>
      <c r="R8" s="28" t="s">
        <v>29</v>
      </c>
      <c r="S8" s="28" t="s">
        <v>30</v>
      </c>
      <c r="T8" s="28" t="s">
        <v>31</v>
      </c>
      <c r="U8" s="28" t="s">
        <v>32</v>
      </c>
      <c r="V8" s="28" t="s">
        <v>33</v>
      </c>
      <c r="W8" s="28" t="s">
        <v>12</v>
      </c>
      <c r="Z8" s="28" t="s">
        <v>16</v>
      </c>
      <c r="AA8" s="1">
        <f>SUM(N9,N14,N19,N25,N30)</f>
        <v>0</v>
      </c>
    </row>
    <row r="9" ht="14.25" customHeight="1">
      <c r="A9" s="53" t="s">
        <v>12</v>
      </c>
      <c r="B9" s="54" t="s">
        <v>432</v>
      </c>
      <c r="C9" s="18"/>
      <c r="D9" s="20"/>
      <c r="E9" s="53">
        <v>3.0</v>
      </c>
      <c r="F9" s="53">
        <v>12.0</v>
      </c>
      <c r="G9" s="53"/>
      <c r="H9" s="53"/>
      <c r="I9" s="55"/>
      <c r="J9" s="9"/>
      <c r="M9" s="34" t="s">
        <v>36</v>
      </c>
      <c r="N9" s="37">
        <f>SUMIF(A8:A17,"Pecho",E8:E17)</f>
        <v>0</v>
      </c>
      <c r="O9" s="37">
        <f>SUMIF(A8:A17,"Espalda",E8:E17)</f>
        <v>7</v>
      </c>
      <c r="P9" s="37">
        <f>SUMIF($A8:$A17,"Hombros",$E8:$E17)</f>
        <v>0</v>
      </c>
      <c r="Q9" s="37">
        <f>SUMIF($A8:$A17,"Bíceps",$E8:$E17)</f>
        <v>0</v>
      </c>
      <c r="R9" s="37">
        <f>SUMIF($A8:$A17,"Tríceps",$E8:$E17)</f>
        <v>0</v>
      </c>
      <c r="S9" s="38">
        <f>SUMIF(A8:A17,"Cuádriceps",E8:E17)</f>
        <v>3</v>
      </c>
      <c r="T9" s="37">
        <f>SUMIF($A8:$A17,"Isquios",$E8:$E17)</f>
        <v>7</v>
      </c>
      <c r="U9" s="37">
        <f>SUMIF($A8:$A17,"Glúteos",$E8:$E17)</f>
        <v>7</v>
      </c>
      <c r="V9" s="37">
        <f>SUMIF($A8:$A17,"Pantorrillas",$E8:$E17)</f>
        <v>0</v>
      </c>
      <c r="W9" s="37">
        <f>SUMIF($A8:$A17,"Otros",$E8:$E17)</f>
        <v>8</v>
      </c>
      <c r="Z9" s="28" t="s">
        <v>26</v>
      </c>
      <c r="AA9" s="1">
        <f>SUM(O9,O14,O19,O25,O30)</f>
        <v>13</v>
      </c>
    </row>
    <row r="10" ht="14.25" customHeight="1">
      <c r="A10" s="53" t="s">
        <v>12</v>
      </c>
      <c r="B10" s="54" t="s">
        <v>442</v>
      </c>
      <c r="C10" s="18"/>
      <c r="D10" s="20"/>
      <c r="E10" s="53">
        <v>3.0</v>
      </c>
      <c r="F10" s="53" t="s">
        <v>71</v>
      </c>
      <c r="G10" s="53"/>
      <c r="H10" s="53"/>
      <c r="I10" s="55"/>
      <c r="J10" s="9"/>
      <c r="M10" s="34" t="s">
        <v>7</v>
      </c>
      <c r="N10" s="35" t="str">
        <f>AVERAGEIF($A8:$A17,"Pecho",$G8:$G17)</f>
        <v>#DIV/0!</v>
      </c>
      <c r="O10" s="35" t="str">
        <f>AVERAGEIF($A8:$A17,"Espalda",$G8:$G17)</f>
        <v>#DIV/0!</v>
      </c>
      <c r="P10" s="35" t="str">
        <f>AVERAGEIF($A8:$A17,"Hombros",$G8:$G17)</f>
        <v>#DIV/0!</v>
      </c>
      <c r="Q10" s="35" t="str">
        <f>AVERAGEIF($A8:$A17,"Bíceps",$G8:$G17)</f>
        <v>#DIV/0!</v>
      </c>
      <c r="R10" s="35" t="str">
        <f>AVERAGEIF($A8:$A17,"Tríceps",$G8:$G17)</f>
        <v>#DIV/0!</v>
      </c>
      <c r="S10" s="35" t="str">
        <f>AVERAGEIF($A8:$A17,"Cuádriceps",$G8:$G17)</f>
        <v>#DIV/0!</v>
      </c>
      <c r="T10" s="35" t="str">
        <f>AVERAGEIF($A8:$A17,"Isquios",$G8:$G17)</f>
        <v>#DIV/0!</v>
      </c>
      <c r="U10" s="35">
        <f>AVERAGEIF($A8:$A17,"Glúteos",$G8:$G17)</f>
        <v>8</v>
      </c>
      <c r="V10" s="35" t="str">
        <f>AVERAGEIF($A8:$A17,"Pantorrillas",$G8:$G17)</f>
        <v>#DIV/0!</v>
      </c>
      <c r="W10" s="35" t="str">
        <f>AVERAGEIF($A8:$A17,"Otros",$G8:$G17)</f>
        <v>#DIV/0!</v>
      </c>
      <c r="Z10" s="28" t="s">
        <v>27</v>
      </c>
      <c r="AA10" s="1">
        <f>SUM(P9,P14,P19,P25,P30)</f>
        <v>7</v>
      </c>
    </row>
    <row r="11" ht="14.25" customHeight="1">
      <c r="A11" s="15" t="s">
        <v>32</v>
      </c>
      <c r="B11" s="17" t="s">
        <v>107</v>
      </c>
      <c r="C11" s="18"/>
      <c r="D11" s="20"/>
      <c r="E11" s="15">
        <v>4.0</v>
      </c>
      <c r="F11" s="15" t="s">
        <v>864</v>
      </c>
      <c r="G11" s="15">
        <v>8.0</v>
      </c>
      <c r="H11" s="15" t="s">
        <v>55</v>
      </c>
      <c r="I11" s="23" t="s">
        <v>859</v>
      </c>
      <c r="J11" s="9"/>
      <c r="M11" s="25"/>
      <c r="N11" s="25"/>
      <c r="O11" s="25"/>
      <c r="P11" s="25"/>
      <c r="Q11" s="25"/>
      <c r="R11" s="25"/>
      <c r="S11" s="25"/>
      <c r="T11" s="25"/>
      <c r="U11" s="25"/>
      <c r="Z11" s="28" t="s">
        <v>28</v>
      </c>
      <c r="AA11" s="1">
        <f>SUM(Q9,Q14,Q19,Q25,Q30)</f>
        <v>4</v>
      </c>
    </row>
    <row r="12" ht="14.25" customHeight="1">
      <c r="A12" s="53" t="s">
        <v>31</v>
      </c>
      <c r="B12" s="54" t="s">
        <v>701</v>
      </c>
      <c r="C12" s="18"/>
      <c r="D12" s="20"/>
      <c r="E12" s="53">
        <v>4.0</v>
      </c>
      <c r="F12" s="53">
        <v>10.0</v>
      </c>
      <c r="G12" s="53"/>
      <c r="H12" s="53"/>
      <c r="I12" s="55"/>
      <c r="J12" s="9"/>
      <c r="M12" s="11" t="s">
        <v>45</v>
      </c>
      <c r="N12" s="12"/>
      <c r="O12" s="12"/>
      <c r="P12" s="12"/>
      <c r="Q12" s="12"/>
      <c r="R12" s="12"/>
      <c r="S12" s="12"/>
      <c r="T12" s="12"/>
      <c r="U12" s="12"/>
      <c r="V12" s="12"/>
      <c r="W12" s="13"/>
      <c r="Z12" s="28" t="s">
        <v>29</v>
      </c>
      <c r="AA12" s="1">
        <f>SUM(R9,R14,R19,R25,R30)</f>
        <v>9</v>
      </c>
    </row>
    <row r="13" ht="14.25" customHeight="1">
      <c r="A13" s="53" t="s">
        <v>31</v>
      </c>
      <c r="B13" s="54" t="s">
        <v>122</v>
      </c>
      <c r="C13" s="18"/>
      <c r="D13" s="20"/>
      <c r="E13" s="53">
        <v>3.0</v>
      </c>
      <c r="F13" s="53">
        <v>10.0</v>
      </c>
      <c r="G13" s="53"/>
      <c r="H13" s="53"/>
      <c r="I13" s="55"/>
      <c r="J13" s="9"/>
      <c r="M13" s="25"/>
      <c r="N13" s="28" t="s">
        <v>16</v>
      </c>
      <c r="O13" s="28" t="s">
        <v>26</v>
      </c>
      <c r="P13" s="28" t="s">
        <v>27</v>
      </c>
      <c r="Q13" s="28" t="s">
        <v>28</v>
      </c>
      <c r="R13" s="28" t="s">
        <v>29</v>
      </c>
      <c r="S13" s="28" t="s">
        <v>30</v>
      </c>
      <c r="T13" s="28" t="s">
        <v>31</v>
      </c>
      <c r="U13" s="28" t="s">
        <v>32</v>
      </c>
      <c r="V13" s="28" t="s">
        <v>33</v>
      </c>
      <c r="W13" s="28" t="s">
        <v>12</v>
      </c>
      <c r="Z13" s="28" t="s">
        <v>30</v>
      </c>
      <c r="AA13" s="1">
        <f>SUM(S9,S14,S19,S25,S30)</f>
        <v>13</v>
      </c>
    </row>
    <row r="14" ht="14.25" customHeight="1">
      <c r="A14" s="15" t="s">
        <v>30</v>
      </c>
      <c r="B14" s="17" t="s">
        <v>454</v>
      </c>
      <c r="C14" s="18"/>
      <c r="D14" s="20"/>
      <c r="E14" s="15">
        <v>3.0</v>
      </c>
      <c r="F14" s="15" t="s">
        <v>455</v>
      </c>
      <c r="G14" s="15"/>
      <c r="H14" s="15"/>
      <c r="I14" s="23"/>
      <c r="J14" s="9"/>
      <c r="M14" s="34" t="s">
        <v>36</v>
      </c>
      <c r="N14" s="35">
        <f>SUMIF($A22:$A33,"Pecho",$E22:$E33)</f>
        <v>0</v>
      </c>
      <c r="O14" s="35">
        <f>SUMIF($A22:$A33,"Espalda",$E22:$E33)</f>
        <v>0</v>
      </c>
      <c r="P14" s="35">
        <f>SUMIF($A22:$A33,"Hombros",$E22:$E33)</f>
        <v>7</v>
      </c>
      <c r="Q14" s="35">
        <f>SUMIF($A22:$A33,"Bíceps",$E22:$E33)</f>
        <v>4</v>
      </c>
      <c r="R14" s="35">
        <f>SUMIF($A22:$A33,"Tríceps",$E22:$E33)</f>
        <v>6</v>
      </c>
      <c r="S14" s="35">
        <f>SUMIF($A22:$A33,"Cuádriceps",$E22:$E33)</f>
        <v>10</v>
      </c>
      <c r="T14" s="35">
        <f>SUMIF($A22:$A33,"Isquios",$E22:$E33)</f>
        <v>0</v>
      </c>
      <c r="U14" s="35">
        <f>SUMIF($A22:$A33,"Glúteos",$E22:$E33)</f>
        <v>0</v>
      </c>
      <c r="V14" s="35">
        <f>SUMIF($A22:$A33,"Pantorrillas",$E22:$E33)</f>
        <v>0</v>
      </c>
      <c r="W14" s="35">
        <f>SUMIF($A22:$A33,"Otros",$E22:$E33)</f>
        <v>8</v>
      </c>
      <c r="Z14" s="28" t="s">
        <v>31</v>
      </c>
      <c r="AA14" s="1">
        <f>SUM(T9,T14,T19,T25,T30)</f>
        <v>10</v>
      </c>
    </row>
    <row r="15" ht="14.25" customHeight="1">
      <c r="A15" s="15" t="s">
        <v>26</v>
      </c>
      <c r="B15" s="17" t="s">
        <v>874</v>
      </c>
      <c r="C15" s="18"/>
      <c r="D15" s="20"/>
      <c r="E15" s="15">
        <v>4.0</v>
      </c>
      <c r="F15" s="15">
        <v>12.0</v>
      </c>
      <c r="G15" s="15"/>
      <c r="H15" s="15"/>
      <c r="I15" s="23"/>
      <c r="J15" s="9"/>
      <c r="M15" s="34" t="s">
        <v>7</v>
      </c>
      <c r="N15" s="35" t="str">
        <f>AVERAGEIF($A22:$A33,"Pecho",$G22:$G33)</f>
        <v>#DIV/0!</v>
      </c>
      <c r="O15" s="35" t="str">
        <f>AVERAGEIF($A22:$A33,"Espalda",$G22:$G33)</f>
        <v>#DIV/0!</v>
      </c>
      <c r="P15" s="35" t="str">
        <f>AVERAGEIF($A22:$A33,"Hombros",$G22:$G33)</f>
        <v>#DIV/0!</v>
      </c>
      <c r="Q15" s="35" t="str">
        <f>AVERAGEIF($A22:$A33,"Bíceps",$G22:$G33)</f>
        <v>#DIV/0!</v>
      </c>
      <c r="R15" s="35" t="str">
        <f>AVERAGEIF($A22:$A33,"Tríceps",$G22:$G33)</f>
        <v>#DIV/0!</v>
      </c>
      <c r="S15" s="35">
        <f>AVERAGEIF($A22:$A33,"Cuádriceps",$G22:$G33)</f>
        <v>8</v>
      </c>
      <c r="T15" s="35" t="str">
        <f>AVERAGEIF($A22:$A33,"Isquios",$G22:$G33)</f>
        <v>#DIV/0!</v>
      </c>
      <c r="U15" s="35" t="str">
        <f>AVERAGEIF($A22:$A33,"Glúteos",$G22:$G33)</f>
        <v>#DIV/0!</v>
      </c>
      <c r="V15" s="35" t="str">
        <f>AVERAGEIF($A22:$A33,"Pantorrillas",$G22:$G33)</f>
        <v>#DIV/0!</v>
      </c>
      <c r="W15" s="35" t="str">
        <f>AVERAGEIF($A22:$A33,"Otros",$G22:$G33)</f>
        <v>#DIV/0!</v>
      </c>
      <c r="Z15" s="28" t="s">
        <v>32</v>
      </c>
      <c r="AA15" s="1">
        <f>SUM(U9,U14,U19,U25,U30)</f>
        <v>18</v>
      </c>
    </row>
    <row r="16" ht="14.25" customHeight="1">
      <c r="A16" s="53" t="s">
        <v>32</v>
      </c>
      <c r="B16" s="54" t="s">
        <v>462</v>
      </c>
      <c r="C16" s="18"/>
      <c r="D16" s="20"/>
      <c r="E16" s="53">
        <v>3.0</v>
      </c>
      <c r="F16" s="53">
        <v>12.0</v>
      </c>
      <c r="G16" s="53"/>
      <c r="H16" s="53"/>
      <c r="I16" s="55"/>
      <c r="J16" s="9"/>
      <c r="M16" s="25"/>
      <c r="N16" s="25"/>
      <c r="O16" s="25"/>
      <c r="P16" s="25"/>
      <c r="Q16" s="25"/>
      <c r="R16" s="25"/>
      <c r="S16" s="25"/>
      <c r="T16" s="25"/>
      <c r="U16" s="25"/>
      <c r="Z16" s="28" t="s">
        <v>33</v>
      </c>
      <c r="AA16" s="1">
        <f>SUM(V9,V14,V19,V25,V30)</f>
        <v>0</v>
      </c>
    </row>
    <row r="17" ht="14.25" customHeight="1">
      <c r="A17" s="53" t="s">
        <v>26</v>
      </c>
      <c r="B17" s="54" t="s">
        <v>884</v>
      </c>
      <c r="C17" s="18"/>
      <c r="D17" s="20"/>
      <c r="E17" s="53">
        <v>3.0</v>
      </c>
      <c r="F17" s="53">
        <v>10.0</v>
      </c>
      <c r="G17" s="53"/>
      <c r="H17" s="53"/>
      <c r="I17" s="55"/>
      <c r="J17" s="9"/>
      <c r="M17" s="11" t="s">
        <v>57</v>
      </c>
      <c r="N17" s="12"/>
      <c r="O17" s="12"/>
      <c r="P17" s="12"/>
      <c r="Q17" s="12"/>
      <c r="R17" s="12"/>
      <c r="S17" s="12"/>
      <c r="T17" s="12"/>
      <c r="U17" s="12"/>
      <c r="V17" s="12"/>
      <c r="W17" s="13"/>
      <c r="Z17" s="28" t="s">
        <v>12</v>
      </c>
      <c r="AA17" s="1">
        <f>SUM(W9,W14,W19,W25,W30)</f>
        <v>25</v>
      </c>
    </row>
    <row r="18" ht="14.25" customHeight="1">
      <c r="B18" s="26"/>
      <c r="C18" s="29"/>
      <c r="D18" s="29"/>
      <c r="M18" s="25"/>
      <c r="N18" s="28" t="s">
        <v>16</v>
      </c>
      <c r="O18" s="28" t="s">
        <v>26</v>
      </c>
      <c r="P18" s="28" t="s">
        <v>27</v>
      </c>
      <c r="Q18" s="28" t="s">
        <v>28</v>
      </c>
      <c r="R18" s="28" t="s">
        <v>29</v>
      </c>
      <c r="S18" s="28" t="s">
        <v>30</v>
      </c>
      <c r="T18" s="28" t="s">
        <v>31</v>
      </c>
      <c r="U18" s="28" t="s">
        <v>32</v>
      </c>
      <c r="V18" s="28" t="s">
        <v>33</v>
      </c>
      <c r="W18" s="28" t="s">
        <v>12</v>
      </c>
    </row>
    <row r="19" ht="14.25" customHeight="1">
      <c r="M19" s="34" t="s">
        <v>36</v>
      </c>
      <c r="N19" s="35">
        <f>SUMIF($A38:$A47,"Pecho",$E38:$E47)</f>
        <v>0</v>
      </c>
      <c r="O19" s="35">
        <f>SUMIF($A38:$A47,"Espalda",$E38:$E47)</f>
        <v>6</v>
      </c>
      <c r="P19" s="35">
        <f>SUMIF($A38:$A47,"Hombros",$E38:$E47)</f>
        <v>0</v>
      </c>
      <c r="Q19" s="35">
        <f>SUMIF($A38:$A47,"Bíceps",$E38:$E47)</f>
        <v>0</v>
      </c>
      <c r="R19" s="35">
        <f>SUMIF($A38:$A47,"Tríceps",$E38:$E47)</f>
        <v>3</v>
      </c>
      <c r="S19" s="35">
        <f>SUMIF($A38:$A47,"Cuádriceps",$E38:$E47)</f>
        <v>0</v>
      </c>
      <c r="T19" s="35">
        <f>SUMIF($A38:$A47,"Isquios",$E38:$E47)</f>
        <v>3</v>
      </c>
      <c r="U19" s="35">
        <f>SUMIF($A38:$A47,"Glúteos",$E38:$E47)</f>
        <v>11</v>
      </c>
      <c r="V19" s="35">
        <f>SUMIF($A38:$A47,"Pantorrillas",$E38:$E47)</f>
        <v>0</v>
      </c>
      <c r="W19" s="35">
        <f>SUMIF($A38:$A47,"Otros",$E38:$E47)</f>
        <v>9</v>
      </c>
    </row>
    <row r="20" ht="14.25" customHeight="1">
      <c r="A20" s="2" t="s">
        <v>889</v>
      </c>
      <c r="B20" s="3"/>
      <c r="C20" s="4"/>
      <c r="J20" s="1"/>
      <c r="M20" s="34" t="s">
        <v>7</v>
      </c>
      <c r="N20" s="35" t="str">
        <f>AVERAGEIF($A38:$A47,"Pecho",$G38:$G47)</f>
        <v>#DIV/0!</v>
      </c>
      <c r="O20" s="35" t="str">
        <f>AVERAGEIF($A38:$A47,"Espalda",$G38:$G47)</f>
        <v>#DIV/0!</v>
      </c>
      <c r="P20" s="35" t="str">
        <f>AVERAGEIF($A38:$A47,"Hombros",$G38:$G47)</f>
        <v>#DIV/0!</v>
      </c>
      <c r="Q20" s="35" t="str">
        <f>AVERAGEIF($A38:$A47,"Bíceps",$G38:$G47)</f>
        <v>#DIV/0!</v>
      </c>
      <c r="R20" s="35" t="str">
        <f>AVERAGEIF($A38:$A47,"Tríceps",$G38:$G47)</f>
        <v>#DIV/0!</v>
      </c>
      <c r="S20" s="35" t="str">
        <f>AVERAGEIF($A38:$A47,"Cuádriceps",$G38:$G47)</f>
        <v>#DIV/0!</v>
      </c>
      <c r="T20" s="35" t="str">
        <f>AVERAGEIF($A38:$A47,"Isquios",$G38:$G47)</f>
        <v>#DIV/0!</v>
      </c>
      <c r="U20" s="35">
        <f>AVERAGEIF($A38:$A47,"Glúteos",$G38:$G47)</f>
        <v>8</v>
      </c>
      <c r="V20" s="35" t="str">
        <f>AVERAGEIF($A38:$A47,"Pantorrillas",$G38:$G47)</f>
        <v>#DIV/0!</v>
      </c>
      <c r="W20" s="35" t="str">
        <f>AVERAGEIF($A38:$A47,"Otros",$G38:$G47)</f>
        <v>#DIV/0!</v>
      </c>
    </row>
    <row r="21" ht="14.25" customHeight="1">
      <c r="A21" s="5" t="s">
        <v>2</v>
      </c>
      <c r="B21" s="7" t="s">
        <v>4</v>
      </c>
      <c r="C21" s="8"/>
      <c r="D21" s="9"/>
      <c r="E21" s="5" t="s">
        <v>5</v>
      </c>
      <c r="F21" s="5" t="s">
        <v>6</v>
      </c>
      <c r="G21" s="5" t="s">
        <v>7</v>
      </c>
      <c r="H21" s="5" t="s">
        <v>8</v>
      </c>
      <c r="I21" s="7" t="s">
        <v>9</v>
      </c>
      <c r="J21" s="9"/>
      <c r="M21" s="25"/>
      <c r="N21" s="25"/>
      <c r="O21" s="25"/>
      <c r="P21" s="25"/>
      <c r="Q21" s="25"/>
      <c r="R21" s="25"/>
      <c r="S21" s="25"/>
      <c r="T21" s="25"/>
      <c r="U21" s="25"/>
    </row>
    <row r="22" ht="14.25" customHeight="1">
      <c r="A22" s="40" t="s">
        <v>12</v>
      </c>
      <c r="B22" s="39" t="s">
        <v>904</v>
      </c>
      <c r="C22" s="18"/>
      <c r="D22" s="20"/>
      <c r="E22" s="40">
        <v>2.0</v>
      </c>
      <c r="F22" s="40">
        <v>10.0</v>
      </c>
      <c r="G22" s="40"/>
      <c r="H22" s="40"/>
      <c r="I22" s="42"/>
      <c r="J22" s="9"/>
      <c r="M22" s="11" t="s">
        <v>66</v>
      </c>
      <c r="N22" s="12"/>
      <c r="O22" s="12"/>
      <c r="P22" s="12"/>
      <c r="Q22" s="12"/>
      <c r="R22" s="12"/>
      <c r="S22" s="12"/>
      <c r="T22" s="12"/>
      <c r="U22" s="12"/>
      <c r="V22" s="12"/>
      <c r="W22" s="13"/>
    </row>
    <row r="23" ht="14.25" customHeight="1">
      <c r="A23" s="53" t="s">
        <v>12</v>
      </c>
      <c r="B23" s="54" t="s">
        <v>906</v>
      </c>
      <c r="C23" s="18"/>
      <c r="D23" s="20"/>
      <c r="E23" s="53">
        <v>2.0</v>
      </c>
      <c r="F23" s="53">
        <v>12.0</v>
      </c>
      <c r="G23" s="53"/>
      <c r="H23" s="53"/>
      <c r="I23" s="55"/>
      <c r="J23" s="9"/>
      <c r="M23" s="25"/>
      <c r="N23" s="28" t="s">
        <v>16</v>
      </c>
      <c r="O23" s="28" t="s">
        <v>26</v>
      </c>
      <c r="P23" s="28" t="s">
        <v>27</v>
      </c>
      <c r="Q23" s="28" t="s">
        <v>28</v>
      </c>
      <c r="R23" s="28" t="s">
        <v>29</v>
      </c>
      <c r="S23" s="28" t="s">
        <v>30</v>
      </c>
      <c r="T23" s="28" t="s">
        <v>31</v>
      </c>
      <c r="U23" s="28" t="s">
        <v>32</v>
      </c>
      <c r="V23" s="28" t="s">
        <v>33</v>
      </c>
      <c r="W23" s="28" t="s">
        <v>12</v>
      </c>
    </row>
    <row r="24" ht="14.25" customHeight="1">
      <c r="A24" s="53" t="s">
        <v>113</v>
      </c>
      <c r="B24" s="56" t="s">
        <v>907</v>
      </c>
      <c r="C24" s="8"/>
      <c r="D24" s="9"/>
      <c r="E24" s="53">
        <v>2.0</v>
      </c>
      <c r="F24" s="53">
        <v>12.0</v>
      </c>
      <c r="G24" s="53"/>
      <c r="H24" s="53"/>
      <c r="I24" s="57"/>
      <c r="J24" s="59"/>
      <c r="M24" s="25"/>
      <c r="N24" s="28"/>
      <c r="O24" s="28"/>
      <c r="P24" s="28"/>
      <c r="Q24" s="28"/>
      <c r="R24" s="28"/>
      <c r="S24" s="28"/>
      <c r="T24" s="28"/>
      <c r="U24" s="28"/>
      <c r="V24" s="28"/>
      <c r="W24" s="28"/>
    </row>
    <row r="25" ht="14.25" customHeight="1">
      <c r="A25" s="40" t="s">
        <v>12</v>
      </c>
      <c r="B25" s="39" t="s">
        <v>145</v>
      </c>
      <c r="C25" s="18"/>
      <c r="D25" s="20"/>
      <c r="E25" s="40">
        <v>2.0</v>
      </c>
      <c r="F25" s="40">
        <v>10.0</v>
      </c>
      <c r="G25" s="40"/>
      <c r="H25" s="40"/>
      <c r="I25" s="42"/>
      <c r="J25" s="9"/>
      <c r="M25" s="34" t="s">
        <v>36</v>
      </c>
      <c r="N25" s="35">
        <f>SUMIF($A52:$A61,"Pecho",$E52:$E61)</f>
        <v>0</v>
      </c>
      <c r="O25" s="35">
        <f>SUMIF($A52:$A61,"Espalda",$E52:$E61)</f>
        <v>0</v>
      </c>
      <c r="P25" s="35">
        <f>SUMIF($A52:$A61,"Hombros",$E52:$E61)</f>
        <v>0</v>
      </c>
      <c r="Q25" s="35">
        <f>SUMIF($A52:$A61,"Bíceps",$E52:$E61)</f>
        <v>0</v>
      </c>
      <c r="R25" s="35">
        <f>SUMIF($A52:$A61,"Tríceps",$E52:$E61)</f>
        <v>0</v>
      </c>
      <c r="S25" s="35">
        <f>SUMIF($A52:$A61,"Cuádriceps",$E52:$E61)</f>
        <v>0</v>
      </c>
      <c r="T25" s="35">
        <f>SUMIF($A52:$A61,"Isquios",$E52:$E61)</f>
        <v>0</v>
      </c>
      <c r="U25" s="35">
        <f>SUMIF($A52:$A61,"Glúteos",$E52:$E61)</f>
        <v>0</v>
      </c>
      <c r="V25" s="35">
        <f>SUMIF($A52:$A61,"Pantorrillas",$E52:$E61)</f>
        <v>0</v>
      </c>
      <c r="W25" s="35">
        <f>SUMIF($A52:$A61,"Otros",$E52:$E61)</f>
        <v>0</v>
      </c>
    </row>
    <row r="26" ht="14.25" customHeight="1">
      <c r="A26" s="15" t="s">
        <v>30</v>
      </c>
      <c r="B26" s="17" t="s">
        <v>916</v>
      </c>
      <c r="C26" s="18"/>
      <c r="D26" s="20"/>
      <c r="E26" s="15">
        <v>4.0</v>
      </c>
      <c r="F26" s="15">
        <v>8.0</v>
      </c>
      <c r="G26" s="15">
        <v>8.0</v>
      </c>
      <c r="H26" s="15" t="s">
        <v>55</v>
      </c>
      <c r="I26" s="23" t="s">
        <v>918</v>
      </c>
      <c r="J26" s="9"/>
      <c r="M26" s="34" t="s">
        <v>7</v>
      </c>
      <c r="N26" s="35" t="str">
        <f>AVERAGEIF($A52:$A61,"Pecho",$G52:$G61)</f>
        <v>#DIV/0!</v>
      </c>
      <c r="O26" s="35" t="str">
        <f>AVERAGEIF($A52:$A61,"Espalda",$G52:$G61)</f>
        <v>#DIV/0!</v>
      </c>
      <c r="P26" s="35" t="str">
        <f>AVERAGEIF($A52:$A61,"Hombros",$G52:$G61)</f>
        <v>#DIV/0!</v>
      </c>
      <c r="Q26" s="35" t="str">
        <f>AVERAGEIF($A52:$A61,"Bíceps",$G52:$G61)</f>
        <v>#DIV/0!</v>
      </c>
      <c r="R26" s="35" t="str">
        <f>AVERAGEIF($A52:$A61,"Tríceps",$G52:$G61)</f>
        <v>#DIV/0!</v>
      </c>
      <c r="S26" s="35" t="str">
        <f>AVERAGEIF($A52:$A61,"Cuádriceps",$G52:$G61)</f>
        <v>#DIV/0!</v>
      </c>
      <c r="T26" s="35" t="str">
        <f>AVERAGEIF($A52:$A61,"Isquios",$G52:$G61)</f>
        <v>#DIV/0!</v>
      </c>
      <c r="U26" s="35" t="str">
        <f>AVERAGEIF($A52:$A61,"Glúteos",$G52:$G61)</f>
        <v>#DIV/0!</v>
      </c>
      <c r="V26" s="35" t="str">
        <f>AVERAGEIF($A52:$A61,"Pantorrillas",$G52:$G61)</f>
        <v>#DIV/0!</v>
      </c>
      <c r="W26" s="35" t="str">
        <f>AVERAGEIF($A52:$A61,"Otros",$G52:$G61)</f>
        <v>#DIV/0!</v>
      </c>
    </row>
    <row r="27" ht="14.25" customHeight="1">
      <c r="A27" s="15" t="s">
        <v>30</v>
      </c>
      <c r="B27" s="17" t="s">
        <v>922</v>
      </c>
      <c r="C27" s="18"/>
      <c r="D27" s="20"/>
      <c r="E27" s="15">
        <v>3.0</v>
      </c>
      <c r="F27" s="15" t="s">
        <v>178</v>
      </c>
      <c r="G27" s="15"/>
      <c r="H27" s="15"/>
      <c r="I27" s="23"/>
      <c r="J27" s="9"/>
      <c r="M27" s="25"/>
      <c r="N27" s="25"/>
      <c r="O27" s="25"/>
      <c r="P27" s="25"/>
      <c r="Q27" s="25"/>
      <c r="R27" s="25"/>
      <c r="S27" s="25"/>
      <c r="T27" s="25"/>
      <c r="U27" s="25"/>
    </row>
    <row r="28" ht="14.25" customHeight="1">
      <c r="A28" s="53" t="s">
        <v>27</v>
      </c>
      <c r="B28" s="54" t="s">
        <v>835</v>
      </c>
      <c r="C28" s="18"/>
      <c r="D28" s="20"/>
      <c r="E28" s="53">
        <v>4.0</v>
      </c>
      <c r="F28" s="53" t="s">
        <v>108</v>
      </c>
      <c r="G28" s="53"/>
      <c r="H28" s="53"/>
      <c r="I28" s="55"/>
      <c r="J28" s="9"/>
      <c r="M28" s="11" t="s">
        <v>76</v>
      </c>
      <c r="N28" s="12"/>
      <c r="O28" s="12"/>
      <c r="P28" s="12"/>
      <c r="Q28" s="12"/>
      <c r="R28" s="12"/>
      <c r="S28" s="12"/>
      <c r="T28" s="12"/>
      <c r="U28" s="12"/>
      <c r="V28" s="12"/>
      <c r="W28" s="13"/>
    </row>
    <row r="29" ht="14.25" customHeight="1">
      <c r="A29" s="53" t="s">
        <v>29</v>
      </c>
      <c r="B29" s="54" t="s">
        <v>924</v>
      </c>
      <c r="C29" s="18"/>
      <c r="D29" s="20"/>
      <c r="E29" s="53">
        <v>3.0</v>
      </c>
      <c r="F29" s="53">
        <v>10.0</v>
      </c>
      <c r="G29" s="53"/>
      <c r="H29" s="53"/>
      <c r="I29" s="55"/>
      <c r="J29" s="9"/>
      <c r="M29" s="25"/>
      <c r="N29" s="28" t="s">
        <v>16</v>
      </c>
      <c r="O29" s="28" t="s">
        <v>26</v>
      </c>
      <c r="P29" s="28" t="s">
        <v>27</v>
      </c>
      <c r="Q29" s="28" t="s">
        <v>28</v>
      </c>
      <c r="R29" s="28" t="s">
        <v>29</v>
      </c>
      <c r="S29" s="28" t="s">
        <v>30</v>
      </c>
      <c r="T29" s="28" t="s">
        <v>31</v>
      </c>
      <c r="U29" s="28" t="s">
        <v>32</v>
      </c>
      <c r="V29" s="28" t="s">
        <v>33</v>
      </c>
      <c r="W29" s="28" t="s">
        <v>12</v>
      </c>
    </row>
    <row r="30" ht="14.25" customHeight="1">
      <c r="A30" s="15" t="s">
        <v>30</v>
      </c>
      <c r="B30" s="17" t="s">
        <v>926</v>
      </c>
      <c r="C30" s="18"/>
      <c r="D30" s="20"/>
      <c r="E30" s="15">
        <v>3.0</v>
      </c>
      <c r="F30" s="15">
        <v>12.0</v>
      </c>
      <c r="G30" s="15"/>
      <c r="H30" s="15"/>
      <c r="I30" s="23"/>
      <c r="J30" s="9"/>
      <c r="M30" s="34" t="s">
        <v>36</v>
      </c>
      <c r="N30" s="35">
        <f>SUMIF($A66:$A75,"Pecho",$E66:$E75)</f>
        <v>0</v>
      </c>
      <c r="O30" s="35">
        <f>SUMIF($A66:$A75,"Espalda",$E66:$E75)</f>
        <v>0</v>
      </c>
      <c r="P30" s="35">
        <f>SUMIF($A66:$A75,"Hombros",$E66:$E75)</f>
        <v>0</v>
      </c>
      <c r="Q30" s="35">
        <f>SUMIF($A66:$A75,"Bíceps",$E66:$E75)</f>
        <v>0</v>
      </c>
      <c r="R30" s="35">
        <f>SUMIF($A66:$A75,"Tríceps",$E66:$E75)</f>
        <v>0</v>
      </c>
      <c r="S30" s="35">
        <f>SUMIF($A66:$A75,"Cuádriceps",$E66:$E75)</f>
        <v>0</v>
      </c>
      <c r="T30" s="35">
        <f>SUMIF($A66:$A75,"Isquios",$E66:$E75)</f>
        <v>0</v>
      </c>
      <c r="U30" s="35">
        <f>SUMIF($A66:$A75,"Glúteos",$E66:$E75)</f>
        <v>0</v>
      </c>
      <c r="V30" s="35">
        <f>SUMIF($A66:$A75,"Pantorrillas",$E66:$E75)</f>
        <v>0</v>
      </c>
      <c r="W30" s="35">
        <f>SUMIF($A66:$A75,"Otros",$E66:$E75)</f>
        <v>0</v>
      </c>
    </row>
    <row r="31" ht="14.25" customHeight="1">
      <c r="A31" s="53" t="s">
        <v>28</v>
      </c>
      <c r="B31" s="56" t="s">
        <v>935</v>
      </c>
      <c r="C31" s="8"/>
      <c r="D31" s="9"/>
      <c r="E31" s="53">
        <v>4.0</v>
      </c>
      <c r="F31" s="53">
        <v>10.0</v>
      </c>
      <c r="G31" s="53"/>
      <c r="H31" s="53"/>
      <c r="I31" s="55"/>
      <c r="J31" s="9"/>
      <c r="M31" s="34" t="s">
        <v>7</v>
      </c>
      <c r="N31" s="35" t="str">
        <f>AVERAGEIF($A66:$A75,"Pecho",$G66:$G75)</f>
        <v>#DIV/0!</v>
      </c>
      <c r="O31" s="35" t="str">
        <f>AVERAGEIF($A66:$A75,"Espalda",$G66:$G75)</f>
        <v>#DIV/0!</v>
      </c>
      <c r="P31" s="35" t="str">
        <f>AVERAGEIF($A66:$A75,"Hombros",$G66:$G75)</f>
        <v>#DIV/0!</v>
      </c>
      <c r="Q31" s="35" t="str">
        <f>AVERAGEIF($A66:$A75,"Bíceps",$G66:$G75)</f>
        <v>#DIV/0!</v>
      </c>
      <c r="R31" s="35" t="str">
        <f>AVERAGEIF($A66:$A75,"Tríceps",$G66:$G75)</f>
        <v>#DIV/0!</v>
      </c>
      <c r="S31" s="35" t="str">
        <f>AVERAGEIF($A66:$A75,"Cuádriceps",$G66:$G75)</f>
        <v>#DIV/0!</v>
      </c>
      <c r="T31" s="35" t="str">
        <f>AVERAGEIF($A66:$A75,"Isquios",$G66:$G75)</f>
        <v>#DIV/0!</v>
      </c>
      <c r="U31" s="35" t="str">
        <f>AVERAGEIF($A66:$A75,"Glúteos",$G66:$G75)</f>
        <v>#DIV/0!</v>
      </c>
      <c r="V31" s="35" t="str">
        <f>AVERAGEIF($A66:$A75,"Pantorrillas",$G66:$G75)</f>
        <v>#DIV/0!</v>
      </c>
      <c r="W31" s="35" t="str">
        <f>AVERAGEIF($A66:$A75,"Otros",$G66:$G75)</f>
        <v>#DIV/0!</v>
      </c>
    </row>
    <row r="32" ht="14.25" customHeight="1">
      <c r="A32" s="53" t="s">
        <v>29</v>
      </c>
      <c r="B32" s="138" t="s">
        <v>466</v>
      </c>
      <c r="C32" s="8"/>
      <c r="D32" s="9"/>
      <c r="E32" s="53">
        <v>3.0</v>
      </c>
      <c r="F32" s="53">
        <v>12.0</v>
      </c>
      <c r="G32" s="53"/>
      <c r="H32" s="53"/>
      <c r="I32" s="57"/>
      <c r="J32" s="59"/>
      <c r="M32" s="65"/>
      <c r="N32" s="25"/>
      <c r="O32" s="25"/>
      <c r="P32" s="25"/>
      <c r="Q32" s="25"/>
      <c r="R32" s="25"/>
      <c r="S32" s="25"/>
      <c r="T32" s="25"/>
      <c r="U32" s="25"/>
      <c r="V32" s="25"/>
      <c r="W32" s="25"/>
    </row>
    <row r="33" ht="14.25" customHeight="1">
      <c r="A33" s="53" t="s">
        <v>27</v>
      </c>
      <c r="B33" s="56" t="s">
        <v>938</v>
      </c>
      <c r="C33" s="8"/>
      <c r="D33" s="9"/>
      <c r="E33" s="53">
        <v>3.0</v>
      </c>
      <c r="F33" s="53">
        <v>10.0</v>
      </c>
      <c r="G33" s="53"/>
      <c r="H33" s="53"/>
      <c r="I33" s="55"/>
      <c r="J33" s="9"/>
    </row>
    <row r="34" ht="14.25" customHeight="1">
      <c r="B34" s="26"/>
      <c r="C34" s="29"/>
      <c r="D34" s="29"/>
    </row>
    <row r="35" ht="14.25" customHeight="1"/>
    <row r="36" ht="14.25" customHeight="1">
      <c r="A36" s="2" t="s">
        <v>939</v>
      </c>
      <c r="B36" s="3"/>
      <c r="C36" s="4"/>
      <c r="J36" s="1"/>
    </row>
    <row r="37" ht="14.25" customHeight="1">
      <c r="A37" s="5" t="s">
        <v>2</v>
      </c>
      <c r="B37" s="7" t="s">
        <v>4</v>
      </c>
      <c r="C37" s="8"/>
      <c r="D37" s="9"/>
      <c r="E37" s="5" t="s">
        <v>5</v>
      </c>
      <c r="F37" s="5" t="s">
        <v>6</v>
      </c>
      <c r="G37" s="5" t="s">
        <v>7</v>
      </c>
      <c r="H37" s="5" t="s">
        <v>8</v>
      </c>
      <c r="I37" s="7" t="s">
        <v>9</v>
      </c>
      <c r="J37" s="9"/>
    </row>
    <row r="38" ht="14.25" customHeight="1">
      <c r="A38" s="53" t="s">
        <v>12</v>
      </c>
      <c r="B38" s="54" t="s">
        <v>440</v>
      </c>
      <c r="C38" s="18"/>
      <c r="D38" s="20"/>
      <c r="E38" s="53">
        <v>3.0</v>
      </c>
      <c r="F38" s="53">
        <v>10.0</v>
      </c>
      <c r="G38" s="53"/>
      <c r="H38" s="53"/>
      <c r="I38" s="55"/>
      <c r="J38" s="9"/>
    </row>
    <row r="39" ht="14.25" customHeight="1">
      <c r="A39" s="53" t="s">
        <v>12</v>
      </c>
      <c r="B39" s="54" t="s">
        <v>368</v>
      </c>
      <c r="C39" s="18"/>
      <c r="D39" s="20"/>
      <c r="E39" s="53">
        <v>3.0</v>
      </c>
      <c r="F39" s="53">
        <v>12.0</v>
      </c>
      <c r="G39" s="53"/>
      <c r="H39" s="53"/>
      <c r="I39" s="55"/>
      <c r="J39" s="9"/>
    </row>
    <row r="40" ht="14.25" customHeight="1">
      <c r="A40" s="53" t="s">
        <v>12</v>
      </c>
      <c r="B40" s="54" t="s">
        <v>469</v>
      </c>
      <c r="C40" s="18"/>
      <c r="D40" s="20"/>
      <c r="E40" s="53">
        <v>3.0</v>
      </c>
      <c r="F40" s="53">
        <v>12.0</v>
      </c>
      <c r="G40" s="53"/>
      <c r="H40" s="53"/>
      <c r="I40" s="55"/>
      <c r="J40" s="9"/>
    </row>
    <row r="41" ht="14.25" customHeight="1">
      <c r="A41" s="15" t="s">
        <v>32</v>
      </c>
      <c r="B41" s="17" t="s">
        <v>940</v>
      </c>
      <c r="C41" s="18"/>
      <c r="D41" s="20"/>
      <c r="E41" s="15">
        <v>4.0</v>
      </c>
      <c r="F41" s="15" t="s">
        <v>143</v>
      </c>
      <c r="G41" s="15">
        <v>8.0</v>
      </c>
      <c r="H41" s="15" t="s">
        <v>55</v>
      </c>
      <c r="I41" s="23"/>
      <c r="J41" s="9"/>
    </row>
    <row r="42" ht="14.25" customHeight="1">
      <c r="A42" s="15" t="s">
        <v>26</v>
      </c>
      <c r="B42" s="17" t="s">
        <v>124</v>
      </c>
      <c r="C42" s="18"/>
      <c r="D42" s="20"/>
      <c r="E42" s="15">
        <v>3.0</v>
      </c>
      <c r="F42" s="15">
        <v>10.0</v>
      </c>
      <c r="G42" s="15"/>
      <c r="H42" s="15"/>
      <c r="I42" s="23"/>
      <c r="J42" s="9"/>
    </row>
    <row r="43" ht="14.25" customHeight="1">
      <c r="A43" s="53" t="s">
        <v>32</v>
      </c>
      <c r="B43" s="54" t="s">
        <v>941</v>
      </c>
      <c r="C43" s="18"/>
      <c r="D43" s="20"/>
      <c r="E43" s="53">
        <v>3.0</v>
      </c>
      <c r="F43" s="53">
        <v>10.0</v>
      </c>
      <c r="G43" s="53"/>
      <c r="H43" s="53"/>
      <c r="I43" s="55"/>
      <c r="J43" s="9"/>
    </row>
    <row r="44" ht="14.25" customHeight="1">
      <c r="A44" s="53" t="s">
        <v>26</v>
      </c>
      <c r="B44" s="54" t="s">
        <v>942</v>
      </c>
      <c r="C44" s="18"/>
      <c r="D44" s="20"/>
      <c r="E44" s="53">
        <v>3.0</v>
      </c>
      <c r="F44" s="53">
        <v>10.0</v>
      </c>
      <c r="G44" s="53"/>
      <c r="H44" s="53"/>
      <c r="I44" s="55"/>
      <c r="J44" s="9"/>
    </row>
    <row r="45" ht="14.25" customHeight="1">
      <c r="A45" s="15" t="s">
        <v>29</v>
      </c>
      <c r="B45" s="17" t="s">
        <v>943</v>
      </c>
      <c r="C45" s="18"/>
      <c r="D45" s="20"/>
      <c r="E45" s="15">
        <v>3.0</v>
      </c>
      <c r="F45" s="15">
        <v>10.0</v>
      </c>
      <c r="G45" s="15"/>
      <c r="H45" s="15"/>
      <c r="I45" s="23"/>
      <c r="J45" s="9"/>
    </row>
    <row r="46" ht="14.25" customHeight="1">
      <c r="A46" s="53" t="s">
        <v>31</v>
      </c>
      <c r="B46" s="54" t="s">
        <v>945</v>
      </c>
      <c r="C46" s="18"/>
      <c r="D46" s="20"/>
      <c r="E46" s="53">
        <v>3.0</v>
      </c>
      <c r="F46" s="53">
        <v>10.0</v>
      </c>
      <c r="G46" s="53"/>
      <c r="H46" s="53"/>
      <c r="I46" s="55"/>
      <c r="J46" s="9"/>
    </row>
    <row r="47" ht="14.25" customHeight="1">
      <c r="A47" s="53" t="s">
        <v>32</v>
      </c>
      <c r="B47" s="56" t="s">
        <v>947</v>
      </c>
      <c r="C47" s="8"/>
      <c r="D47" s="9"/>
      <c r="E47" s="53">
        <v>4.0</v>
      </c>
      <c r="F47" s="53">
        <v>10.0</v>
      </c>
      <c r="G47" s="53"/>
      <c r="H47" s="53"/>
      <c r="I47" s="55" t="s">
        <v>948</v>
      </c>
      <c r="J47" s="9"/>
    </row>
    <row r="48" ht="14.25" customHeight="1">
      <c r="B48" s="26"/>
      <c r="C48" s="29"/>
      <c r="D48" s="29"/>
    </row>
    <row r="49" ht="14.25" customHeight="1"/>
    <row r="50" ht="14.25" customHeight="1">
      <c r="A50" s="2" t="s">
        <v>66</v>
      </c>
      <c r="B50" s="3"/>
      <c r="C50" s="4"/>
      <c r="J50" s="1"/>
    </row>
    <row r="51" ht="14.25" customHeight="1">
      <c r="A51" s="6" t="s">
        <v>2</v>
      </c>
      <c r="B51" s="10" t="s">
        <v>4</v>
      </c>
      <c r="C51" s="8"/>
      <c r="D51" s="9"/>
      <c r="E51" s="6" t="s">
        <v>5</v>
      </c>
      <c r="F51" s="6" t="s">
        <v>6</v>
      </c>
      <c r="G51" s="6" t="s">
        <v>7</v>
      </c>
      <c r="H51" s="6" t="s">
        <v>8</v>
      </c>
      <c r="I51" s="10" t="s">
        <v>9</v>
      </c>
      <c r="J51" s="9"/>
    </row>
    <row r="52" ht="14.25" customHeight="1">
      <c r="A52" s="16"/>
      <c r="B52" s="26"/>
      <c r="C52" s="29"/>
      <c r="D52" s="29"/>
      <c r="E52" s="16"/>
      <c r="F52" s="16"/>
      <c r="G52" s="16"/>
      <c r="H52" s="16"/>
      <c r="I52" s="24"/>
      <c r="J52" s="9"/>
    </row>
    <row r="53" ht="14.25" customHeight="1">
      <c r="A53" s="16"/>
      <c r="B53" s="26"/>
      <c r="C53" s="29"/>
      <c r="D53" s="29"/>
      <c r="E53" s="16"/>
      <c r="F53" s="16"/>
      <c r="G53" s="16"/>
      <c r="H53" s="16"/>
      <c r="I53" s="24"/>
      <c r="J53" s="9"/>
    </row>
    <row r="54" ht="14.25" customHeight="1">
      <c r="A54" s="16" t="s">
        <v>12</v>
      </c>
      <c r="B54" s="26" t="s">
        <v>329</v>
      </c>
      <c r="C54" s="29"/>
      <c r="D54" s="29"/>
      <c r="E54" s="16"/>
      <c r="F54" s="16">
        <v>10.0</v>
      </c>
      <c r="G54" s="16"/>
      <c r="H54" s="16"/>
      <c r="I54" s="24"/>
      <c r="J54" s="9"/>
    </row>
    <row r="55" ht="14.25" customHeight="1">
      <c r="A55" s="16" t="s">
        <v>31</v>
      </c>
      <c r="B55" s="30" t="s">
        <v>331</v>
      </c>
      <c r="C55" s="18"/>
      <c r="D55" s="20"/>
      <c r="E55" s="27"/>
      <c r="F55" s="27">
        <v>10.0</v>
      </c>
      <c r="G55" s="27"/>
      <c r="H55" s="27"/>
      <c r="I55" s="24"/>
      <c r="J55" s="9"/>
    </row>
    <row r="56" ht="14.25" customHeight="1">
      <c r="A56" s="16" t="s">
        <v>32</v>
      </c>
      <c r="B56" s="30" t="s">
        <v>333</v>
      </c>
      <c r="C56" s="18"/>
      <c r="D56" s="20"/>
      <c r="E56" s="27"/>
      <c r="F56" s="27" t="s">
        <v>278</v>
      </c>
      <c r="G56" s="27"/>
      <c r="H56" s="27"/>
      <c r="I56" s="24"/>
      <c r="J56" s="9"/>
    </row>
    <row r="57" ht="14.25" customHeight="1">
      <c r="A57" s="16" t="s">
        <v>26</v>
      </c>
      <c r="B57" s="30" t="s">
        <v>335</v>
      </c>
      <c r="C57" s="18"/>
      <c r="D57" s="20"/>
      <c r="E57" s="27"/>
      <c r="F57" s="27">
        <v>8.0</v>
      </c>
      <c r="G57" s="27"/>
      <c r="H57" s="27"/>
      <c r="I57" s="24"/>
      <c r="J57" s="9"/>
    </row>
    <row r="58" ht="14.25" customHeight="1">
      <c r="A58" s="16" t="s">
        <v>32</v>
      </c>
      <c r="B58" s="30" t="s">
        <v>338</v>
      </c>
      <c r="C58" s="18"/>
      <c r="D58" s="20"/>
      <c r="E58" s="27"/>
      <c r="F58" s="27">
        <v>8.0</v>
      </c>
      <c r="G58" s="27"/>
      <c r="H58" s="27"/>
      <c r="I58" s="24"/>
      <c r="J58" s="9"/>
    </row>
    <row r="59" ht="14.25" customHeight="1">
      <c r="A59" s="16" t="s">
        <v>26</v>
      </c>
      <c r="B59" s="30" t="s">
        <v>340</v>
      </c>
      <c r="C59" s="18"/>
      <c r="D59" s="20"/>
      <c r="E59" s="27"/>
      <c r="F59" s="27">
        <v>10.0</v>
      </c>
      <c r="G59" s="27"/>
      <c r="H59" s="27"/>
      <c r="I59" s="24"/>
      <c r="J59" s="9"/>
    </row>
    <row r="60" ht="14.25" customHeight="1">
      <c r="A60" s="16" t="s">
        <v>28</v>
      </c>
      <c r="B60" s="30" t="s">
        <v>341</v>
      </c>
      <c r="C60" s="18"/>
      <c r="D60" s="20"/>
      <c r="E60" s="27"/>
      <c r="F60" s="27"/>
      <c r="G60" s="27"/>
      <c r="H60" s="27"/>
      <c r="I60" s="24"/>
      <c r="J60" s="9"/>
    </row>
    <row r="61" ht="14.25" customHeight="1">
      <c r="A61" s="16" t="s">
        <v>33</v>
      </c>
      <c r="B61" s="60" t="s">
        <v>342</v>
      </c>
      <c r="C61" s="8"/>
      <c r="D61" s="9"/>
      <c r="E61" s="27"/>
      <c r="F61" s="27">
        <v>10.0</v>
      </c>
      <c r="G61" s="27"/>
      <c r="H61" s="27"/>
      <c r="I61" s="24"/>
      <c r="J61" s="9"/>
    </row>
    <row r="62" ht="14.25" customHeight="1">
      <c r="B62" s="26"/>
      <c r="C62" s="29"/>
      <c r="D62" s="29"/>
    </row>
    <row r="63" ht="14.25" customHeight="1"/>
    <row r="64" ht="14.25" customHeight="1">
      <c r="A64" s="2" t="s">
        <v>76</v>
      </c>
      <c r="B64" s="3"/>
      <c r="C64" s="4"/>
      <c r="J64" s="1"/>
    </row>
    <row r="65" ht="14.25" customHeight="1">
      <c r="A65" s="6" t="s">
        <v>2</v>
      </c>
      <c r="B65" s="10" t="s">
        <v>4</v>
      </c>
      <c r="C65" s="8"/>
      <c r="D65" s="9"/>
      <c r="E65" s="6" t="s">
        <v>5</v>
      </c>
      <c r="F65" s="6" t="s">
        <v>6</v>
      </c>
      <c r="G65" s="6" t="s">
        <v>7</v>
      </c>
      <c r="H65" s="6" t="s">
        <v>8</v>
      </c>
      <c r="I65" s="10" t="s">
        <v>9</v>
      </c>
      <c r="J65" s="9"/>
    </row>
    <row r="66" ht="14.25" customHeight="1">
      <c r="A66" s="16"/>
      <c r="B66" s="26"/>
      <c r="C66" s="29"/>
      <c r="D66" s="29"/>
      <c r="E66" s="16"/>
      <c r="F66" s="16"/>
      <c r="G66" s="16"/>
      <c r="H66" s="16"/>
      <c r="I66" s="24"/>
      <c r="J66" s="9"/>
    </row>
    <row r="67" ht="14.25" customHeight="1">
      <c r="A67" s="16"/>
      <c r="B67" s="26"/>
      <c r="C67" s="29"/>
      <c r="D67" s="29"/>
      <c r="E67" s="16"/>
      <c r="F67" s="16"/>
      <c r="G67" s="16"/>
      <c r="H67" s="16"/>
      <c r="I67" s="24"/>
      <c r="J67" s="9"/>
    </row>
    <row r="68" ht="14.25" customHeight="1">
      <c r="A68" s="16"/>
      <c r="B68" s="26"/>
      <c r="C68" s="29"/>
      <c r="D68" s="29"/>
      <c r="E68" s="16"/>
      <c r="F68" s="16"/>
      <c r="G68" s="16"/>
      <c r="H68" s="16"/>
      <c r="I68" s="24"/>
      <c r="J68" s="9"/>
    </row>
    <row r="69" ht="14.25" customHeight="1">
      <c r="A69" s="16"/>
      <c r="B69" s="26"/>
      <c r="C69" s="29"/>
      <c r="D69" s="29"/>
      <c r="E69" s="16"/>
      <c r="F69" s="16"/>
      <c r="G69" s="16"/>
      <c r="H69" s="16"/>
      <c r="I69" s="24"/>
      <c r="J69" s="9"/>
    </row>
    <row r="70" ht="14.25" customHeight="1">
      <c r="A70" s="16"/>
      <c r="B70" s="26"/>
      <c r="C70" s="29"/>
      <c r="D70" s="29"/>
      <c r="E70" s="16"/>
      <c r="F70" s="16"/>
      <c r="G70" s="16"/>
      <c r="H70" s="16"/>
      <c r="I70" s="24"/>
      <c r="J70" s="9"/>
    </row>
    <row r="71" ht="14.25" customHeight="1">
      <c r="A71" s="16"/>
      <c r="B71" s="26"/>
      <c r="C71" s="29"/>
      <c r="D71" s="29"/>
      <c r="E71" s="16"/>
      <c r="F71" s="16"/>
      <c r="G71" s="16"/>
      <c r="H71" s="16"/>
      <c r="I71" s="24"/>
      <c r="J71" s="9"/>
    </row>
    <row r="72" ht="14.25" customHeight="1">
      <c r="A72" s="16"/>
      <c r="B72" s="26"/>
      <c r="C72" s="29"/>
      <c r="D72" s="29"/>
      <c r="E72" s="16"/>
      <c r="F72" s="16"/>
      <c r="G72" s="16"/>
      <c r="H72" s="16"/>
      <c r="I72" s="24"/>
      <c r="J72" s="9"/>
    </row>
    <row r="73" ht="14.25" customHeight="1">
      <c r="A73" s="16"/>
      <c r="B73" s="26"/>
      <c r="C73" s="29"/>
      <c r="D73" s="29"/>
      <c r="E73" s="16"/>
      <c r="F73" s="16"/>
      <c r="G73" s="16"/>
      <c r="H73" s="16"/>
      <c r="I73" s="24"/>
      <c r="J73" s="9"/>
    </row>
    <row r="74" ht="14.25" customHeight="1">
      <c r="A74" s="16"/>
      <c r="B74" s="26"/>
      <c r="C74" s="29"/>
      <c r="D74" s="29"/>
      <c r="E74" s="16"/>
      <c r="F74" s="16"/>
      <c r="G74" s="16"/>
      <c r="H74" s="16"/>
      <c r="I74" s="24"/>
      <c r="J74" s="9"/>
    </row>
    <row r="75" ht="14.25" customHeight="1">
      <c r="A75" s="16"/>
      <c r="B75" s="58"/>
      <c r="C75" s="8"/>
      <c r="D75" s="9"/>
      <c r="E75" s="16"/>
      <c r="F75" s="16"/>
      <c r="G75" s="16"/>
      <c r="H75" s="16"/>
      <c r="I75" s="24"/>
      <c r="J75" s="9"/>
    </row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7">
    <mergeCell ref="I27:J27"/>
    <mergeCell ref="I28:J28"/>
    <mergeCell ref="I11:J11"/>
    <mergeCell ref="I13:J13"/>
    <mergeCell ref="I21:J21"/>
    <mergeCell ref="I22:J22"/>
    <mergeCell ref="I23:J23"/>
    <mergeCell ref="I25:J25"/>
    <mergeCell ref="I26:J26"/>
    <mergeCell ref="A6:C6"/>
    <mergeCell ref="B7:D7"/>
    <mergeCell ref="I7:J7"/>
    <mergeCell ref="M7:W7"/>
    <mergeCell ref="Z7:AB7"/>
    <mergeCell ref="B8:D8"/>
    <mergeCell ref="B9:D9"/>
    <mergeCell ref="I12:J12"/>
    <mergeCell ref="M12:W12"/>
    <mergeCell ref="I8:J8"/>
    <mergeCell ref="I9:J9"/>
    <mergeCell ref="B10:D10"/>
    <mergeCell ref="I10:J10"/>
    <mergeCell ref="B11:D11"/>
    <mergeCell ref="B12:D12"/>
    <mergeCell ref="B13:D13"/>
    <mergeCell ref="I17:J17"/>
    <mergeCell ref="M17:W17"/>
    <mergeCell ref="M22:W22"/>
    <mergeCell ref="B14:D14"/>
    <mergeCell ref="I14:J14"/>
    <mergeCell ref="B15:D15"/>
    <mergeCell ref="I15:J15"/>
    <mergeCell ref="B16:D16"/>
    <mergeCell ref="I16:J16"/>
    <mergeCell ref="B17:D17"/>
    <mergeCell ref="B26:D26"/>
    <mergeCell ref="B27:D27"/>
    <mergeCell ref="B28:D28"/>
    <mergeCell ref="M28:W28"/>
    <mergeCell ref="I29:J29"/>
    <mergeCell ref="B18:D18"/>
    <mergeCell ref="A20:C20"/>
    <mergeCell ref="B21:D21"/>
    <mergeCell ref="B22:D22"/>
    <mergeCell ref="B23:D23"/>
    <mergeCell ref="B24:D24"/>
    <mergeCell ref="B25:D25"/>
    <mergeCell ref="B51:D51"/>
    <mergeCell ref="B52:D52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62:D62"/>
    <mergeCell ref="A64:C64"/>
    <mergeCell ref="B65:D65"/>
    <mergeCell ref="B73:D73"/>
    <mergeCell ref="B74:D74"/>
    <mergeCell ref="B75:D75"/>
    <mergeCell ref="B66:D66"/>
    <mergeCell ref="B67:D67"/>
    <mergeCell ref="B68:D68"/>
    <mergeCell ref="B69:D69"/>
    <mergeCell ref="B70:D70"/>
    <mergeCell ref="B71:D71"/>
    <mergeCell ref="B72:D72"/>
    <mergeCell ref="I71:J71"/>
    <mergeCell ref="I72:J72"/>
    <mergeCell ref="I73:J73"/>
    <mergeCell ref="I74:J74"/>
    <mergeCell ref="I75:J75"/>
    <mergeCell ref="I61:J61"/>
    <mergeCell ref="I65:J65"/>
    <mergeCell ref="I66:J66"/>
    <mergeCell ref="I67:J67"/>
    <mergeCell ref="I68:J68"/>
    <mergeCell ref="I69:J69"/>
    <mergeCell ref="I70:J70"/>
    <mergeCell ref="B29:D29"/>
    <mergeCell ref="B30:D30"/>
    <mergeCell ref="I30:J30"/>
    <mergeCell ref="B31:D31"/>
    <mergeCell ref="I31:J31"/>
    <mergeCell ref="B32:D32"/>
    <mergeCell ref="I33:J33"/>
    <mergeCell ref="I38:J38"/>
    <mergeCell ref="I39:J39"/>
    <mergeCell ref="B33:D33"/>
    <mergeCell ref="B34:D34"/>
    <mergeCell ref="A36:C36"/>
    <mergeCell ref="B37:D37"/>
    <mergeCell ref="I37:J37"/>
    <mergeCell ref="B38:D38"/>
    <mergeCell ref="B39:D39"/>
    <mergeCell ref="B40:D40"/>
    <mergeCell ref="I40:J40"/>
    <mergeCell ref="B41:D41"/>
    <mergeCell ref="I41:J41"/>
    <mergeCell ref="B42:D42"/>
    <mergeCell ref="I42:J42"/>
    <mergeCell ref="I43:J43"/>
    <mergeCell ref="B43:D43"/>
    <mergeCell ref="B44:D44"/>
    <mergeCell ref="B45:D45"/>
    <mergeCell ref="B46:D46"/>
    <mergeCell ref="B47:D47"/>
    <mergeCell ref="B48:D48"/>
    <mergeCell ref="A50:C50"/>
    <mergeCell ref="I44:J44"/>
    <mergeCell ref="I45:J45"/>
    <mergeCell ref="I46:J46"/>
    <mergeCell ref="I47:J47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60:J60"/>
  </mergeCells>
  <dataValidations>
    <dataValidation type="list" allowBlank="1" showErrorMessage="1" sqref="A8:A17 A22:A33 A38:A47 A52:A61 A66:A75">
      <formula1>Datos!$D$2:$D$11</formula1>
    </dataValidation>
    <dataValidation type="list" allowBlank="1" showErrorMessage="1" sqref="J5">
      <formula1>Datos!$B$2:$B$12</formula1>
    </dataValidation>
    <dataValidation type="list" allowBlank="1" showErrorMessage="1" sqref="J6 J20 J36 J50 J64">
      <formula1>Datos!$D$2:$D$14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13.86"/>
    <col customWidth="1" min="5" max="9" width="10.71"/>
    <col customWidth="1" min="10" max="10" width="25.86"/>
    <col customWidth="1" min="11" max="23" width="10.71"/>
    <col customWidth="1" min="24" max="24" width="7.86"/>
    <col customWidth="1" min="25" max="25" width="15.43"/>
    <col customWidth="1" min="26" max="28" width="10.71"/>
  </cols>
  <sheetData>
    <row r="1" ht="14.25" customHeight="1"/>
    <row r="2" ht="14.25" customHeight="1"/>
    <row r="3" ht="14.25" customHeight="1"/>
    <row r="4" ht="14.25" customHeight="1">
      <c r="F4" s="1"/>
    </row>
    <row r="5" ht="14.25" customHeight="1">
      <c r="J5" s="1"/>
    </row>
    <row r="6" ht="14.25" customHeight="1">
      <c r="A6" s="2" t="s">
        <v>848</v>
      </c>
      <c r="B6" s="3"/>
      <c r="C6" s="4"/>
      <c r="J6" s="1"/>
    </row>
    <row r="7" ht="14.25" customHeight="1">
      <c r="A7" s="5" t="s">
        <v>2</v>
      </c>
      <c r="B7" s="7" t="s">
        <v>4</v>
      </c>
      <c r="C7" s="8"/>
      <c r="D7" s="9"/>
      <c r="E7" s="5" t="s">
        <v>5</v>
      </c>
      <c r="F7" s="5" t="s">
        <v>6</v>
      </c>
      <c r="G7" s="5" t="s">
        <v>7</v>
      </c>
      <c r="H7" s="5" t="s">
        <v>8</v>
      </c>
      <c r="I7" s="7" t="s">
        <v>9</v>
      </c>
      <c r="J7" s="9"/>
      <c r="M7" s="11" t="s">
        <v>0</v>
      </c>
      <c r="N7" s="12"/>
      <c r="O7" s="12"/>
      <c r="P7" s="12"/>
      <c r="Q7" s="12"/>
      <c r="R7" s="12"/>
      <c r="S7" s="12"/>
      <c r="T7" s="12"/>
      <c r="U7" s="12"/>
      <c r="V7" s="12"/>
      <c r="W7" s="13"/>
      <c r="Y7" s="1"/>
      <c r="Z7" s="14" t="s">
        <v>10</v>
      </c>
      <c r="AA7" s="12"/>
      <c r="AB7" s="13"/>
    </row>
    <row r="8" ht="14.25" customHeight="1">
      <c r="A8" s="219"/>
      <c r="B8" s="220" t="s">
        <v>849</v>
      </c>
      <c r="C8" s="8"/>
      <c r="D8" s="9"/>
      <c r="E8" s="221">
        <v>2.0</v>
      </c>
      <c r="F8" s="221">
        <v>8.0</v>
      </c>
      <c r="G8" s="219"/>
      <c r="H8" s="219"/>
      <c r="I8" s="220" t="s">
        <v>15</v>
      </c>
      <c r="J8" s="9"/>
      <c r="M8" s="94"/>
      <c r="N8" s="1"/>
      <c r="O8" s="1"/>
      <c r="P8" s="1"/>
      <c r="Q8" s="1"/>
      <c r="R8" s="1"/>
      <c r="S8" s="1"/>
      <c r="T8" s="1"/>
      <c r="U8" s="1"/>
      <c r="V8" s="1"/>
      <c r="W8" s="1"/>
      <c r="Y8" s="1"/>
      <c r="Z8" s="222"/>
      <c r="AA8" s="1"/>
      <c r="AB8" s="1"/>
    </row>
    <row r="9" ht="14.25" customHeight="1">
      <c r="A9" s="219"/>
      <c r="B9" s="220" t="s">
        <v>850</v>
      </c>
      <c r="C9" s="8"/>
      <c r="D9" s="9"/>
      <c r="E9" s="221">
        <v>2.0</v>
      </c>
      <c r="F9" s="221">
        <v>8.0</v>
      </c>
      <c r="G9" s="219"/>
      <c r="H9" s="219"/>
      <c r="I9" s="223"/>
      <c r="J9" s="224"/>
      <c r="M9" s="94"/>
      <c r="N9" s="1"/>
      <c r="O9" s="1"/>
      <c r="P9" s="1"/>
      <c r="Q9" s="1"/>
      <c r="R9" s="1"/>
      <c r="S9" s="1"/>
      <c r="T9" s="1"/>
      <c r="U9" s="1"/>
      <c r="V9" s="1"/>
      <c r="W9" s="1"/>
      <c r="Y9" s="1"/>
      <c r="Z9" s="222"/>
      <c r="AA9" s="1"/>
      <c r="AB9" s="1"/>
    </row>
    <row r="10" ht="14.25" customHeight="1">
      <c r="A10" s="83"/>
      <c r="B10" s="226" t="s">
        <v>851</v>
      </c>
      <c r="C10" s="18"/>
      <c r="D10" s="20"/>
      <c r="E10" s="227">
        <v>2.0</v>
      </c>
      <c r="F10" s="227">
        <v>10.0</v>
      </c>
      <c r="G10" s="83"/>
      <c r="H10" s="83"/>
      <c r="I10" s="225"/>
      <c r="J10" s="224"/>
      <c r="M10" s="25"/>
      <c r="N10" s="28" t="s">
        <v>16</v>
      </c>
      <c r="O10" s="28" t="s">
        <v>26</v>
      </c>
      <c r="P10" s="28" t="s">
        <v>27</v>
      </c>
      <c r="Q10" s="28" t="s">
        <v>28</v>
      </c>
      <c r="R10" s="28" t="s">
        <v>29</v>
      </c>
      <c r="S10" s="28" t="s">
        <v>30</v>
      </c>
      <c r="T10" s="28" t="s">
        <v>31</v>
      </c>
      <c r="U10" s="28" t="s">
        <v>32</v>
      </c>
      <c r="V10" s="28" t="s">
        <v>33</v>
      </c>
      <c r="W10" s="28" t="s">
        <v>12</v>
      </c>
      <c r="Z10" s="28" t="s">
        <v>16</v>
      </c>
      <c r="AA10" s="1">
        <f>SUM(N11,N19,N24,N30,N37)</f>
        <v>8</v>
      </c>
    </row>
    <row r="11" ht="14.25" customHeight="1">
      <c r="A11" s="15" t="s">
        <v>12</v>
      </c>
      <c r="B11" s="17" t="s">
        <v>878</v>
      </c>
      <c r="C11" s="18"/>
      <c r="D11" s="20"/>
      <c r="E11" s="15">
        <v>3.0</v>
      </c>
      <c r="F11" s="15">
        <v>12.0</v>
      </c>
      <c r="G11" s="15"/>
      <c r="H11" s="15"/>
      <c r="I11" s="23" t="s">
        <v>881</v>
      </c>
      <c r="J11" s="9"/>
      <c r="M11" s="34" t="s">
        <v>36</v>
      </c>
      <c r="N11" s="37">
        <f>SUMIF(A10:A22,"Pecho",E10:E22)</f>
        <v>4</v>
      </c>
      <c r="O11" s="37">
        <f>SUMIF(A10:A22,"Espalda",E10:E22)</f>
        <v>0</v>
      </c>
      <c r="P11" s="37">
        <f>SUMIF($A10:$A22,"Hombros",$E10:$E22)</f>
        <v>3</v>
      </c>
      <c r="Q11" s="37">
        <f>SUMIF($A10:$A22,"Bíceps",$E10:$E22)</f>
        <v>0</v>
      </c>
      <c r="R11" s="37">
        <f>SUMIF($A10:$A22,"Tríceps",$E10:$E22)</f>
        <v>0</v>
      </c>
      <c r="S11" s="38">
        <f>SUMIF(A10:A22,"Cuádriceps",E10:E22)</f>
        <v>7</v>
      </c>
      <c r="T11" s="37">
        <f>SUMIF($A10:$A22,"Isquios",$E10:$E22)</f>
        <v>0</v>
      </c>
      <c r="U11" s="37">
        <f>SUMIF($A10:$A22,"Glúteos",$E10:$E22)</f>
        <v>0</v>
      </c>
      <c r="V11" s="37">
        <f>SUMIF($A10:$A22,"Pantorrillas",$E10:$E22)</f>
        <v>0</v>
      </c>
      <c r="W11" s="37">
        <f>SUMIF($A10:$A22,"Otros",$E10:$E22)</f>
        <v>25</v>
      </c>
      <c r="Z11" s="28" t="s">
        <v>26</v>
      </c>
      <c r="AA11" s="1">
        <f>SUM(O11,O19,O24,O30,O37)</f>
        <v>16</v>
      </c>
    </row>
    <row r="12" ht="14.25" customHeight="1">
      <c r="A12" s="15" t="s">
        <v>113</v>
      </c>
      <c r="B12" s="61" t="s">
        <v>855</v>
      </c>
      <c r="C12" s="8"/>
      <c r="D12" s="9"/>
      <c r="E12" s="15">
        <v>3.0</v>
      </c>
      <c r="F12" s="15">
        <v>10.0</v>
      </c>
      <c r="G12" s="15"/>
      <c r="H12" s="15"/>
      <c r="I12" s="217"/>
      <c r="J12" s="218"/>
      <c r="M12" s="34"/>
      <c r="N12" s="37"/>
      <c r="O12" s="37"/>
      <c r="P12" s="37"/>
      <c r="Q12" s="37"/>
      <c r="R12" s="37"/>
      <c r="S12" s="38"/>
      <c r="T12" s="37"/>
      <c r="U12" s="37"/>
      <c r="V12" s="37"/>
      <c r="W12" s="37"/>
      <c r="Z12" s="28"/>
      <c r="AA12" s="1"/>
    </row>
    <row r="13" ht="14.25" customHeight="1">
      <c r="A13" s="15" t="s">
        <v>113</v>
      </c>
      <c r="B13" s="61" t="s">
        <v>891</v>
      </c>
      <c r="C13" s="8"/>
      <c r="D13" s="9"/>
      <c r="E13" s="15">
        <v>3.0</v>
      </c>
      <c r="F13" s="15" t="s">
        <v>65</v>
      </c>
      <c r="G13" s="15"/>
      <c r="H13" s="15"/>
      <c r="I13" s="61" t="s">
        <v>893</v>
      </c>
      <c r="J13" s="9"/>
      <c r="M13" s="34"/>
      <c r="N13" s="37"/>
      <c r="O13" s="37"/>
      <c r="P13" s="37"/>
      <c r="Q13" s="37"/>
      <c r="R13" s="37"/>
      <c r="S13" s="38"/>
      <c r="T13" s="37"/>
      <c r="U13" s="37"/>
      <c r="V13" s="37"/>
      <c r="W13" s="37"/>
      <c r="Z13" s="28"/>
      <c r="AA13" s="1"/>
    </row>
    <row r="14" ht="14.25" customHeight="1">
      <c r="A14" s="15" t="s">
        <v>12</v>
      </c>
      <c r="B14" s="17" t="s">
        <v>897</v>
      </c>
      <c r="C14" s="18"/>
      <c r="D14" s="20"/>
      <c r="E14" s="15">
        <v>3.0</v>
      </c>
      <c r="F14" s="129" t="s">
        <v>898</v>
      </c>
      <c r="G14" s="15"/>
      <c r="H14" s="15"/>
      <c r="I14" s="23"/>
      <c r="J14" s="9"/>
      <c r="M14" s="34" t="s">
        <v>7</v>
      </c>
      <c r="N14" s="35">
        <f>AVERAGEIF($A10:$A22,"Pecho",$G10:$G22)</f>
        <v>8</v>
      </c>
      <c r="O14" s="35" t="str">
        <f>AVERAGEIF($A10:$A22,"Espalda",$G10:$G22)</f>
        <v>#DIV/0!</v>
      </c>
      <c r="P14" s="35">
        <f>AVERAGEIF($A10:$A22,"Hombros",$G10:$G22)</f>
        <v>8</v>
      </c>
      <c r="Q14" s="35" t="str">
        <f>AVERAGEIF($A10:$A22,"Bíceps",$G10:$G22)</f>
        <v>#DIV/0!</v>
      </c>
      <c r="R14" s="35" t="str">
        <f>AVERAGEIF($A10:$A22,"Tríceps",$G10:$G22)</f>
        <v>#DIV/0!</v>
      </c>
      <c r="S14" s="35">
        <f>AVERAGEIF($A10:$A22,"Cuádriceps",$G10:$G22)</f>
        <v>7.5</v>
      </c>
      <c r="T14" s="35" t="str">
        <f>AVERAGEIF($A10:$A22,"Isquios",$G10:$G22)</f>
        <v>#DIV/0!</v>
      </c>
      <c r="U14" s="35" t="str">
        <f>AVERAGEIF($A10:$A22,"Glúteos",$G10:$G22)</f>
        <v>#DIV/0!</v>
      </c>
      <c r="V14" s="35" t="str">
        <f>AVERAGEIF($A10:$A22,"Pantorrillas",$G10:$G22)</f>
        <v>#DIV/0!</v>
      </c>
      <c r="W14" s="35">
        <f>AVERAGEIF($A10:$A22,"Otros",$G10:$G22)</f>
        <v>7.5</v>
      </c>
      <c r="Z14" s="28" t="s">
        <v>27</v>
      </c>
      <c r="AA14" s="1">
        <f>SUM(P11,P19,P24,P30,P37)</f>
        <v>7</v>
      </c>
    </row>
    <row r="15" ht="14.25" customHeight="1">
      <c r="A15" s="49" t="s">
        <v>16</v>
      </c>
      <c r="B15" s="50" t="s">
        <v>52</v>
      </c>
      <c r="C15" s="18"/>
      <c r="D15" s="20"/>
      <c r="E15" s="49">
        <v>4.0</v>
      </c>
      <c r="F15" s="49" t="s">
        <v>858</v>
      </c>
      <c r="G15" s="49">
        <v>8.0</v>
      </c>
      <c r="H15" s="49" t="s">
        <v>55</v>
      </c>
      <c r="I15" s="51" t="s">
        <v>859</v>
      </c>
      <c r="J15" s="9"/>
      <c r="M15" s="25"/>
      <c r="N15" s="25"/>
      <c r="O15" s="25"/>
      <c r="P15" s="25"/>
      <c r="Q15" s="25"/>
      <c r="R15" s="25"/>
      <c r="S15" s="25"/>
      <c r="T15" s="25"/>
      <c r="U15" s="25"/>
      <c r="Z15" s="28" t="s">
        <v>28</v>
      </c>
      <c r="AA15" s="1">
        <f>SUM(Q11,Q19,Q24,Q30,Q37)</f>
        <v>0</v>
      </c>
    </row>
    <row r="16" ht="14.25" customHeight="1">
      <c r="A16" s="111" t="s">
        <v>113</v>
      </c>
      <c r="B16" s="140" t="s">
        <v>908</v>
      </c>
      <c r="C16" s="8"/>
      <c r="D16" s="9"/>
      <c r="E16" s="111">
        <v>3.0</v>
      </c>
      <c r="F16" s="111" t="s">
        <v>910</v>
      </c>
      <c r="G16" s="111"/>
      <c r="H16" s="111" t="s">
        <v>911</v>
      </c>
      <c r="I16" s="140" t="s">
        <v>912</v>
      </c>
      <c r="J16" s="9"/>
      <c r="M16" s="25"/>
      <c r="N16" s="25"/>
      <c r="O16" s="25"/>
      <c r="P16" s="25"/>
      <c r="Q16" s="25"/>
      <c r="R16" s="25"/>
      <c r="S16" s="25"/>
      <c r="T16" s="25"/>
      <c r="U16" s="25"/>
      <c r="Z16" s="28"/>
      <c r="AA16" s="1"/>
    </row>
    <row r="17" ht="14.25" customHeight="1">
      <c r="A17" s="49" t="s">
        <v>27</v>
      </c>
      <c r="B17" s="50" t="s">
        <v>913</v>
      </c>
      <c r="C17" s="18"/>
      <c r="D17" s="20"/>
      <c r="E17" s="49">
        <v>3.0</v>
      </c>
      <c r="F17" s="49" t="s">
        <v>914</v>
      </c>
      <c r="G17" s="49">
        <v>8.0</v>
      </c>
      <c r="H17" s="49"/>
      <c r="I17" s="51" t="s">
        <v>915</v>
      </c>
      <c r="J17" s="9"/>
      <c r="M17" s="11" t="s">
        <v>45</v>
      </c>
      <c r="N17" s="12"/>
      <c r="O17" s="12"/>
      <c r="P17" s="12"/>
      <c r="Q17" s="12"/>
      <c r="R17" s="12"/>
      <c r="S17" s="12"/>
      <c r="T17" s="12"/>
      <c r="U17" s="12"/>
      <c r="V17" s="12"/>
      <c r="W17" s="13"/>
      <c r="Z17" s="28" t="s">
        <v>29</v>
      </c>
      <c r="AA17" s="1">
        <f>SUM(R11,R19,R24,R30,R37)</f>
        <v>0</v>
      </c>
    </row>
    <row r="18" ht="14.25" customHeight="1">
      <c r="A18" s="230" t="s">
        <v>30</v>
      </c>
      <c r="B18" s="231" t="s">
        <v>917</v>
      </c>
      <c r="C18" s="18"/>
      <c r="D18" s="20"/>
      <c r="E18" s="230">
        <v>4.0</v>
      </c>
      <c r="F18" s="230" t="s">
        <v>128</v>
      </c>
      <c r="G18" s="230">
        <v>7.0</v>
      </c>
      <c r="H18" s="230"/>
      <c r="I18" s="232" t="s">
        <v>919</v>
      </c>
      <c r="J18" s="9"/>
      <c r="M18" s="25"/>
      <c r="N18" s="28" t="s">
        <v>16</v>
      </c>
      <c r="O18" s="28" t="s">
        <v>26</v>
      </c>
      <c r="P18" s="28" t="s">
        <v>27</v>
      </c>
      <c r="Q18" s="28" t="s">
        <v>28</v>
      </c>
      <c r="R18" s="28" t="s">
        <v>29</v>
      </c>
      <c r="S18" s="28" t="s">
        <v>30</v>
      </c>
      <c r="T18" s="28" t="s">
        <v>31</v>
      </c>
      <c r="U18" s="28" t="s">
        <v>32</v>
      </c>
      <c r="V18" s="28" t="s">
        <v>33</v>
      </c>
      <c r="W18" s="28" t="s">
        <v>12</v>
      </c>
      <c r="Z18" s="28" t="s">
        <v>30</v>
      </c>
      <c r="AA18" s="1">
        <f>SUM(S11,S19,S24,S30,S37)</f>
        <v>20</v>
      </c>
    </row>
    <row r="19" ht="14.25" customHeight="1">
      <c r="A19" s="15" t="s">
        <v>30</v>
      </c>
      <c r="B19" s="17" t="s">
        <v>104</v>
      </c>
      <c r="C19" s="18"/>
      <c r="D19" s="20"/>
      <c r="E19" s="15">
        <v>3.0</v>
      </c>
      <c r="F19" s="15">
        <v>12.0</v>
      </c>
      <c r="G19" s="15">
        <v>8.0</v>
      </c>
      <c r="H19" s="15"/>
      <c r="I19" s="23" t="s">
        <v>862</v>
      </c>
      <c r="J19" s="9"/>
      <c r="M19" s="34" t="s">
        <v>36</v>
      </c>
      <c r="N19" s="35">
        <f>SUMIF($A27:$A40,"Pecho",$E27:$E40)</f>
        <v>0</v>
      </c>
      <c r="O19" s="35">
        <f>SUMIF($A27:$A40,"Espalda",$E27:$E40)</f>
        <v>4</v>
      </c>
      <c r="P19" s="35">
        <f>SUMIF($A27:$A40,"Hombros",$E27:$E40)</f>
        <v>0</v>
      </c>
      <c r="Q19" s="35">
        <f>SUMIF($A27:$A40,"Bíceps",$E27:$E40)</f>
        <v>0</v>
      </c>
      <c r="R19" s="35">
        <f>SUMIF($A27:$A40,"Tríceps",$E27:$E40)</f>
        <v>0</v>
      </c>
      <c r="S19" s="35">
        <f>SUMIF($A27:$A40,"Cuádriceps",$E27:$E40)</f>
        <v>0</v>
      </c>
      <c r="T19" s="35">
        <f>SUMIF($A27:$A40,"Isquios",$E27:$E40)</f>
        <v>3</v>
      </c>
      <c r="U19" s="35">
        <f>SUMIF($A27:$A40,"Glúteos",$E27:$E40)</f>
        <v>4</v>
      </c>
      <c r="V19" s="35">
        <f>SUMIF($A27:$A40,"Pantorrillas",$E27:$E40)</f>
        <v>0</v>
      </c>
      <c r="W19" s="35">
        <f>SUMIF($A27:$A40,"Otros",$E27:$E40)</f>
        <v>27</v>
      </c>
      <c r="Z19" s="28" t="s">
        <v>31</v>
      </c>
      <c r="AA19" s="1">
        <f>SUM(T11,T19,T24,T30,T37)</f>
        <v>6</v>
      </c>
    </row>
    <row r="20" ht="14.25" customHeight="1">
      <c r="A20" s="27" t="s">
        <v>113</v>
      </c>
      <c r="B20" s="30" t="s">
        <v>129</v>
      </c>
      <c r="C20" s="18"/>
      <c r="D20" s="20"/>
      <c r="E20" s="27">
        <v>3.0</v>
      </c>
      <c r="F20" s="27" t="s">
        <v>71</v>
      </c>
      <c r="G20" s="27">
        <v>7.0</v>
      </c>
      <c r="H20" s="27"/>
      <c r="I20" s="33" t="s">
        <v>865</v>
      </c>
      <c r="J20" s="9"/>
      <c r="M20" s="25"/>
      <c r="N20" s="25"/>
      <c r="O20" s="25"/>
      <c r="P20" s="25"/>
      <c r="Q20" s="25"/>
      <c r="R20" s="25"/>
      <c r="S20" s="25"/>
      <c r="T20" s="25"/>
      <c r="U20" s="25"/>
      <c r="Z20" s="28" t="s">
        <v>33</v>
      </c>
      <c r="AA20" s="1">
        <f>SUM(V11,V19,V24,V30,V37)</f>
        <v>3</v>
      </c>
    </row>
    <row r="21" ht="14.25" customHeight="1">
      <c r="A21" s="27" t="s">
        <v>113</v>
      </c>
      <c r="B21" s="60" t="s">
        <v>930</v>
      </c>
      <c r="C21" s="8"/>
      <c r="D21" s="9"/>
      <c r="E21" s="27">
        <v>3.0</v>
      </c>
      <c r="F21" s="27" t="s">
        <v>420</v>
      </c>
      <c r="G21" s="27">
        <v>8.0</v>
      </c>
      <c r="H21" s="27"/>
      <c r="I21" s="153"/>
      <c r="J21" s="154"/>
      <c r="M21" s="25"/>
      <c r="N21" s="25"/>
      <c r="O21" s="25"/>
      <c r="P21" s="25"/>
      <c r="Q21" s="25"/>
      <c r="R21" s="25"/>
      <c r="S21" s="25"/>
      <c r="T21" s="25"/>
      <c r="U21" s="25"/>
      <c r="Z21" s="28"/>
      <c r="AA21" s="1"/>
    </row>
    <row r="22" ht="14.25" customHeight="1">
      <c r="A22" s="27" t="s">
        <v>113</v>
      </c>
      <c r="B22" s="30" t="s">
        <v>934</v>
      </c>
      <c r="C22" s="18"/>
      <c r="D22" s="20"/>
      <c r="E22" s="27">
        <v>4.0</v>
      </c>
      <c r="F22" s="27" t="s">
        <v>550</v>
      </c>
      <c r="G22" s="27"/>
      <c r="H22" s="27"/>
      <c r="I22" s="33"/>
      <c r="J22" s="9"/>
      <c r="M22" s="11" t="s">
        <v>57</v>
      </c>
      <c r="N22" s="12"/>
      <c r="O22" s="12"/>
      <c r="P22" s="12"/>
      <c r="Q22" s="12"/>
      <c r="R22" s="12"/>
      <c r="S22" s="12"/>
      <c r="T22" s="12"/>
      <c r="U22" s="12"/>
      <c r="V22" s="12"/>
      <c r="W22" s="13"/>
      <c r="Z22" s="28" t="s">
        <v>12</v>
      </c>
      <c r="AA22" s="1">
        <f>SUM(W11,W19,W24,W30,W37)</f>
        <v>72</v>
      </c>
    </row>
    <row r="23" ht="14.25" customHeight="1">
      <c r="B23" s="26"/>
      <c r="C23" s="29"/>
      <c r="D23" s="29"/>
      <c r="M23" s="25"/>
      <c r="N23" s="28" t="s">
        <v>16</v>
      </c>
      <c r="O23" s="28" t="s">
        <v>26</v>
      </c>
      <c r="P23" s="28" t="s">
        <v>27</v>
      </c>
      <c r="Q23" s="28" t="s">
        <v>28</v>
      </c>
      <c r="R23" s="28" t="s">
        <v>29</v>
      </c>
      <c r="S23" s="28" t="s">
        <v>30</v>
      </c>
      <c r="T23" s="28" t="s">
        <v>31</v>
      </c>
      <c r="U23" s="28" t="s">
        <v>32</v>
      </c>
      <c r="V23" s="28" t="s">
        <v>33</v>
      </c>
      <c r="W23" s="28" t="s">
        <v>12</v>
      </c>
    </row>
    <row r="24" ht="14.25" customHeight="1">
      <c r="M24" s="34" t="s">
        <v>36</v>
      </c>
      <c r="N24" s="35">
        <f>SUMIF($A45:$A57,"Pecho",$E45:$E57)</f>
        <v>0</v>
      </c>
      <c r="O24" s="35">
        <f>SUMIF($A45:$A57,"Espalda",$E45:$E57)</f>
        <v>8</v>
      </c>
      <c r="P24" s="35">
        <f>SUMIF($A45:$A57,"Hombros",$E45:$E57)</f>
        <v>4</v>
      </c>
      <c r="Q24" s="35">
        <f>SUMIF($A45:$A57,"Bíceps",$E45:$E57)</f>
        <v>0</v>
      </c>
      <c r="R24" s="35">
        <f>SUMIF($A45:$A57,"Tríceps",$E45:$E57)</f>
        <v>0</v>
      </c>
      <c r="S24" s="35">
        <f>SUMIF($A45:$A57,"Cuádriceps",$E45:$E57)</f>
        <v>7</v>
      </c>
      <c r="T24" s="35">
        <f>SUMIF($A45:$A57,"Isquios",$E45:$E57)</f>
        <v>0</v>
      </c>
      <c r="U24" s="35">
        <f>SUMIF($A45:$A57,"Glúteos",$E45:$E57)</f>
        <v>0</v>
      </c>
      <c r="V24" s="35">
        <f>SUMIF($A45:$A57,"Pantorrillas",$E45:$E57)</f>
        <v>0</v>
      </c>
      <c r="W24" s="35">
        <f>SUMIF($A45:$A57,"Otros",$E45:$E57)</f>
        <v>20</v>
      </c>
    </row>
    <row r="25" ht="14.25" customHeight="1">
      <c r="A25" s="2" t="s">
        <v>97</v>
      </c>
      <c r="B25" s="3"/>
      <c r="C25" s="4"/>
      <c r="J25" s="1"/>
      <c r="M25" s="34" t="s">
        <v>7</v>
      </c>
      <c r="N25" s="35" t="str">
        <f>AVERAGEIF($A45:$A57,"Pecho",$G45:$G57)</f>
        <v>#DIV/0!</v>
      </c>
      <c r="O25" s="35">
        <f>AVERAGEIF($A45:$A57,"Espalda",$G45:$G57)</f>
        <v>8</v>
      </c>
      <c r="P25" s="35">
        <f>AVERAGEIF($A45:$A57,"Hombros",$G45:$G57)</f>
        <v>8</v>
      </c>
      <c r="Q25" s="35" t="str">
        <f>AVERAGEIF($A45:$A57,"Bíceps",$G45:$G57)</f>
        <v>#DIV/0!</v>
      </c>
      <c r="R25" s="35" t="str">
        <f>AVERAGEIF($A45:$A57,"Tríceps",$G45:$G57)</f>
        <v>#DIV/0!</v>
      </c>
      <c r="S25" s="35" t="str">
        <f>AVERAGEIF($A45:$A57,"Cuádriceps",$G45:$G57)</f>
        <v>#DIV/0!</v>
      </c>
      <c r="T25" s="35" t="str">
        <f>AVERAGEIF($A45:$A57,"Isquios",$G45:$G57)</f>
        <v>#DIV/0!</v>
      </c>
      <c r="U25" s="35" t="str">
        <f>AVERAGEIF($A45:$A57,"Glúteos",$G45:$G57)</f>
        <v>#DIV/0!</v>
      </c>
      <c r="V25" s="35" t="str">
        <f>AVERAGEIF($A45:$A57,"Pantorrillas",$G45:$G57)</f>
        <v>#DIV/0!</v>
      </c>
      <c r="W25" s="35" t="str">
        <f>AVERAGEIF($A45:$A57,"Otros",$G45:$G57)</f>
        <v>#DIV/0!</v>
      </c>
    </row>
    <row r="26" ht="14.25" customHeight="1">
      <c r="A26" s="5" t="s">
        <v>2</v>
      </c>
      <c r="B26" s="7" t="s">
        <v>4</v>
      </c>
      <c r="C26" s="8"/>
      <c r="D26" s="9"/>
      <c r="E26" s="5" t="s">
        <v>5</v>
      </c>
      <c r="F26" s="5" t="s">
        <v>6</v>
      </c>
      <c r="G26" s="5" t="s">
        <v>7</v>
      </c>
      <c r="H26" s="5" t="s">
        <v>8</v>
      </c>
      <c r="I26" s="7" t="s">
        <v>9</v>
      </c>
      <c r="J26" s="9"/>
      <c r="M26" s="25"/>
      <c r="N26" s="25"/>
      <c r="O26" s="25"/>
      <c r="P26" s="25"/>
      <c r="Q26" s="25"/>
      <c r="R26" s="25"/>
      <c r="S26" s="25"/>
      <c r="T26" s="25"/>
      <c r="U26" s="25"/>
    </row>
    <row r="27" ht="14.25" customHeight="1">
      <c r="A27" s="197" t="s">
        <v>12</v>
      </c>
      <c r="B27" s="198" t="s">
        <v>875</v>
      </c>
      <c r="C27" s="18"/>
      <c r="D27" s="20"/>
      <c r="E27" s="197">
        <v>2.0</v>
      </c>
      <c r="F27" s="197">
        <v>10.0</v>
      </c>
      <c r="G27" s="197"/>
      <c r="H27" s="197" t="s">
        <v>876</v>
      </c>
      <c r="I27" s="199" t="s">
        <v>877</v>
      </c>
      <c r="J27" s="9"/>
      <c r="M27" s="11" t="s">
        <v>66</v>
      </c>
      <c r="N27" s="12"/>
      <c r="O27" s="12"/>
      <c r="P27" s="12"/>
      <c r="Q27" s="12"/>
      <c r="R27" s="12"/>
      <c r="S27" s="12"/>
      <c r="T27" s="12"/>
      <c r="U27" s="12"/>
      <c r="V27" s="12"/>
      <c r="W27" s="13"/>
    </row>
    <row r="28" ht="14.25" customHeight="1">
      <c r="A28" s="15" t="s">
        <v>12</v>
      </c>
      <c r="B28" s="17" t="s">
        <v>944</v>
      </c>
      <c r="C28" s="18"/>
      <c r="D28" s="20"/>
      <c r="E28" s="15">
        <v>3.0</v>
      </c>
      <c r="F28" s="15" t="s">
        <v>880</v>
      </c>
      <c r="G28" s="15"/>
      <c r="H28" s="15"/>
      <c r="I28" s="23" t="s">
        <v>946</v>
      </c>
      <c r="J28" s="9"/>
      <c r="M28" s="25"/>
      <c r="N28" s="28" t="s">
        <v>16</v>
      </c>
      <c r="O28" s="28" t="s">
        <v>26</v>
      </c>
      <c r="P28" s="28" t="s">
        <v>27</v>
      </c>
      <c r="Q28" s="28" t="s">
        <v>28</v>
      </c>
      <c r="R28" s="28" t="s">
        <v>29</v>
      </c>
      <c r="S28" s="28" t="s">
        <v>30</v>
      </c>
      <c r="T28" s="28" t="s">
        <v>31</v>
      </c>
      <c r="U28" s="28" t="s">
        <v>32</v>
      </c>
      <c r="V28" s="28" t="s">
        <v>33</v>
      </c>
      <c r="W28" s="28" t="s">
        <v>12</v>
      </c>
    </row>
    <row r="29" ht="14.25" customHeight="1">
      <c r="A29" s="15" t="s">
        <v>113</v>
      </c>
      <c r="B29" s="61" t="s">
        <v>949</v>
      </c>
      <c r="C29" s="8"/>
      <c r="D29" s="9"/>
      <c r="E29" s="15">
        <v>3.0</v>
      </c>
      <c r="F29" s="15">
        <v>8.0</v>
      </c>
      <c r="G29" s="15"/>
      <c r="H29" s="15"/>
      <c r="I29" s="61" t="s">
        <v>950</v>
      </c>
      <c r="J29" s="9"/>
      <c r="M29" s="25"/>
      <c r="N29" s="28"/>
      <c r="O29" s="28"/>
      <c r="P29" s="28"/>
      <c r="Q29" s="28"/>
      <c r="R29" s="28"/>
      <c r="S29" s="28"/>
      <c r="T29" s="28"/>
      <c r="U29" s="28"/>
      <c r="V29" s="28"/>
      <c r="W29" s="28"/>
    </row>
    <row r="30" ht="14.25" customHeight="1">
      <c r="A30" s="15" t="s">
        <v>12</v>
      </c>
      <c r="B30" s="17" t="s">
        <v>952</v>
      </c>
      <c r="C30" s="18"/>
      <c r="D30" s="20"/>
      <c r="E30" s="15">
        <v>3.0</v>
      </c>
      <c r="F30" s="15" t="s">
        <v>898</v>
      </c>
      <c r="G30" s="15"/>
      <c r="H30" s="15"/>
      <c r="I30" s="23" t="s">
        <v>953</v>
      </c>
      <c r="J30" s="9"/>
      <c r="M30" s="34" t="s">
        <v>36</v>
      </c>
      <c r="N30" s="35">
        <f>SUMIF($A62:$A71,"Pecho",$E62:$E71)</f>
        <v>4</v>
      </c>
      <c r="O30" s="35">
        <f>SUMIF($A62:$A71,"Espalda",$E62:$E71)</f>
        <v>4</v>
      </c>
      <c r="P30" s="35">
        <f>SUMIF($A62:$A71,"Hombros",$E62:$E71)</f>
        <v>0</v>
      </c>
      <c r="Q30" s="35">
        <f>SUMIF($A62:$A71,"Bíceps",$E62:$E71)</f>
        <v>0</v>
      </c>
      <c r="R30" s="35">
        <f>SUMIF($A62:$A71,"Tríceps",$E62:$E71)</f>
        <v>0</v>
      </c>
      <c r="S30" s="35">
        <f>SUMIF($A62:$A71,"Cuádriceps",$E62:$E71)</f>
        <v>6</v>
      </c>
      <c r="T30" s="35">
        <f>SUMIF($A62:$A71,"Isquios",$E62:$E71)</f>
        <v>3</v>
      </c>
      <c r="U30" s="35">
        <f>SUMIF($A62:$A71,"Glúteos",$E62:$E71)</f>
        <v>3</v>
      </c>
      <c r="V30" s="35">
        <f>SUMIF($A62:$A71,"Pantorrillas",$E62:$E71)</f>
        <v>3</v>
      </c>
      <c r="W30" s="35">
        <f>SUMIF($A62:$A71,"Otros",$E62:$E71)</f>
        <v>0</v>
      </c>
    </row>
    <row r="31" ht="14.25" customHeight="1">
      <c r="A31" s="27"/>
      <c r="B31" s="60" t="s">
        <v>954</v>
      </c>
      <c r="C31" s="8"/>
      <c r="D31" s="9"/>
      <c r="E31" s="27">
        <v>3.0</v>
      </c>
      <c r="F31" s="27">
        <v>4.0</v>
      </c>
      <c r="G31" s="27"/>
      <c r="H31" s="27"/>
      <c r="I31" s="60" t="s">
        <v>955</v>
      </c>
      <c r="J31" s="9"/>
      <c r="M31" s="34"/>
      <c r="N31" s="35"/>
      <c r="O31" s="35"/>
      <c r="P31" s="35"/>
      <c r="Q31" s="35"/>
      <c r="R31" s="35"/>
      <c r="S31" s="35"/>
      <c r="T31" s="35"/>
      <c r="U31" s="35"/>
      <c r="V31" s="35"/>
      <c r="W31" s="35"/>
    </row>
    <row r="32" ht="14.25" customHeight="1">
      <c r="A32" s="27"/>
      <c r="B32" s="60" t="s">
        <v>956</v>
      </c>
      <c r="C32" s="8"/>
      <c r="D32" s="9"/>
      <c r="E32" s="27">
        <v>3.0</v>
      </c>
      <c r="F32" s="27">
        <v>4.0</v>
      </c>
      <c r="G32" s="27"/>
      <c r="H32" s="27"/>
      <c r="I32" s="60" t="s">
        <v>957</v>
      </c>
      <c r="J32" s="9"/>
      <c r="M32" s="34"/>
      <c r="N32" s="35"/>
      <c r="O32" s="35"/>
      <c r="P32" s="35"/>
      <c r="Q32" s="35"/>
      <c r="R32" s="35"/>
      <c r="S32" s="35"/>
      <c r="T32" s="35"/>
      <c r="U32" s="35"/>
      <c r="V32" s="35"/>
      <c r="W32" s="35"/>
    </row>
    <row r="33" ht="14.25" customHeight="1">
      <c r="A33" s="197" t="s">
        <v>113</v>
      </c>
      <c r="B33" s="198" t="s">
        <v>958</v>
      </c>
      <c r="C33" s="18"/>
      <c r="D33" s="20"/>
      <c r="E33" s="197">
        <v>4.0</v>
      </c>
      <c r="F33" s="197">
        <v>4.0</v>
      </c>
      <c r="G33" s="197" t="s">
        <v>103</v>
      </c>
      <c r="H33" s="197" t="s">
        <v>959</v>
      </c>
      <c r="I33" s="199" t="s">
        <v>960</v>
      </c>
      <c r="J33" s="9"/>
      <c r="M33" s="34" t="s">
        <v>7</v>
      </c>
      <c r="N33" s="35">
        <f>AVERAGEIF($A62:$A71,"Pecho",$G62:$G71)</f>
        <v>7</v>
      </c>
      <c r="O33" s="35">
        <f>AVERAGEIF($A62:$A71,"Espalda",$G62:$G71)</f>
        <v>8</v>
      </c>
      <c r="P33" s="35" t="str">
        <f>AVERAGEIF($A62:$A71,"Hombros",$G62:$G71)</f>
        <v>#DIV/0!</v>
      </c>
      <c r="Q33" s="35" t="str">
        <f>AVERAGEIF($A62:$A71,"Bíceps",$G62:$G71)</f>
        <v>#DIV/0!</v>
      </c>
      <c r="R33" s="35" t="str">
        <f>AVERAGEIF($A62:$A71,"Tríceps",$G62:$G71)</f>
        <v>#DIV/0!</v>
      </c>
      <c r="S33" s="35">
        <f>AVERAGEIF($A62:$A71,"Cuádriceps",$G62:$G71)</f>
        <v>6</v>
      </c>
      <c r="T33" s="35">
        <f>AVERAGEIF($A62:$A71,"Isquios",$G62:$G71)</f>
        <v>7</v>
      </c>
      <c r="U33" s="35">
        <f>AVERAGEIF($A62:$A71,"Glúteos",$G62:$G71)</f>
        <v>7</v>
      </c>
      <c r="V33" s="35">
        <f>AVERAGEIF($A62:$A71,"Pantorrillas",$G62:$G71)</f>
        <v>7</v>
      </c>
      <c r="W33" s="35" t="str">
        <f>AVERAGEIF($A62:$A71,"Otros",$G62:$G71)</f>
        <v>#DIV/0!</v>
      </c>
    </row>
    <row r="34" ht="14.25" customHeight="1">
      <c r="A34" s="49" t="s">
        <v>31</v>
      </c>
      <c r="B34" s="50" t="s">
        <v>701</v>
      </c>
      <c r="C34" s="18"/>
      <c r="D34" s="20"/>
      <c r="E34" s="49">
        <v>3.0</v>
      </c>
      <c r="F34" s="49">
        <v>6.0</v>
      </c>
      <c r="G34" s="49">
        <v>8.0</v>
      </c>
      <c r="H34" s="49"/>
      <c r="I34" s="51"/>
      <c r="J34" s="9"/>
      <c r="M34" s="25"/>
      <c r="N34" s="25"/>
      <c r="O34" s="25"/>
      <c r="P34" s="25"/>
      <c r="Q34" s="25"/>
      <c r="R34" s="25"/>
      <c r="S34" s="25"/>
      <c r="T34" s="25"/>
      <c r="U34" s="25"/>
    </row>
    <row r="35" ht="14.25" customHeight="1">
      <c r="A35" s="49" t="s">
        <v>26</v>
      </c>
      <c r="B35" s="50" t="s">
        <v>962</v>
      </c>
      <c r="C35" s="18"/>
      <c r="D35" s="20"/>
      <c r="E35" s="49">
        <v>4.0</v>
      </c>
      <c r="F35" s="49" t="s">
        <v>420</v>
      </c>
      <c r="G35" s="49">
        <v>7.0</v>
      </c>
      <c r="H35" s="49"/>
      <c r="I35" s="51"/>
      <c r="J35" s="9"/>
      <c r="M35" s="11" t="s">
        <v>76</v>
      </c>
      <c r="N35" s="12"/>
      <c r="O35" s="12"/>
      <c r="P35" s="12"/>
      <c r="Q35" s="12"/>
      <c r="R35" s="12"/>
      <c r="S35" s="12"/>
      <c r="T35" s="12"/>
      <c r="U35" s="12"/>
      <c r="V35" s="12"/>
      <c r="W35" s="13"/>
    </row>
    <row r="36" ht="14.25" customHeight="1">
      <c r="A36" s="15" t="s">
        <v>32</v>
      </c>
      <c r="B36" s="17" t="s">
        <v>940</v>
      </c>
      <c r="C36" s="18"/>
      <c r="D36" s="20"/>
      <c r="E36" s="15">
        <v>4.0</v>
      </c>
      <c r="F36" s="15">
        <v>6.0</v>
      </c>
      <c r="G36" s="15">
        <v>8.0</v>
      </c>
      <c r="H36" s="15"/>
      <c r="I36" s="23"/>
      <c r="J36" s="9"/>
      <c r="M36" s="25"/>
      <c r="N36" s="28" t="s">
        <v>16</v>
      </c>
      <c r="O36" s="28" t="s">
        <v>26</v>
      </c>
      <c r="P36" s="28" t="s">
        <v>27</v>
      </c>
      <c r="Q36" s="28" t="s">
        <v>28</v>
      </c>
      <c r="R36" s="28" t="s">
        <v>29</v>
      </c>
      <c r="S36" s="28" t="s">
        <v>30</v>
      </c>
      <c r="T36" s="28" t="s">
        <v>31</v>
      </c>
      <c r="U36" s="28" t="s">
        <v>32</v>
      </c>
      <c r="V36" s="28" t="s">
        <v>33</v>
      </c>
      <c r="W36" s="28" t="s">
        <v>12</v>
      </c>
    </row>
    <row r="37" ht="14.25" customHeight="1">
      <c r="A37" s="27" t="s">
        <v>113</v>
      </c>
      <c r="B37" s="30" t="s">
        <v>963</v>
      </c>
      <c r="C37" s="18"/>
      <c r="D37" s="20"/>
      <c r="E37" s="27">
        <v>3.0</v>
      </c>
      <c r="F37" s="27" t="s">
        <v>65</v>
      </c>
      <c r="G37" s="27"/>
      <c r="H37" s="27"/>
      <c r="I37" s="33"/>
      <c r="J37" s="9"/>
      <c r="M37" s="34" t="s">
        <v>36</v>
      </c>
      <c r="N37" s="35">
        <f>SUMIF($A76:$A85,"Pecho",$E76:$E85)</f>
        <v>0</v>
      </c>
      <c r="O37" s="35">
        <f>SUMIF($A76:$A85,"Espalda",$E76:$E85)</f>
        <v>0</v>
      </c>
      <c r="P37" s="35">
        <f>SUMIF($A76:$A85,"Hombros",$E76:$E85)</f>
        <v>0</v>
      </c>
      <c r="Q37" s="35">
        <f>SUMIF($A76:$A85,"Bíceps",$E76:$E85)</f>
        <v>0</v>
      </c>
      <c r="R37" s="35">
        <f>SUMIF($A76:$A85,"Tríceps",$E76:$E85)</f>
        <v>0</v>
      </c>
      <c r="S37" s="35">
        <f>SUMIF($A76:$A85,"Cuádriceps",$E76:$E85)</f>
        <v>0</v>
      </c>
      <c r="T37" s="35">
        <f>SUMIF($A76:$A85,"Isquios",$E76:$E85)</f>
        <v>0</v>
      </c>
      <c r="U37" s="35">
        <f>SUMIF($A76:$A85,"Glúteos",$E76:$E85)</f>
        <v>0</v>
      </c>
      <c r="V37" s="35">
        <f>SUMIF($A76:$A85,"Pantorrillas",$E76:$E85)</f>
        <v>0</v>
      </c>
      <c r="W37" s="35">
        <f>SUMIF($A76:$A85,"Otros",$E76:$E85)</f>
        <v>0</v>
      </c>
    </row>
    <row r="38" ht="14.25" customHeight="1">
      <c r="A38" s="27" t="s">
        <v>113</v>
      </c>
      <c r="B38" s="60" t="s">
        <v>909</v>
      </c>
      <c r="C38" s="8"/>
      <c r="D38" s="9"/>
      <c r="E38" s="27">
        <v>3.0</v>
      </c>
      <c r="F38" s="27">
        <v>5.0</v>
      </c>
      <c r="G38" s="27"/>
      <c r="H38" s="27"/>
      <c r="I38" s="33"/>
      <c r="J38" s="9"/>
      <c r="M38" s="34" t="s">
        <v>7</v>
      </c>
      <c r="N38" s="35">
        <f>AVERAGEIF($A76:$A85,"Pecho",$G76:$G85)</f>
        <v>6</v>
      </c>
      <c r="O38" s="35" t="str">
        <f>AVERAGEIF($A76:$A85,"Espalda",$G76:$G85)</f>
        <v>#DIV/0!</v>
      </c>
      <c r="P38" s="35" t="str">
        <f>AVERAGEIF($A76:$A85,"Hombros",$G76:$G85)</f>
        <v>#DIV/0!</v>
      </c>
      <c r="Q38" s="35">
        <f>AVERAGEIF($A76:$A85,"Bíceps",$G76:$G85)</f>
        <v>7</v>
      </c>
      <c r="R38" s="35" t="str">
        <f>AVERAGEIF($A76:$A85,"Tríceps",$G76:$G85)</f>
        <v>#DIV/0!</v>
      </c>
      <c r="S38" s="35" t="str">
        <f>AVERAGEIF($A76:$A85,"Cuádriceps",$G76:$G85)</f>
        <v>#DIV/0!</v>
      </c>
      <c r="T38" s="35">
        <f>AVERAGEIF($A76:$A85,"Isquios",$G76:$G85)</f>
        <v>6</v>
      </c>
      <c r="U38" s="35" t="str">
        <f>AVERAGEIF($A76:$A85,"Glúteos",$G76:$G85)</f>
        <v>#DIV/0!</v>
      </c>
      <c r="V38" s="35">
        <f>AVERAGEIF($A76:$A85,"Pantorrillas",$G76:$G85)</f>
        <v>7</v>
      </c>
      <c r="W38" s="35" t="str">
        <f>AVERAGEIF($A76:$A85,"Otros",$G76:$G85)</f>
        <v>#DIV/0!</v>
      </c>
    </row>
    <row r="39" ht="14.25" customHeight="1">
      <c r="A39" s="27" t="s">
        <v>113</v>
      </c>
      <c r="B39" s="196" t="s">
        <v>964</v>
      </c>
      <c r="C39" s="8"/>
      <c r="D39" s="9"/>
      <c r="E39" s="27">
        <v>3.0</v>
      </c>
      <c r="F39" s="27">
        <v>12.0</v>
      </c>
      <c r="G39" s="27"/>
      <c r="H39" s="27"/>
      <c r="I39" s="153"/>
      <c r="J39" s="154"/>
      <c r="M39" s="65"/>
      <c r="N39" s="25"/>
      <c r="O39" s="25"/>
      <c r="P39" s="25"/>
      <c r="Q39" s="25"/>
      <c r="R39" s="25"/>
      <c r="S39" s="25"/>
      <c r="T39" s="25"/>
      <c r="U39" s="25"/>
      <c r="V39" s="25"/>
      <c r="W39" s="25"/>
    </row>
    <row r="40" ht="14.25" customHeight="1">
      <c r="A40" s="27" t="s">
        <v>113</v>
      </c>
      <c r="B40" s="60" t="s">
        <v>921</v>
      </c>
      <c r="C40" s="8"/>
      <c r="D40" s="9"/>
      <c r="E40" s="27">
        <v>3.0</v>
      </c>
      <c r="F40" s="27"/>
      <c r="G40" s="27"/>
      <c r="H40" s="27"/>
      <c r="I40" s="33" t="s">
        <v>965</v>
      </c>
      <c r="J40" s="9"/>
    </row>
    <row r="41" ht="14.25" customHeight="1">
      <c r="B41" s="26"/>
      <c r="C41" s="29"/>
      <c r="D41" s="29"/>
    </row>
    <row r="42" ht="14.25" customHeight="1"/>
    <row r="43" ht="14.25" customHeight="1">
      <c r="A43" s="2" t="s">
        <v>117</v>
      </c>
      <c r="B43" s="3"/>
      <c r="C43" s="4"/>
      <c r="J43" s="1"/>
    </row>
    <row r="44" ht="14.25" customHeight="1">
      <c r="A44" s="5" t="s">
        <v>2</v>
      </c>
      <c r="B44" s="7" t="s">
        <v>4</v>
      </c>
      <c r="C44" s="8"/>
      <c r="D44" s="9"/>
      <c r="E44" s="5" t="s">
        <v>5</v>
      </c>
      <c r="F44" s="5" t="s">
        <v>6</v>
      </c>
      <c r="G44" s="5" t="s">
        <v>7</v>
      </c>
      <c r="H44" s="5" t="s">
        <v>8</v>
      </c>
      <c r="I44" s="7" t="s">
        <v>9</v>
      </c>
      <c r="J44" s="9"/>
    </row>
    <row r="45" ht="14.25" customHeight="1">
      <c r="A45" s="53" t="s">
        <v>12</v>
      </c>
      <c r="B45" s="54" t="s">
        <v>13</v>
      </c>
      <c r="C45" s="18"/>
      <c r="D45" s="20"/>
      <c r="E45" s="53">
        <v>2.0</v>
      </c>
      <c r="F45" s="53">
        <v>10.0</v>
      </c>
      <c r="G45" s="53"/>
      <c r="H45" s="53"/>
      <c r="I45" s="55"/>
      <c r="J45" s="9"/>
    </row>
    <row r="46" ht="14.25" customHeight="1">
      <c r="A46" s="15" t="s">
        <v>12</v>
      </c>
      <c r="B46" s="17" t="s">
        <v>967</v>
      </c>
      <c r="C46" s="18"/>
      <c r="D46" s="20"/>
      <c r="E46" s="15">
        <v>3.0</v>
      </c>
      <c r="F46" s="15" t="s">
        <v>65</v>
      </c>
      <c r="G46" s="15"/>
      <c r="H46" s="15"/>
      <c r="I46" s="23"/>
      <c r="J46" s="9"/>
    </row>
    <row r="47" ht="14.25" customHeight="1">
      <c r="A47" s="15" t="s">
        <v>12</v>
      </c>
      <c r="B47" s="17" t="s">
        <v>127</v>
      </c>
      <c r="C47" s="18"/>
      <c r="D47" s="20"/>
      <c r="E47" s="15">
        <v>3.0</v>
      </c>
      <c r="F47" s="15" t="s">
        <v>71</v>
      </c>
      <c r="G47" s="15"/>
      <c r="H47" s="15"/>
      <c r="I47" s="23"/>
      <c r="J47" s="9"/>
    </row>
    <row r="48" ht="14.25" customHeight="1">
      <c r="A48" s="15" t="s">
        <v>113</v>
      </c>
      <c r="B48" s="61" t="s">
        <v>968</v>
      </c>
      <c r="C48" s="8"/>
      <c r="D48" s="9"/>
      <c r="E48" s="15">
        <v>3.0</v>
      </c>
      <c r="F48" s="15">
        <v>10.0</v>
      </c>
      <c r="G48" s="15"/>
      <c r="H48" s="15"/>
      <c r="I48" s="217"/>
      <c r="J48" s="218"/>
    </row>
    <row r="49" ht="14.25" customHeight="1">
      <c r="A49" s="230" t="s">
        <v>30</v>
      </c>
      <c r="B49" s="238" t="s">
        <v>484</v>
      </c>
      <c r="C49" s="8"/>
      <c r="D49" s="9"/>
      <c r="E49" s="230">
        <v>4.0</v>
      </c>
      <c r="F49" s="230" t="s">
        <v>969</v>
      </c>
      <c r="G49" s="230"/>
      <c r="H49" s="230" t="s">
        <v>970</v>
      </c>
      <c r="I49" s="238" t="s">
        <v>971</v>
      </c>
      <c r="J49" s="9"/>
    </row>
    <row r="50" ht="14.25" customHeight="1">
      <c r="A50" s="49" t="s">
        <v>27</v>
      </c>
      <c r="B50" s="50" t="s">
        <v>972</v>
      </c>
      <c r="C50" s="18"/>
      <c r="D50" s="20"/>
      <c r="E50" s="49">
        <v>4.0</v>
      </c>
      <c r="F50" s="49" t="s">
        <v>420</v>
      </c>
      <c r="G50" s="49">
        <v>8.0</v>
      </c>
      <c r="H50" s="49" t="s">
        <v>55</v>
      </c>
      <c r="I50" s="51"/>
      <c r="J50" s="9"/>
    </row>
    <row r="51" ht="14.25" customHeight="1">
      <c r="A51" s="49" t="s">
        <v>26</v>
      </c>
      <c r="B51" s="50" t="s">
        <v>195</v>
      </c>
      <c r="C51" s="18"/>
      <c r="D51" s="20"/>
      <c r="E51" s="49">
        <v>4.0</v>
      </c>
      <c r="F51" s="49">
        <v>8.0</v>
      </c>
      <c r="G51" s="49">
        <v>8.0</v>
      </c>
      <c r="H51" s="49"/>
      <c r="I51" s="51"/>
      <c r="J51" s="9"/>
    </row>
    <row r="52" ht="14.25" customHeight="1">
      <c r="A52" s="53" t="s">
        <v>30</v>
      </c>
      <c r="B52" s="54" t="s">
        <v>973</v>
      </c>
      <c r="C52" s="18"/>
      <c r="D52" s="20"/>
      <c r="E52" s="53">
        <v>3.0</v>
      </c>
      <c r="F52" s="53" t="s">
        <v>71</v>
      </c>
      <c r="G52" s="53"/>
      <c r="H52" s="53"/>
      <c r="I52" s="55"/>
      <c r="J52" s="9"/>
    </row>
    <row r="53" ht="14.25" customHeight="1">
      <c r="A53" s="53" t="s">
        <v>26</v>
      </c>
      <c r="B53" s="54" t="s">
        <v>929</v>
      </c>
      <c r="C53" s="18"/>
      <c r="D53" s="20"/>
      <c r="E53" s="53">
        <v>4.0</v>
      </c>
      <c r="F53" s="53">
        <v>10.0</v>
      </c>
      <c r="G53" s="53"/>
      <c r="H53" s="53"/>
      <c r="I53" s="55"/>
      <c r="J53" s="9"/>
    </row>
    <row r="54" ht="14.25" customHeight="1">
      <c r="A54" s="27" t="s">
        <v>113</v>
      </c>
      <c r="B54" s="30" t="s">
        <v>931</v>
      </c>
      <c r="C54" s="18"/>
      <c r="D54" s="20"/>
      <c r="E54" s="27">
        <v>3.0</v>
      </c>
      <c r="F54" s="27">
        <v>6.0</v>
      </c>
      <c r="G54" s="27"/>
      <c r="H54" s="27"/>
      <c r="I54" s="33"/>
      <c r="J54" s="9"/>
    </row>
    <row r="55" ht="14.25" customHeight="1">
      <c r="A55" s="27" t="s">
        <v>113</v>
      </c>
      <c r="B55" s="30" t="s">
        <v>932</v>
      </c>
      <c r="C55" s="18"/>
      <c r="D55" s="20"/>
      <c r="E55" s="27">
        <v>3.0</v>
      </c>
      <c r="F55" s="27" t="s">
        <v>65</v>
      </c>
      <c r="G55" s="27"/>
      <c r="H55" s="27"/>
      <c r="I55" s="33" t="s">
        <v>933</v>
      </c>
      <c r="J55" s="9"/>
    </row>
    <row r="56" ht="14.25" customHeight="1">
      <c r="A56" s="27"/>
      <c r="B56" s="60" t="s">
        <v>936</v>
      </c>
      <c r="C56" s="8"/>
      <c r="D56" s="9"/>
      <c r="E56" s="27">
        <v>3.0</v>
      </c>
      <c r="F56" s="27">
        <v>20.0</v>
      </c>
      <c r="G56" s="27"/>
      <c r="H56" s="27"/>
      <c r="I56" s="153"/>
      <c r="J56" s="154"/>
    </row>
    <row r="57" ht="14.25" customHeight="1">
      <c r="A57" s="27" t="s">
        <v>113</v>
      </c>
      <c r="B57" s="60" t="s">
        <v>937</v>
      </c>
      <c r="C57" s="8"/>
      <c r="D57" s="9"/>
      <c r="E57" s="27">
        <v>3.0</v>
      </c>
      <c r="F57" s="27">
        <v>10.0</v>
      </c>
      <c r="G57" s="27"/>
      <c r="H57" s="27"/>
      <c r="I57" s="33"/>
      <c r="J57" s="9"/>
    </row>
    <row r="58" ht="14.25" customHeight="1">
      <c r="B58" s="26"/>
      <c r="C58" s="29"/>
      <c r="D58" s="29"/>
    </row>
    <row r="59" ht="14.25" customHeight="1"/>
    <row r="60" ht="14.25" customHeight="1">
      <c r="A60" s="2" t="s">
        <v>132</v>
      </c>
      <c r="B60" s="3"/>
      <c r="C60" s="4"/>
      <c r="J60" s="1"/>
    </row>
    <row r="61" ht="14.25" customHeight="1">
      <c r="A61" s="5" t="s">
        <v>2</v>
      </c>
      <c r="B61" s="7" t="s">
        <v>4</v>
      </c>
      <c r="C61" s="8"/>
      <c r="D61" s="9"/>
      <c r="E61" s="5" t="s">
        <v>5</v>
      </c>
      <c r="F61" s="5" t="s">
        <v>6</v>
      </c>
      <c r="G61" s="5" t="s">
        <v>7</v>
      </c>
      <c r="H61" s="5" t="s">
        <v>8</v>
      </c>
      <c r="I61" s="7" t="s">
        <v>9</v>
      </c>
      <c r="J61" s="9"/>
    </row>
    <row r="62" ht="14.25" customHeight="1">
      <c r="A62" s="15" t="s">
        <v>113</v>
      </c>
      <c r="B62" s="17" t="s">
        <v>134</v>
      </c>
      <c r="C62" s="18"/>
      <c r="D62" s="20"/>
      <c r="E62" s="15"/>
      <c r="F62" s="15"/>
      <c r="G62" s="15"/>
      <c r="H62" s="15"/>
      <c r="I62" s="23"/>
      <c r="J62" s="9"/>
    </row>
    <row r="63" ht="14.25" customHeight="1">
      <c r="A63" s="15" t="s">
        <v>113</v>
      </c>
      <c r="B63" s="17" t="s">
        <v>136</v>
      </c>
      <c r="C63" s="18"/>
      <c r="D63" s="20"/>
      <c r="E63" s="15"/>
      <c r="F63" s="15"/>
      <c r="G63" s="15"/>
      <c r="H63" s="15"/>
      <c r="I63" s="23"/>
      <c r="J63" s="9"/>
    </row>
    <row r="64" ht="14.25" customHeight="1">
      <c r="A64" s="15" t="s">
        <v>12</v>
      </c>
      <c r="B64" s="17" t="s">
        <v>137</v>
      </c>
      <c r="C64" s="18"/>
      <c r="D64" s="20"/>
      <c r="E64" s="15"/>
      <c r="F64" s="15">
        <v>10.0</v>
      </c>
      <c r="G64" s="15"/>
      <c r="H64" s="15"/>
      <c r="I64" s="23"/>
      <c r="J64" s="9"/>
    </row>
    <row r="65" ht="14.25" customHeight="1">
      <c r="A65" s="49" t="s">
        <v>16</v>
      </c>
      <c r="B65" s="50" t="s">
        <v>139</v>
      </c>
      <c r="C65" s="18"/>
      <c r="D65" s="20"/>
      <c r="E65" s="49">
        <v>4.0</v>
      </c>
      <c r="F65" s="49">
        <v>10.0</v>
      </c>
      <c r="G65" s="49">
        <v>7.0</v>
      </c>
      <c r="H65" s="49"/>
      <c r="I65" s="51"/>
      <c r="J65" s="9"/>
    </row>
    <row r="66" ht="14.25" customHeight="1">
      <c r="A66" s="49" t="s">
        <v>26</v>
      </c>
      <c r="B66" s="50" t="s">
        <v>976</v>
      </c>
      <c r="C66" s="18"/>
      <c r="D66" s="20"/>
      <c r="E66" s="49">
        <v>4.0</v>
      </c>
      <c r="F66" s="49" t="s">
        <v>143</v>
      </c>
      <c r="G66" s="49">
        <v>8.0</v>
      </c>
      <c r="H66" s="49"/>
      <c r="I66" s="51"/>
      <c r="J66" s="9"/>
    </row>
    <row r="67" ht="14.25" customHeight="1">
      <c r="A67" s="68" t="s">
        <v>30</v>
      </c>
      <c r="B67" s="69" t="s">
        <v>145</v>
      </c>
      <c r="C67" s="18"/>
      <c r="D67" s="20"/>
      <c r="E67" s="68">
        <v>3.0</v>
      </c>
      <c r="F67" s="68">
        <v>10.0</v>
      </c>
      <c r="G67" s="68">
        <v>6.0</v>
      </c>
      <c r="H67" s="68"/>
      <c r="I67" s="71"/>
      <c r="J67" s="9"/>
    </row>
    <row r="68" ht="14.25" customHeight="1">
      <c r="A68" s="68" t="s">
        <v>32</v>
      </c>
      <c r="B68" s="69" t="s">
        <v>978</v>
      </c>
      <c r="C68" s="18"/>
      <c r="D68" s="20"/>
      <c r="E68" s="68">
        <v>3.0</v>
      </c>
      <c r="F68" s="68" t="s">
        <v>65</v>
      </c>
      <c r="G68" s="68">
        <v>7.0</v>
      </c>
      <c r="H68" s="68"/>
      <c r="I68" s="71" t="s">
        <v>979</v>
      </c>
      <c r="J68" s="9"/>
    </row>
    <row r="69" ht="14.25" customHeight="1">
      <c r="A69" s="27" t="s">
        <v>30</v>
      </c>
      <c r="B69" s="30" t="s">
        <v>151</v>
      </c>
      <c r="C69" s="18"/>
      <c r="D69" s="20"/>
      <c r="E69" s="27">
        <v>3.0</v>
      </c>
      <c r="F69" s="27">
        <v>8.0</v>
      </c>
      <c r="G69" s="27">
        <v>6.0</v>
      </c>
      <c r="H69" s="27" t="s">
        <v>154</v>
      </c>
      <c r="I69" s="33" t="s">
        <v>155</v>
      </c>
      <c r="J69" s="9"/>
    </row>
    <row r="70" ht="14.25" customHeight="1">
      <c r="A70" s="27" t="s">
        <v>31</v>
      </c>
      <c r="B70" s="30" t="s">
        <v>156</v>
      </c>
      <c r="C70" s="18"/>
      <c r="D70" s="20"/>
      <c r="E70" s="27">
        <v>3.0</v>
      </c>
      <c r="F70" s="27">
        <v>2.0</v>
      </c>
      <c r="G70" s="27">
        <v>7.0</v>
      </c>
      <c r="H70" s="27"/>
      <c r="I70" s="33"/>
      <c r="J70" s="9"/>
    </row>
    <row r="71" ht="14.25" customHeight="1">
      <c r="A71" s="27" t="s">
        <v>33</v>
      </c>
      <c r="B71" s="60" t="s">
        <v>158</v>
      </c>
      <c r="C71" s="8"/>
      <c r="D71" s="9"/>
      <c r="E71" s="27">
        <v>3.0</v>
      </c>
      <c r="F71" s="27">
        <v>6.0</v>
      </c>
      <c r="G71" s="27">
        <v>7.0</v>
      </c>
      <c r="H71" s="27"/>
      <c r="I71" s="33"/>
      <c r="J71" s="9"/>
    </row>
    <row r="72" ht="14.25" customHeight="1">
      <c r="B72" s="26"/>
      <c r="C72" s="29"/>
      <c r="D72" s="29"/>
    </row>
    <row r="73" ht="14.25" customHeight="1"/>
    <row r="74" ht="14.25" customHeight="1">
      <c r="A74" s="2" t="s">
        <v>160</v>
      </c>
      <c r="B74" s="3"/>
      <c r="C74" s="4"/>
      <c r="D74" s="82" t="s">
        <v>161</v>
      </c>
      <c r="J74" s="1"/>
    </row>
    <row r="75" ht="14.25" customHeight="1">
      <c r="A75" s="5" t="s">
        <v>2</v>
      </c>
      <c r="B75" s="7" t="s">
        <v>4</v>
      </c>
      <c r="C75" s="8"/>
      <c r="D75" s="9"/>
      <c r="E75" s="5" t="s">
        <v>5</v>
      </c>
      <c r="F75" s="5" t="s">
        <v>6</v>
      </c>
      <c r="G75" s="5" t="s">
        <v>7</v>
      </c>
      <c r="H75" s="5" t="s">
        <v>8</v>
      </c>
      <c r="I75" s="7" t="s">
        <v>9</v>
      </c>
      <c r="J75" s="9"/>
    </row>
    <row r="76" ht="14.25" customHeight="1">
      <c r="A76" s="83" t="s">
        <v>113</v>
      </c>
      <c r="B76" s="85" t="s">
        <v>163</v>
      </c>
      <c r="C76" s="18"/>
      <c r="D76" s="20"/>
      <c r="E76" s="83"/>
      <c r="F76" s="83">
        <v>10.0</v>
      </c>
      <c r="G76" s="83"/>
      <c r="H76" s="83"/>
      <c r="I76" s="86"/>
      <c r="J76" s="9"/>
    </row>
    <row r="77" ht="14.25" customHeight="1">
      <c r="A77" s="83" t="s">
        <v>113</v>
      </c>
      <c r="B77" s="85" t="s">
        <v>166</v>
      </c>
      <c r="C77" s="18"/>
      <c r="D77" s="20"/>
      <c r="E77" s="83"/>
      <c r="F77" s="83"/>
      <c r="G77" s="83"/>
      <c r="H77" s="83"/>
      <c r="I77" s="86"/>
      <c r="J77" s="9"/>
    </row>
    <row r="78" ht="14.25" customHeight="1">
      <c r="A78" s="83" t="s">
        <v>113</v>
      </c>
      <c r="B78" s="85" t="s">
        <v>169</v>
      </c>
      <c r="C78" s="18"/>
      <c r="D78" s="20"/>
      <c r="E78" s="83"/>
      <c r="F78" s="83"/>
      <c r="G78" s="83"/>
      <c r="H78" s="83"/>
      <c r="I78" s="86"/>
      <c r="J78" s="9"/>
    </row>
    <row r="79" ht="14.25" customHeight="1">
      <c r="A79" s="49" t="s">
        <v>31</v>
      </c>
      <c r="B79" s="50" t="s">
        <v>173</v>
      </c>
      <c r="C79" s="18"/>
      <c r="D79" s="20"/>
      <c r="E79" s="49"/>
      <c r="F79" s="49">
        <v>8.0</v>
      </c>
      <c r="G79" s="49">
        <v>6.0</v>
      </c>
      <c r="H79" s="49"/>
      <c r="I79" s="51"/>
      <c r="J79" s="9"/>
    </row>
    <row r="80" ht="14.25" customHeight="1">
      <c r="A80" s="49" t="s">
        <v>31</v>
      </c>
      <c r="B80" s="50" t="s">
        <v>951</v>
      </c>
      <c r="C80" s="18"/>
      <c r="D80" s="20"/>
      <c r="E80" s="49"/>
      <c r="F80" s="49">
        <v>6.0</v>
      </c>
      <c r="G80" s="49">
        <v>6.0</v>
      </c>
      <c r="H80" s="49"/>
      <c r="I80" s="51"/>
      <c r="J80" s="9"/>
    </row>
    <row r="81" ht="14.25" customHeight="1">
      <c r="A81" s="68" t="s">
        <v>16</v>
      </c>
      <c r="B81" s="69" t="s">
        <v>179</v>
      </c>
      <c r="C81" s="18"/>
      <c r="D81" s="20"/>
      <c r="E81" s="68"/>
      <c r="F81" s="68">
        <v>10.0</v>
      </c>
      <c r="G81" s="68">
        <v>6.0</v>
      </c>
      <c r="H81" s="68"/>
      <c r="I81" s="71"/>
      <c r="J81" s="9"/>
    </row>
    <row r="82" ht="14.25" customHeight="1">
      <c r="A82" s="68" t="s">
        <v>16</v>
      </c>
      <c r="B82" s="69" t="s">
        <v>181</v>
      </c>
      <c r="C82" s="18"/>
      <c r="D82" s="20"/>
      <c r="E82" s="68"/>
      <c r="F82" s="68">
        <v>10.0</v>
      </c>
      <c r="G82" s="68">
        <v>6.0</v>
      </c>
      <c r="H82" s="68"/>
      <c r="I82" s="71"/>
      <c r="J82" s="9"/>
    </row>
    <row r="83" ht="14.25" customHeight="1">
      <c r="A83" s="15" t="s">
        <v>28</v>
      </c>
      <c r="B83" s="17" t="s">
        <v>182</v>
      </c>
      <c r="C83" s="18"/>
      <c r="D83" s="20"/>
      <c r="E83" s="15"/>
      <c r="F83" s="15">
        <v>10.0</v>
      </c>
      <c r="G83" s="15">
        <v>7.0</v>
      </c>
      <c r="H83" s="15"/>
      <c r="I83" s="23"/>
      <c r="J83" s="9"/>
    </row>
    <row r="84" ht="14.25" customHeight="1">
      <c r="A84" s="15" t="s">
        <v>33</v>
      </c>
      <c r="B84" s="17" t="s">
        <v>183</v>
      </c>
      <c r="C84" s="18"/>
      <c r="D84" s="20"/>
      <c r="E84" s="15"/>
      <c r="F84" s="15">
        <v>12.0</v>
      </c>
      <c r="G84" s="15">
        <v>7.0</v>
      </c>
      <c r="H84" s="15"/>
      <c r="I84" s="23"/>
      <c r="J84" s="9"/>
    </row>
    <row r="85" ht="14.25" customHeight="1">
      <c r="A85" s="15" t="s">
        <v>32</v>
      </c>
      <c r="B85" s="61" t="s">
        <v>185</v>
      </c>
      <c r="C85" s="8"/>
      <c r="D85" s="9"/>
      <c r="E85" s="15"/>
      <c r="F85" s="15" t="s">
        <v>178</v>
      </c>
      <c r="G85" s="15"/>
      <c r="H85" s="15"/>
      <c r="I85" s="23"/>
      <c r="J85" s="9"/>
    </row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2">
    <mergeCell ref="I31:J31"/>
    <mergeCell ref="I32:J32"/>
    <mergeCell ref="I17:J17"/>
    <mergeCell ref="I18:J18"/>
    <mergeCell ref="I26:J26"/>
    <mergeCell ref="I27:J27"/>
    <mergeCell ref="I28:J28"/>
    <mergeCell ref="I29:J29"/>
    <mergeCell ref="I30:J30"/>
    <mergeCell ref="A6:C6"/>
    <mergeCell ref="B7:D7"/>
    <mergeCell ref="I7:J7"/>
    <mergeCell ref="M7:W7"/>
    <mergeCell ref="Z7:AB7"/>
    <mergeCell ref="B8:D8"/>
    <mergeCell ref="I8:J8"/>
    <mergeCell ref="I13:J13"/>
    <mergeCell ref="I14:J14"/>
    <mergeCell ref="B9:D9"/>
    <mergeCell ref="B10:D10"/>
    <mergeCell ref="B11:D11"/>
    <mergeCell ref="I11:J11"/>
    <mergeCell ref="B12:D12"/>
    <mergeCell ref="B13:D13"/>
    <mergeCell ref="B14:D14"/>
    <mergeCell ref="B15:D15"/>
    <mergeCell ref="I15:J15"/>
    <mergeCell ref="B16:D16"/>
    <mergeCell ref="I16:J16"/>
    <mergeCell ref="B17:D17"/>
    <mergeCell ref="M17:W17"/>
    <mergeCell ref="B18:D18"/>
    <mergeCell ref="B19:D19"/>
    <mergeCell ref="I19:J19"/>
    <mergeCell ref="B20:D20"/>
    <mergeCell ref="I20:J20"/>
    <mergeCell ref="B21:D21"/>
    <mergeCell ref="I22:J22"/>
    <mergeCell ref="M22:W22"/>
    <mergeCell ref="M27:W27"/>
    <mergeCell ref="B22:D22"/>
    <mergeCell ref="B23:D23"/>
    <mergeCell ref="A25:C25"/>
    <mergeCell ref="B26:D26"/>
    <mergeCell ref="B27:D27"/>
    <mergeCell ref="B28:D28"/>
    <mergeCell ref="B29:D29"/>
    <mergeCell ref="I34:J34"/>
    <mergeCell ref="I35:J35"/>
    <mergeCell ref="M35:W35"/>
    <mergeCell ref="B56:D56"/>
    <mergeCell ref="B57:D57"/>
    <mergeCell ref="B58:D58"/>
    <mergeCell ref="A60:C60"/>
    <mergeCell ref="B61:D61"/>
    <mergeCell ref="B62:D62"/>
    <mergeCell ref="B63:D63"/>
    <mergeCell ref="B64:D64"/>
    <mergeCell ref="B65:D65"/>
    <mergeCell ref="B66:D66"/>
    <mergeCell ref="B67:D67"/>
    <mergeCell ref="B68:D68"/>
    <mergeCell ref="B69:D69"/>
    <mergeCell ref="B70:D70"/>
    <mergeCell ref="B79:D79"/>
    <mergeCell ref="B80:D80"/>
    <mergeCell ref="B81:D81"/>
    <mergeCell ref="B82:D82"/>
    <mergeCell ref="B83:D83"/>
    <mergeCell ref="B84:D84"/>
    <mergeCell ref="B85:D85"/>
    <mergeCell ref="B71:D71"/>
    <mergeCell ref="B72:D72"/>
    <mergeCell ref="A74:C74"/>
    <mergeCell ref="B75:D75"/>
    <mergeCell ref="B76:D76"/>
    <mergeCell ref="B77:D77"/>
    <mergeCell ref="B78:D78"/>
    <mergeCell ref="I78:J78"/>
    <mergeCell ref="I79:J79"/>
    <mergeCell ref="I80:J80"/>
    <mergeCell ref="I81:J81"/>
    <mergeCell ref="I82:J82"/>
    <mergeCell ref="I83:J83"/>
    <mergeCell ref="I84:J84"/>
    <mergeCell ref="I85:J85"/>
    <mergeCell ref="I68:J68"/>
    <mergeCell ref="I69:J69"/>
    <mergeCell ref="I70:J70"/>
    <mergeCell ref="I71:J71"/>
    <mergeCell ref="I75:J75"/>
    <mergeCell ref="I76:J76"/>
    <mergeCell ref="I77:J77"/>
    <mergeCell ref="B30:D30"/>
    <mergeCell ref="B31:D31"/>
    <mergeCell ref="B32:D32"/>
    <mergeCell ref="B33:D33"/>
    <mergeCell ref="I33:J33"/>
    <mergeCell ref="B34:D34"/>
    <mergeCell ref="B35:D35"/>
    <mergeCell ref="B36:D36"/>
    <mergeCell ref="I36:J36"/>
    <mergeCell ref="B37:D37"/>
    <mergeCell ref="I37:J37"/>
    <mergeCell ref="B38:D38"/>
    <mergeCell ref="B39:D39"/>
    <mergeCell ref="B40:D40"/>
    <mergeCell ref="B41:D41"/>
    <mergeCell ref="A43:C43"/>
    <mergeCell ref="B44:D44"/>
    <mergeCell ref="B45:D45"/>
    <mergeCell ref="B46:D46"/>
    <mergeCell ref="B47:D47"/>
    <mergeCell ref="B48:D48"/>
    <mergeCell ref="I38:J38"/>
    <mergeCell ref="I40:J40"/>
    <mergeCell ref="I44:J44"/>
    <mergeCell ref="I45:J45"/>
    <mergeCell ref="I46:J46"/>
    <mergeCell ref="I47:J47"/>
    <mergeCell ref="I49:J49"/>
    <mergeCell ref="B49:D49"/>
    <mergeCell ref="B50:D50"/>
    <mergeCell ref="B51:D51"/>
    <mergeCell ref="B52:D52"/>
    <mergeCell ref="B53:D53"/>
    <mergeCell ref="B54:D54"/>
    <mergeCell ref="B55:D55"/>
    <mergeCell ref="I50:J50"/>
    <mergeCell ref="I51:J51"/>
    <mergeCell ref="I52:J52"/>
    <mergeCell ref="I53:J53"/>
    <mergeCell ref="I54:J54"/>
    <mergeCell ref="I55:J55"/>
    <mergeCell ref="I57:J57"/>
    <mergeCell ref="I61:J61"/>
    <mergeCell ref="I62:J62"/>
    <mergeCell ref="I63:J63"/>
    <mergeCell ref="I64:J64"/>
    <mergeCell ref="I65:J65"/>
    <mergeCell ref="I66:J66"/>
    <mergeCell ref="I67:J67"/>
  </mergeCells>
  <dataValidations>
    <dataValidation type="list" allowBlank="1" showErrorMessage="1" sqref="A10:A22 A27:A40 A45:A57 A62:A71 A76:A85">
      <formula1>Datos!$D$2:$D$11</formula1>
    </dataValidation>
    <dataValidation type="list" allowBlank="1" showErrorMessage="1" sqref="J5">
      <formula1>Datos!$B$2:$B$12</formula1>
    </dataValidation>
    <dataValidation type="list" allowBlank="1" showErrorMessage="1" sqref="J6 J25 J43 J60 J74">
      <formula1>Datos!$D$2:$D$14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10.71"/>
    <col customWidth="1" min="24" max="24" width="7.86"/>
    <col customWidth="1" min="25" max="25" width="15.43"/>
    <col customWidth="1" min="26" max="28" width="10.71"/>
  </cols>
  <sheetData>
    <row r="1" ht="14.25" customHeight="1"/>
    <row r="2" ht="14.25" customHeight="1"/>
    <row r="3" ht="14.25" customHeight="1"/>
    <row r="4" ht="14.25" customHeight="1"/>
    <row r="5" ht="14.25" customHeight="1">
      <c r="J5" s="1"/>
    </row>
    <row r="6" ht="14.25" customHeight="1">
      <c r="A6" s="2" t="s">
        <v>857</v>
      </c>
      <c r="B6" s="3"/>
      <c r="C6" s="4"/>
      <c r="J6" s="1"/>
    </row>
    <row r="7" ht="14.25" customHeight="1">
      <c r="A7" s="5" t="s">
        <v>2</v>
      </c>
      <c r="B7" s="7" t="s">
        <v>4</v>
      </c>
      <c r="C7" s="8"/>
      <c r="D7" s="9"/>
      <c r="E7" s="5" t="s">
        <v>5</v>
      </c>
      <c r="F7" s="5" t="s">
        <v>6</v>
      </c>
      <c r="G7" s="5" t="s">
        <v>7</v>
      </c>
      <c r="H7" s="5" t="s">
        <v>8</v>
      </c>
      <c r="I7" s="7" t="s">
        <v>9</v>
      </c>
      <c r="J7" s="9"/>
      <c r="M7" s="11" t="s">
        <v>0</v>
      </c>
      <c r="N7" s="12"/>
      <c r="O7" s="12"/>
      <c r="P7" s="12"/>
      <c r="Q7" s="12"/>
      <c r="R7" s="12"/>
      <c r="S7" s="12"/>
      <c r="T7" s="12"/>
      <c r="U7" s="12"/>
      <c r="V7" s="12"/>
      <c r="W7" s="13"/>
      <c r="Y7" s="1"/>
      <c r="Z7" s="14" t="s">
        <v>10</v>
      </c>
      <c r="AA7" s="12"/>
      <c r="AB7" s="13"/>
    </row>
    <row r="8" ht="14.25" customHeight="1">
      <c r="A8" s="53" t="s">
        <v>12</v>
      </c>
      <c r="B8" s="233" t="s">
        <v>961</v>
      </c>
      <c r="C8" s="18"/>
      <c r="D8" s="20"/>
      <c r="E8" s="53">
        <v>2.0</v>
      </c>
      <c r="F8" s="53">
        <v>10.0</v>
      </c>
      <c r="G8" s="53"/>
      <c r="H8" s="53"/>
      <c r="I8" s="55"/>
      <c r="J8" s="9"/>
      <c r="M8" s="25"/>
      <c r="N8" s="28" t="s">
        <v>16</v>
      </c>
      <c r="O8" s="28" t="s">
        <v>26</v>
      </c>
      <c r="P8" s="28" t="s">
        <v>27</v>
      </c>
      <c r="Q8" s="28" t="s">
        <v>28</v>
      </c>
      <c r="R8" s="28" t="s">
        <v>29</v>
      </c>
      <c r="S8" s="28" t="s">
        <v>30</v>
      </c>
      <c r="T8" s="28" t="s">
        <v>31</v>
      </c>
      <c r="U8" s="28" t="s">
        <v>32</v>
      </c>
      <c r="V8" s="28" t="s">
        <v>33</v>
      </c>
      <c r="W8" s="28" t="s">
        <v>12</v>
      </c>
      <c r="Z8" s="28" t="s">
        <v>16</v>
      </c>
      <c r="AA8" s="1">
        <f>SUM(N9,N14,N28,N34,N42)</f>
        <v>0</v>
      </c>
    </row>
    <row r="9" ht="14.25" customHeight="1">
      <c r="A9" s="53" t="s">
        <v>12</v>
      </c>
      <c r="B9" s="54"/>
      <c r="C9" s="18"/>
      <c r="D9" s="20"/>
      <c r="E9" s="53">
        <v>3.0</v>
      </c>
      <c r="F9" s="53">
        <v>12.0</v>
      </c>
      <c r="G9" s="53"/>
      <c r="H9" s="53"/>
      <c r="I9" s="55"/>
      <c r="J9" s="9"/>
      <c r="M9" s="34" t="s">
        <v>36</v>
      </c>
      <c r="N9" s="37">
        <f>SUMIF(A8:A26,"Pecho",E8:E26)</f>
        <v>0</v>
      </c>
      <c r="O9" s="37">
        <f>SUMIF(A8:A26,"Espalda",E8:E26)</f>
        <v>0</v>
      </c>
      <c r="P9" s="37">
        <f>SUMIF($A8:$A26,"Hombros",$E8:$E26)</f>
        <v>0</v>
      </c>
      <c r="Q9" s="37">
        <f>SUMIF($A8:$A26,"Bíceps",$E8:$E26)</f>
        <v>0</v>
      </c>
      <c r="R9" s="37">
        <f>SUMIF($A8:$A26,"Tríceps",$E8:$E26)</f>
        <v>0</v>
      </c>
      <c r="S9" s="38">
        <f>SUMIF(A8:A26,"Cuádriceps",E8:E26)</f>
        <v>0</v>
      </c>
      <c r="T9" s="37">
        <f>SUMIF($A8:$A26,"Isquios",$E8:$E26)</f>
        <v>0</v>
      </c>
      <c r="U9" s="37">
        <f>SUMIF($A8:$A26,"Glúteos",$E8:$E26)</f>
        <v>0</v>
      </c>
      <c r="V9" s="37">
        <f>SUMIF($A8:$A26,"Pantorrillas",$E8:$E26)</f>
        <v>0</v>
      </c>
      <c r="W9" s="37">
        <f>SUMIF($A8:$A26,"Otros",$E8:$E26)</f>
        <v>8</v>
      </c>
      <c r="Z9" s="28" t="s">
        <v>26</v>
      </c>
      <c r="AA9" s="1">
        <f>SUM(O9,O14,O28,O34,O42)</f>
        <v>6</v>
      </c>
    </row>
    <row r="10" ht="14.25" customHeight="1">
      <c r="A10" s="53" t="s">
        <v>12</v>
      </c>
      <c r="B10" s="54"/>
      <c r="C10" s="18"/>
      <c r="D10" s="20"/>
      <c r="E10" s="53">
        <v>3.0</v>
      </c>
      <c r="F10" s="53" t="s">
        <v>71</v>
      </c>
      <c r="G10" s="53"/>
      <c r="H10" s="53"/>
      <c r="I10" s="55"/>
      <c r="J10" s="9"/>
      <c r="M10" s="34" t="s">
        <v>7</v>
      </c>
      <c r="N10" s="35" t="str">
        <f>AVERAGEIF($A8:$A26,"Pecho",$G8:$G26)</f>
        <v>#DIV/0!</v>
      </c>
      <c r="O10" s="35" t="str">
        <f>AVERAGEIF($A8:$A26,"Espalda",$G8:$G26)</f>
        <v>#DIV/0!</v>
      </c>
      <c r="P10" s="35" t="str">
        <f>AVERAGEIF($A8:$A26,"Hombros",$G8:$G26)</f>
        <v>#DIV/0!</v>
      </c>
      <c r="Q10" s="35" t="str">
        <f>AVERAGEIF($A8:$A26,"Bíceps",$G8:$G26)</f>
        <v>#DIV/0!</v>
      </c>
      <c r="R10" s="35" t="str">
        <f>AVERAGEIF($A8:$A26,"Tríceps",$G8:$G26)</f>
        <v>#DIV/0!</v>
      </c>
      <c r="S10" s="35" t="str">
        <f>AVERAGEIF($A8:$A26,"Cuádriceps",$G8:$G26)</f>
        <v>#DIV/0!</v>
      </c>
      <c r="T10" s="35" t="str">
        <f>AVERAGEIF($A8:$A26,"Isquios",$G8:$G26)</f>
        <v>#DIV/0!</v>
      </c>
      <c r="U10" s="35" t="str">
        <f>AVERAGEIF($A8:$A26,"Glúteos",$G8:$G26)</f>
        <v>#DIV/0!</v>
      </c>
      <c r="V10" s="35" t="str">
        <f>AVERAGEIF($A8:$A26,"Pantorrillas",$G8:$G26)</f>
        <v>#DIV/0!</v>
      </c>
      <c r="W10" s="35" t="str">
        <f>AVERAGEIF($A8:$A26,"Otros",$G8:$G26)</f>
        <v>#DIV/0!</v>
      </c>
      <c r="Z10" s="28" t="s">
        <v>27</v>
      </c>
      <c r="AA10" s="1">
        <f>SUM(P9,P14,P28,P34,P42)</f>
        <v>7</v>
      </c>
    </row>
    <row r="11" ht="14.25" customHeight="1">
      <c r="A11" s="234"/>
      <c r="B11" s="235" t="s">
        <v>966</v>
      </c>
      <c r="C11" s="18"/>
      <c r="D11" s="20"/>
      <c r="E11" s="234">
        <v>4.0</v>
      </c>
      <c r="F11" s="234" t="s">
        <v>864</v>
      </c>
      <c r="G11" s="234">
        <v>8.0</v>
      </c>
      <c r="H11" s="234" t="s">
        <v>55</v>
      </c>
      <c r="I11" s="236" t="s">
        <v>859</v>
      </c>
      <c r="J11" s="9"/>
      <c r="M11" s="25"/>
      <c r="N11" s="25"/>
      <c r="O11" s="25"/>
      <c r="P11" s="25"/>
      <c r="Q11" s="25"/>
      <c r="R11" s="25"/>
      <c r="S11" s="25"/>
      <c r="T11" s="25"/>
      <c r="U11" s="25"/>
      <c r="Z11" s="28" t="s">
        <v>28</v>
      </c>
      <c r="AA11" s="1">
        <f>SUM(Q9,Q14,Q28,Q34,Q42)</f>
        <v>4</v>
      </c>
    </row>
    <row r="12" ht="14.25" customHeight="1">
      <c r="A12" s="234"/>
      <c r="B12" s="237"/>
      <c r="C12" s="18"/>
      <c r="D12" s="20"/>
      <c r="E12" s="234">
        <v>4.0</v>
      </c>
      <c r="F12" s="234">
        <v>10.0</v>
      </c>
      <c r="G12" s="234"/>
      <c r="H12" s="234"/>
      <c r="I12" s="236"/>
      <c r="J12" s="9"/>
      <c r="M12" s="11" t="s">
        <v>45</v>
      </c>
      <c r="N12" s="12"/>
      <c r="O12" s="12"/>
      <c r="P12" s="12"/>
      <c r="Q12" s="12"/>
      <c r="R12" s="12"/>
      <c r="S12" s="12"/>
      <c r="T12" s="12"/>
      <c r="U12" s="12"/>
      <c r="V12" s="12"/>
      <c r="W12" s="13"/>
      <c r="Z12" s="28" t="s">
        <v>29</v>
      </c>
      <c r="AA12" s="1">
        <f>SUM(R9,R14,R28,R34,R42)</f>
        <v>9</v>
      </c>
    </row>
    <row r="13" ht="14.25" customHeight="1">
      <c r="A13" s="234"/>
      <c r="B13" s="237"/>
      <c r="C13" s="18"/>
      <c r="D13" s="20"/>
      <c r="E13" s="234">
        <v>3.0</v>
      </c>
      <c r="F13" s="234">
        <v>10.0</v>
      </c>
      <c r="G13" s="234"/>
      <c r="H13" s="234"/>
      <c r="I13" s="236"/>
      <c r="J13" s="9"/>
      <c r="M13" s="25"/>
      <c r="N13" s="28" t="s">
        <v>16</v>
      </c>
      <c r="O13" s="28" t="s">
        <v>26</v>
      </c>
      <c r="P13" s="28" t="s">
        <v>27</v>
      </c>
      <c r="Q13" s="28" t="s">
        <v>28</v>
      </c>
      <c r="R13" s="28" t="s">
        <v>29</v>
      </c>
      <c r="S13" s="28" t="s">
        <v>30</v>
      </c>
      <c r="T13" s="28" t="s">
        <v>31</v>
      </c>
      <c r="U13" s="28" t="s">
        <v>32</v>
      </c>
      <c r="V13" s="28" t="s">
        <v>33</v>
      </c>
      <c r="W13" s="28" t="s">
        <v>12</v>
      </c>
      <c r="Z13" s="28" t="s">
        <v>30</v>
      </c>
      <c r="AA13" s="1">
        <f>SUM(S9,S14,S28,S34,S42)</f>
        <v>10</v>
      </c>
    </row>
    <row r="14" ht="14.25" customHeight="1">
      <c r="A14" s="234"/>
      <c r="B14" s="237"/>
      <c r="C14" s="18"/>
      <c r="D14" s="20"/>
      <c r="E14" s="234">
        <v>3.0</v>
      </c>
      <c r="F14" s="234" t="s">
        <v>455</v>
      </c>
      <c r="G14" s="234"/>
      <c r="H14" s="234"/>
      <c r="I14" s="236"/>
      <c r="J14" s="9"/>
      <c r="M14" s="34" t="s">
        <v>36</v>
      </c>
      <c r="N14" s="35">
        <f>SUMIF($A31:$A45,"Pecho",$E31:$E45)</f>
        <v>0</v>
      </c>
      <c r="O14" s="35">
        <f>SUMIF($A31:$A45,"Espalda",$E31:$E45)</f>
        <v>0</v>
      </c>
      <c r="P14" s="35">
        <f>SUMIF($A31:$A45,"Hombros",$E31:$E45)</f>
        <v>7</v>
      </c>
      <c r="Q14" s="35">
        <f>SUMIF($A31:$A45,"Bíceps",$E31:$E45)</f>
        <v>4</v>
      </c>
      <c r="R14" s="35">
        <f>SUMIF($A31:$A45,"Tríceps",$E31:$E45)</f>
        <v>6</v>
      </c>
      <c r="S14" s="35">
        <f>SUMIF($A31:$A45,"Cuádriceps",$E31:$E45)</f>
        <v>10</v>
      </c>
      <c r="T14" s="35">
        <f>SUMIF($A31:$A45,"Isquios",$E31:$E45)</f>
        <v>0</v>
      </c>
      <c r="U14" s="35">
        <f>SUMIF($A31:$A45,"Glúteos",$E31:$E45)</f>
        <v>0</v>
      </c>
      <c r="V14" s="35">
        <f>SUMIF($A31:$A45,"Pantorrillas",$E31:$E45)</f>
        <v>0</v>
      </c>
      <c r="W14" s="35">
        <f>SUMIF($A31:$A45,"Otros",$E31:$E45)</f>
        <v>8</v>
      </c>
      <c r="Z14" s="28" t="s">
        <v>31</v>
      </c>
      <c r="AA14" s="1">
        <f>SUM(T9,T14,T28,T34,T42)</f>
        <v>3</v>
      </c>
    </row>
    <row r="15" ht="14.25" customHeight="1">
      <c r="A15" s="107"/>
      <c r="B15" s="239" t="s">
        <v>974</v>
      </c>
      <c r="C15" s="18"/>
      <c r="D15" s="20"/>
      <c r="E15" s="107">
        <v>4.0</v>
      </c>
      <c r="F15" s="107">
        <v>12.0</v>
      </c>
      <c r="G15" s="107"/>
      <c r="H15" s="107"/>
      <c r="I15" s="152"/>
      <c r="J15" s="9"/>
      <c r="M15" s="34" t="s">
        <v>7</v>
      </c>
      <c r="N15" s="35" t="str">
        <f>AVERAGEIF($A31:$A45,"Pecho",$G31:$G45)</f>
        <v>#DIV/0!</v>
      </c>
      <c r="O15" s="35" t="str">
        <f>AVERAGEIF($A31:$A45,"Espalda",$G31:$G45)</f>
        <v>#DIV/0!</v>
      </c>
      <c r="P15" s="35" t="str">
        <f>AVERAGEIF($A31:$A45,"Hombros",$G31:$G45)</f>
        <v>#DIV/0!</v>
      </c>
      <c r="Q15" s="35" t="str">
        <f>AVERAGEIF($A31:$A45,"Bíceps",$G31:$G45)</f>
        <v>#DIV/0!</v>
      </c>
      <c r="R15" s="35" t="str">
        <f>AVERAGEIF($A31:$A45,"Tríceps",$G31:$G45)</f>
        <v>#DIV/0!</v>
      </c>
      <c r="S15" s="35">
        <f>AVERAGEIF($A31:$A45,"Cuádriceps",$G31:$G45)</f>
        <v>8</v>
      </c>
      <c r="T15" s="35" t="str">
        <f>AVERAGEIF($A31:$A45,"Isquios",$G31:$G45)</f>
        <v>#DIV/0!</v>
      </c>
      <c r="U15" s="35" t="str">
        <f>AVERAGEIF($A31:$A45,"Glúteos",$G31:$G45)</f>
        <v>#DIV/0!</v>
      </c>
      <c r="V15" s="35" t="str">
        <f>AVERAGEIF($A31:$A45,"Pantorrillas",$G31:$G45)</f>
        <v>#DIV/0!</v>
      </c>
      <c r="W15" s="35" t="str">
        <f>AVERAGEIF($A31:$A45,"Otros",$G31:$G45)</f>
        <v>#DIV/0!</v>
      </c>
      <c r="Z15" s="28" t="s">
        <v>32</v>
      </c>
      <c r="AA15" s="1">
        <f>SUM(U9,U14,U28,U34,U42)</f>
        <v>11</v>
      </c>
    </row>
    <row r="16" ht="14.25" customHeight="1">
      <c r="A16" s="107"/>
      <c r="B16" s="155"/>
      <c r="C16" s="8"/>
      <c r="D16" s="9"/>
      <c r="E16" s="107"/>
      <c r="F16" s="107"/>
      <c r="G16" s="107"/>
      <c r="H16" s="107"/>
      <c r="I16" s="156"/>
      <c r="J16" s="157"/>
      <c r="M16" s="65"/>
      <c r="N16" s="25"/>
      <c r="O16" s="25"/>
      <c r="P16" s="25"/>
      <c r="Q16" s="25"/>
      <c r="R16" s="25"/>
      <c r="S16" s="25"/>
      <c r="T16" s="25"/>
      <c r="U16" s="25"/>
      <c r="V16" s="25"/>
      <c r="W16" s="25"/>
      <c r="Z16" s="28"/>
      <c r="AA16" s="1"/>
    </row>
    <row r="17" ht="14.25" customHeight="1">
      <c r="A17" s="107"/>
      <c r="B17" s="155"/>
      <c r="C17" s="8"/>
      <c r="D17" s="9"/>
      <c r="E17" s="107"/>
      <c r="F17" s="107"/>
      <c r="G17" s="107"/>
      <c r="H17" s="107"/>
      <c r="I17" s="156"/>
      <c r="J17" s="157"/>
      <c r="M17" s="65"/>
      <c r="N17" s="25"/>
      <c r="O17" s="25"/>
      <c r="P17" s="25"/>
      <c r="Q17" s="25"/>
      <c r="R17" s="25"/>
      <c r="S17" s="25"/>
      <c r="T17" s="25"/>
      <c r="U17" s="25"/>
      <c r="V17" s="25"/>
      <c r="W17" s="25"/>
      <c r="Z17" s="28"/>
      <c r="AA17" s="1"/>
    </row>
    <row r="18" ht="14.25" customHeight="1">
      <c r="A18" s="109"/>
      <c r="B18" s="240" t="s">
        <v>975</v>
      </c>
      <c r="C18" s="8"/>
      <c r="D18" s="9"/>
      <c r="E18" s="109"/>
      <c r="F18" s="109"/>
      <c r="G18" s="109"/>
      <c r="H18" s="109"/>
      <c r="I18" s="241"/>
      <c r="J18" s="242"/>
      <c r="M18" s="65"/>
      <c r="N18" s="25"/>
      <c r="O18" s="25"/>
      <c r="P18" s="25"/>
      <c r="Q18" s="25"/>
      <c r="R18" s="25"/>
      <c r="S18" s="25"/>
      <c r="T18" s="25"/>
      <c r="U18" s="25"/>
      <c r="V18" s="25"/>
      <c r="W18" s="25"/>
      <c r="Z18" s="28"/>
      <c r="AA18" s="1"/>
    </row>
    <row r="19" ht="14.25" customHeight="1">
      <c r="A19" s="109"/>
      <c r="B19" s="243"/>
      <c r="C19" s="8"/>
      <c r="D19" s="9"/>
      <c r="E19" s="109"/>
      <c r="F19" s="109"/>
      <c r="G19" s="109"/>
      <c r="H19" s="109"/>
      <c r="I19" s="241"/>
      <c r="J19" s="242"/>
      <c r="M19" s="65"/>
      <c r="N19" s="25"/>
      <c r="O19" s="25"/>
      <c r="P19" s="25"/>
      <c r="Q19" s="25"/>
      <c r="R19" s="25"/>
      <c r="S19" s="25"/>
      <c r="T19" s="25"/>
      <c r="U19" s="25"/>
      <c r="V19" s="25"/>
      <c r="W19" s="25"/>
      <c r="Z19" s="28"/>
      <c r="AA19" s="1"/>
    </row>
    <row r="20" ht="14.25" customHeight="1">
      <c r="A20" s="15"/>
      <c r="B20" s="244" t="s">
        <v>977</v>
      </c>
      <c r="C20" s="8"/>
      <c r="D20" s="9"/>
      <c r="E20" s="15"/>
      <c r="F20" s="15"/>
      <c r="G20" s="15"/>
      <c r="H20" s="15"/>
      <c r="I20" s="217"/>
      <c r="J20" s="218"/>
      <c r="M20" s="65"/>
      <c r="N20" s="25"/>
      <c r="O20" s="25"/>
      <c r="P20" s="25"/>
      <c r="Q20" s="25"/>
      <c r="R20" s="25"/>
      <c r="S20" s="25"/>
      <c r="T20" s="25"/>
      <c r="U20" s="25"/>
      <c r="V20" s="25"/>
      <c r="W20" s="25"/>
      <c r="Z20" s="28"/>
      <c r="AA20" s="1"/>
    </row>
    <row r="21" ht="14.25" customHeight="1">
      <c r="A21" s="15"/>
      <c r="B21" s="61"/>
      <c r="C21" s="8"/>
      <c r="D21" s="9"/>
      <c r="E21" s="15"/>
      <c r="F21" s="15"/>
      <c r="G21" s="15"/>
      <c r="H21" s="15"/>
      <c r="I21" s="217"/>
      <c r="J21" s="218"/>
      <c r="M21" s="65"/>
      <c r="N21" s="25"/>
      <c r="O21" s="25"/>
      <c r="P21" s="25"/>
      <c r="Q21" s="25"/>
      <c r="R21" s="25"/>
      <c r="S21" s="25"/>
      <c r="T21" s="25"/>
      <c r="U21" s="25"/>
      <c r="V21" s="25"/>
      <c r="W21" s="25"/>
      <c r="Z21" s="28"/>
      <c r="AA21" s="1"/>
    </row>
    <row r="22" ht="14.25" customHeight="1">
      <c r="A22" s="15"/>
      <c r="B22" s="61"/>
      <c r="C22" s="8"/>
      <c r="D22" s="9"/>
      <c r="E22" s="15"/>
      <c r="F22" s="15"/>
      <c r="G22" s="15"/>
      <c r="H22" s="15"/>
      <c r="I22" s="217"/>
      <c r="J22" s="218"/>
      <c r="M22" s="65"/>
      <c r="N22" s="25"/>
      <c r="O22" s="25"/>
      <c r="P22" s="25"/>
      <c r="Q22" s="25"/>
      <c r="R22" s="25"/>
      <c r="S22" s="25"/>
      <c r="T22" s="25"/>
      <c r="U22" s="25"/>
      <c r="V22" s="25"/>
      <c r="W22" s="25"/>
      <c r="Z22" s="28"/>
      <c r="AA22" s="1"/>
    </row>
    <row r="23" ht="14.25" customHeight="1">
      <c r="A23" s="15"/>
      <c r="B23" s="61"/>
      <c r="C23" s="8"/>
      <c r="D23" s="9"/>
      <c r="E23" s="15"/>
      <c r="F23" s="15"/>
      <c r="G23" s="15"/>
      <c r="H23" s="15"/>
      <c r="I23" s="217"/>
      <c r="J23" s="218"/>
      <c r="M23" s="65"/>
      <c r="N23" s="25"/>
      <c r="O23" s="25"/>
      <c r="P23" s="25"/>
      <c r="Q23" s="25"/>
      <c r="R23" s="25"/>
      <c r="S23" s="25"/>
      <c r="T23" s="25"/>
      <c r="U23" s="25"/>
      <c r="V23" s="25"/>
      <c r="W23" s="25"/>
      <c r="Z23" s="28"/>
      <c r="AA23" s="1"/>
    </row>
    <row r="24" ht="14.25" customHeight="1">
      <c r="A24" s="83"/>
      <c r="B24" s="246" t="s">
        <v>980</v>
      </c>
      <c r="C24" s="8"/>
      <c r="D24" s="9"/>
      <c r="E24" s="83"/>
      <c r="F24" s="83"/>
      <c r="G24" s="83"/>
      <c r="H24" s="83"/>
      <c r="I24" s="229"/>
      <c r="J24" s="224"/>
      <c r="M24" s="65"/>
      <c r="N24" s="25"/>
      <c r="O24" s="25"/>
      <c r="P24" s="25"/>
      <c r="Q24" s="25"/>
      <c r="R24" s="25"/>
      <c r="S24" s="25"/>
      <c r="T24" s="25"/>
      <c r="U24" s="25"/>
      <c r="V24" s="25"/>
      <c r="W24" s="25"/>
      <c r="Z24" s="28"/>
      <c r="AA24" s="1"/>
    </row>
    <row r="25" ht="14.25" customHeight="1">
      <c r="A25" s="83"/>
      <c r="B25" s="85"/>
      <c r="C25" s="18"/>
      <c r="D25" s="20"/>
      <c r="E25" s="83"/>
      <c r="F25" s="83"/>
      <c r="G25" s="83"/>
      <c r="H25" s="83"/>
      <c r="I25" s="86"/>
      <c r="J25" s="9"/>
      <c r="M25" s="25"/>
      <c r="N25" s="25"/>
      <c r="O25" s="25"/>
      <c r="P25" s="25"/>
      <c r="Q25" s="25"/>
      <c r="R25" s="25"/>
      <c r="S25" s="25"/>
      <c r="T25" s="25"/>
      <c r="U25" s="25"/>
      <c r="Z25" s="28" t="s">
        <v>33</v>
      </c>
      <c r="AA25" s="1">
        <f>SUM(V9,V14,V28,V34,V42)</f>
        <v>0</v>
      </c>
    </row>
    <row r="26" ht="14.25" customHeight="1">
      <c r="A26" s="83"/>
      <c r="B26" s="85"/>
      <c r="C26" s="18"/>
      <c r="D26" s="20"/>
      <c r="E26" s="83"/>
      <c r="F26" s="83"/>
      <c r="G26" s="83"/>
      <c r="H26" s="83"/>
      <c r="I26" s="86"/>
      <c r="J26" s="9"/>
      <c r="M26" s="11" t="s">
        <v>57</v>
      </c>
      <c r="N26" s="12"/>
      <c r="O26" s="12"/>
      <c r="P26" s="12"/>
      <c r="Q26" s="12"/>
      <c r="R26" s="12"/>
      <c r="S26" s="12"/>
      <c r="T26" s="12"/>
      <c r="U26" s="12"/>
      <c r="V26" s="12"/>
      <c r="W26" s="13"/>
      <c r="Z26" s="28" t="s">
        <v>12</v>
      </c>
      <c r="AA26" s="1">
        <f>SUM(W9,W14,W28,W34,W42)</f>
        <v>25</v>
      </c>
    </row>
    <row r="27" ht="14.25" customHeight="1">
      <c r="B27" s="26"/>
      <c r="C27" s="29"/>
      <c r="D27" s="29"/>
      <c r="M27" s="25"/>
      <c r="N27" s="28" t="s">
        <v>16</v>
      </c>
      <c r="O27" s="28" t="s">
        <v>26</v>
      </c>
      <c r="P27" s="28" t="s">
        <v>27</v>
      </c>
      <c r="Q27" s="28" t="s">
        <v>28</v>
      </c>
      <c r="R27" s="28" t="s">
        <v>29</v>
      </c>
      <c r="S27" s="28" t="s">
        <v>30</v>
      </c>
      <c r="T27" s="28" t="s">
        <v>31</v>
      </c>
      <c r="U27" s="28" t="s">
        <v>32</v>
      </c>
      <c r="V27" s="28" t="s">
        <v>33</v>
      </c>
      <c r="W27" s="28" t="s">
        <v>12</v>
      </c>
    </row>
    <row r="28" ht="14.25" customHeight="1">
      <c r="M28" s="34" t="s">
        <v>36</v>
      </c>
      <c r="N28" s="35">
        <f>SUMIF($A50:$A65,"Pecho",$E50:$E65)</f>
        <v>0</v>
      </c>
      <c r="O28" s="35">
        <f>SUMIF($A50:$A65,"Espalda",$E50:$E65)</f>
        <v>6</v>
      </c>
      <c r="P28" s="35">
        <f>SUMIF($A50:$A65,"Hombros",$E50:$E65)</f>
        <v>0</v>
      </c>
      <c r="Q28" s="35">
        <f>SUMIF($A50:$A65,"Bíceps",$E50:$E65)</f>
        <v>0</v>
      </c>
      <c r="R28" s="35">
        <f>SUMIF($A50:$A65,"Tríceps",$E50:$E65)</f>
        <v>3</v>
      </c>
      <c r="S28" s="35">
        <f>SUMIF($A50:$A65,"Cuádriceps",$E50:$E65)</f>
        <v>0</v>
      </c>
      <c r="T28" s="35">
        <f>SUMIF($A50:$A65,"Isquios",$E50:$E65)</f>
        <v>3</v>
      </c>
      <c r="U28" s="35">
        <f>SUMIF($A50:$A65,"Glúteos",$E50:$E65)</f>
        <v>11</v>
      </c>
      <c r="V28" s="35">
        <f>SUMIF($A50:$A65,"Pantorrillas",$E50:$E65)</f>
        <v>0</v>
      </c>
      <c r="W28" s="35">
        <f>SUMIF($A50:$A65,"Otros",$E50:$E65)</f>
        <v>9</v>
      </c>
    </row>
    <row r="29" ht="14.25" customHeight="1">
      <c r="A29" s="2" t="s">
        <v>889</v>
      </c>
      <c r="B29" s="3"/>
      <c r="C29" s="4"/>
      <c r="J29" s="1"/>
      <c r="M29" s="34" t="s">
        <v>7</v>
      </c>
      <c r="N29" s="35" t="str">
        <f>AVERAGEIF($A50:$A65,"Pecho",$G50:$G65)</f>
        <v>#DIV/0!</v>
      </c>
      <c r="O29" s="35" t="str">
        <f>AVERAGEIF($A50:$A65,"Espalda",$G50:$G65)</f>
        <v>#DIV/0!</v>
      </c>
      <c r="P29" s="35" t="str">
        <f>AVERAGEIF($A50:$A65,"Hombros",$G50:$G65)</f>
        <v>#DIV/0!</v>
      </c>
      <c r="Q29" s="35" t="str">
        <f>AVERAGEIF($A50:$A65,"Bíceps",$G50:$G65)</f>
        <v>#DIV/0!</v>
      </c>
      <c r="R29" s="35" t="str">
        <f>AVERAGEIF($A50:$A65,"Tríceps",$G50:$G65)</f>
        <v>#DIV/0!</v>
      </c>
      <c r="S29" s="35" t="str">
        <f>AVERAGEIF($A50:$A65,"Cuádriceps",$G50:$G65)</f>
        <v>#DIV/0!</v>
      </c>
      <c r="T29" s="35" t="str">
        <f>AVERAGEIF($A50:$A65,"Isquios",$G50:$G65)</f>
        <v>#DIV/0!</v>
      </c>
      <c r="U29" s="35">
        <f>AVERAGEIF($A50:$A65,"Glúteos",$G50:$G65)</f>
        <v>8</v>
      </c>
      <c r="V29" s="35" t="str">
        <f>AVERAGEIF($A50:$A65,"Pantorrillas",$G50:$G65)</f>
        <v>#DIV/0!</v>
      </c>
      <c r="W29" s="35" t="str">
        <f>AVERAGEIF($A50:$A65,"Otros",$G50:$G65)</f>
        <v>#DIV/0!</v>
      </c>
    </row>
    <row r="30" ht="14.25" customHeight="1">
      <c r="A30" s="5" t="s">
        <v>2</v>
      </c>
      <c r="B30" s="7" t="s">
        <v>4</v>
      </c>
      <c r="C30" s="8"/>
      <c r="D30" s="9"/>
      <c r="E30" s="5" t="s">
        <v>5</v>
      </c>
      <c r="F30" s="5" t="s">
        <v>6</v>
      </c>
      <c r="G30" s="5" t="s">
        <v>7</v>
      </c>
      <c r="H30" s="5" t="s">
        <v>8</v>
      </c>
      <c r="I30" s="7" t="s">
        <v>9</v>
      </c>
      <c r="J30" s="9"/>
      <c r="M30" s="25"/>
      <c r="N30" s="25"/>
      <c r="O30" s="25"/>
      <c r="P30" s="25"/>
      <c r="Q30" s="25"/>
      <c r="R30" s="25"/>
      <c r="S30" s="25"/>
      <c r="T30" s="25"/>
      <c r="U30" s="25"/>
    </row>
    <row r="31" ht="14.25" customHeight="1">
      <c r="A31" s="115" t="s">
        <v>12</v>
      </c>
      <c r="B31" s="114"/>
      <c r="C31" s="18"/>
      <c r="D31" s="20"/>
      <c r="E31" s="115">
        <v>2.0</v>
      </c>
      <c r="F31" s="115">
        <v>10.0</v>
      </c>
      <c r="G31" s="115"/>
      <c r="H31" s="115"/>
      <c r="I31" s="249"/>
      <c r="J31" s="9"/>
      <c r="M31" s="11" t="s">
        <v>66</v>
      </c>
      <c r="N31" s="12"/>
      <c r="O31" s="12"/>
      <c r="P31" s="12"/>
      <c r="Q31" s="12"/>
      <c r="R31" s="12"/>
      <c r="S31" s="12"/>
      <c r="T31" s="12"/>
      <c r="U31" s="12"/>
      <c r="V31" s="12"/>
      <c r="W31" s="13"/>
    </row>
    <row r="32" ht="14.25" customHeight="1">
      <c r="A32" s="115" t="s">
        <v>12</v>
      </c>
      <c r="B32" s="114" t="s">
        <v>906</v>
      </c>
      <c r="C32" s="18"/>
      <c r="D32" s="20"/>
      <c r="E32" s="115">
        <v>2.0</v>
      </c>
      <c r="F32" s="115">
        <v>12.0</v>
      </c>
      <c r="G32" s="115"/>
      <c r="H32" s="115"/>
      <c r="I32" s="249"/>
      <c r="J32" s="9"/>
      <c r="M32" s="25"/>
      <c r="N32" s="28" t="s">
        <v>16</v>
      </c>
      <c r="O32" s="28" t="s">
        <v>26</v>
      </c>
      <c r="P32" s="28" t="s">
        <v>27</v>
      </c>
      <c r="Q32" s="28" t="s">
        <v>28</v>
      </c>
      <c r="R32" s="28" t="s">
        <v>29</v>
      </c>
      <c r="S32" s="28" t="s">
        <v>30</v>
      </c>
      <c r="T32" s="28" t="s">
        <v>31</v>
      </c>
      <c r="U32" s="28" t="s">
        <v>32</v>
      </c>
      <c r="V32" s="28" t="s">
        <v>33</v>
      </c>
      <c r="W32" s="28" t="s">
        <v>12</v>
      </c>
    </row>
    <row r="33" ht="14.25" customHeight="1">
      <c r="A33" s="115" t="s">
        <v>113</v>
      </c>
      <c r="B33" s="250" t="s">
        <v>907</v>
      </c>
      <c r="C33" s="8"/>
      <c r="D33" s="9"/>
      <c r="E33" s="115">
        <v>2.0</v>
      </c>
      <c r="F33" s="115">
        <v>12.0</v>
      </c>
      <c r="G33" s="115"/>
      <c r="H33" s="115"/>
      <c r="I33" s="251"/>
      <c r="J33" s="252"/>
      <c r="M33" s="25"/>
      <c r="N33" s="28"/>
      <c r="O33" s="28"/>
      <c r="P33" s="28"/>
      <c r="Q33" s="28"/>
      <c r="R33" s="28"/>
      <c r="S33" s="28"/>
      <c r="T33" s="28"/>
      <c r="U33" s="28"/>
      <c r="V33" s="28"/>
      <c r="W33" s="28"/>
    </row>
    <row r="34" ht="14.25" customHeight="1">
      <c r="A34" s="234" t="s">
        <v>12</v>
      </c>
      <c r="B34" s="237" t="s">
        <v>145</v>
      </c>
      <c r="C34" s="18"/>
      <c r="D34" s="20"/>
      <c r="E34" s="234">
        <v>2.0</v>
      </c>
      <c r="F34" s="234">
        <v>10.0</v>
      </c>
      <c r="G34" s="234"/>
      <c r="H34" s="234"/>
      <c r="I34" s="236"/>
      <c r="J34" s="9"/>
      <c r="M34" s="34" t="s">
        <v>36</v>
      </c>
      <c r="N34" s="35">
        <f>SUMIF($A70:$A83,"Pecho",$E70:$E83)</f>
        <v>0</v>
      </c>
      <c r="O34" s="35">
        <f>SUMIF($A70:$A83,"Espalda",$E70:$E83)</f>
        <v>0</v>
      </c>
      <c r="P34" s="35">
        <f>SUMIF($A70:$A83,"Hombros",$E70:$E83)</f>
        <v>0</v>
      </c>
      <c r="Q34" s="35">
        <f>SUMIF($A70:$A83,"Bíceps",$E70:$E83)</f>
        <v>0</v>
      </c>
      <c r="R34" s="35">
        <f>SUMIF($A70:$A83,"Tríceps",$E70:$E83)</f>
        <v>0</v>
      </c>
      <c r="S34" s="35">
        <f>SUMIF($A70:$A83,"Cuádriceps",$E70:$E83)</f>
        <v>0</v>
      </c>
      <c r="T34" s="35">
        <f>SUMIF($A70:$A83,"Isquios",$E70:$E83)</f>
        <v>0</v>
      </c>
      <c r="U34" s="35">
        <f>SUMIF($A70:$A83,"Glúteos",$E70:$E83)</f>
        <v>0</v>
      </c>
      <c r="V34" s="35">
        <f>SUMIF($A70:$A83,"Pantorrillas",$E70:$E83)</f>
        <v>0</v>
      </c>
      <c r="W34" s="35">
        <f>SUMIF($A70:$A83,"Otros",$E70:$E83)</f>
        <v>0</v>
      </c>
    </row>
    <row r="35" ht="14.25" customHeight="1">
      <c r="A35" s="234" t="s">
        <v>30</v>
      </c>
      <c r="B35" s="237" t="s">
        <v>916</v>
      </c>
      <c r="C35" s="18"/>
      <c r="D35" s="20"/>
      <c r="E35" s="234">
        <v>4.0</v>
      </c>
      <c r="F35" s="234">
        <v>8.0</v>
      </c>
      <c r="G35" s="234">
        <v>8.0</v>
      </c>
      <c r="H35" s="234" t="s">
        <v>55</v>
      </c>
      <c r="I35" s="236" t="s">
        <v>918</v>
      </c>
      <c r="J35" s="9"/>
      <c r="M35" s="34" t="s">
        <v>7</v>
      </c>
      <c r="N35" s="35" t="str">
        <f>AVERAGEIF($A70:$A83,"Pecho",$G70:$G83)</f>
        <v>#DIV/0!</v>
      </c>
      <c r="O35" s="35" t="str">
        <f>AVERAGEIF($A70:$A83,"Espalda",$G70:$G83)</f>
        <v>#DIV/0!</v>
      </c>
      <c r="P35" s="35" t="str">
        <f>AVERAGEIF($A70:$A83,"Hombros",$G70:$G83)</f>
        <v>#DIV/0!</v>
      </c>
      <c r="Q35" s="35" t="str">
        <f>AVERAGEIF($A70:$A83,"Bíceps",$G70:$G83)</f>
        <v>#DIV/0!</v>
      </c>
      <c r="R35" s="35" t="str">
        <f>AVERAGEIF($A70:$A83,"Tríceps",$G70:$G83)</f>
        <v>#DIV/0!</v>
      </c>
      <c r="S35" s="35" t="str">
        <f>AVERAGEIF($A70:$A83,"Cuádriceps",$G70:$G83)</f>
        <v>#DIV/0!</v>
      </c>
      <c r="T35" s="35" t="str">
        <f>AVERAGEIF($A70:$A83,"Isquios",$G70:$G83)</f>
        <v>#DIV/0!</v>
      </c>
      <c r="U35" s="35" t="str">
        <f>AVERAGEIF($A70:$A83,"Glúteos",$G70:$G83)</f>
        <v>#DIV/0!</v>
      </c>
      <c r="V35" s="35" t="str">
        <f>AVERAGEIF($A70:$A83,"Pantorrillas",$G70:$G83)</f>
        <v>#DIV/0!</v>
      </c>
      <c r="W35" s="35" t="str">
        <f>AVERAGEIF($A70:$A83,"Otros",$G70:$G83)</f>
        <v>#DIV/0!</v>
      </c>
    </row>
    <row r="36" ht="14.25" customHeight="1">
      <c r="A36" s="234" t="s">
        <v>30</v>
      </c>
      <c r="B36" s="237" t="s">
        <v>922</v>
      </c>
      <c r="C36" s="18"/>
      <c r="D36" s="20"/>
      <c r="E36" s="234">
        <v>3.0</v>
      </c>
      <c r="F36" s="234" t="s">
        <v>178</v>
      </c>
      <c r="G36" s="234"/>
      <c r="H36" s="234"/>
      <c r="I36" s="236"/>
      <c r="J36" s="9"/>
      <c r="M36" s="25"/>
      <c r="N36" s="25"/>
      <c r="O36" s="25"/>
      <c r="P36" s="25"/>
      <c r="Q36" s="25"/>
      <c r="R36" s="25"/>
      <c r="S36" s="25"/>
      <c r="T36" s="25"/>
      <c r="U36" s="25"/>
    </row>
    <row r="37" ht="14.25" customHeight="1">
      <c r="A37" s="234"/>
      <c r="B37" s="260"/>
      <c r="C37" s="261"/>
      <c r="D37" s="261"/>
      <c r="E37" s="234"/>
      <c r="F37" s="234"/>
      <c r="G37" s="234"/>
      <c r="H37" s="234"/>
      <c r="I37" s="262"/>
      <c r="J37" s="263"/>
      <c r="M37" s="25"/>
      <c r="N37" s="25"/>
      <c r="O37" s="25"/>
      <c r="P37" s="25"/>
      <c r="Q37" s="25"/>
      <c r="R37" s="25"/>
      <c r="S37" s="25"/>
      <c r="T37" s="25"/>
      <c r="U37" s="25"/>
    </row>
    <row r="38" ht="14.25" customHeight="1">
      <c r="A38" s="158"/>
      <c r="B38" s="254"/>
      <c r="C38" s="255"/>
      <c r="D38" s="255"/>
      <c r="E38" s="158"/>
      <c r="F38" s="158"/>
      <c r="G38" s="158"/>
      <c r="H38" s="158"/>
      <c r="I38" s="169"/>
      <c r="J38" s="170"/>
      <c r="M38" s="25"/>
      <c r="N38" s="25"/>
      <c r="O38" s="25"/>
      <c r="P38" s="25"/>
      <c r="Q38" s="25"/>
      <c r="R38" s="25"/>
      <c r="S38" s="25"/>
      <c r="T38" s="25"/>
      <c r="U38" s="25"/>
    </row>
    <row r="39" ht="14.25" customHeight="1">
      <c r="A39" s="158"/>
      <c r="B39" s="254"/>
      <c r="C39" s="255"/>
      <c r="D39" s="255"/>
      <c r="E39" s="158"/>
      <c r="F39" s="158"/>
      <c r="G39" s="158"/>
      <c r="H39" s="158"/>
      <c r="I39" s="169"/>
      <c r="J39" s="170"/>
      <c r="M39" s="25"/>
      <c r="N39" s="25"/>
      <c r="O39" s="25"/>
      <c r="P39" s="25"/>
      <c r="Q39" s="25"/>
      <c r="R39" s="25"/>
      <c r="S39" s="25"/>
      <c r="T39" s="25"/>
      <c r="U39" s="25"/>
    </row>
    <row r="40" ht="14.25" customHeight="1">
      <c r="A40" s="53" t="s">
        <v>27</v>
      </c>
      <c r="B40" s="54" t="s">
        <v>835</v>
      </c>
      <c r="C40" s="18"/>
      <c r="D40" s="20"/>
      <c r="E40" s="53">
        <v>4.0</v>
      </c>
      <c r="F40" s="53" t="s">
        <v>108</v>
      </c>
      <c r="G40" s="53"/>
      <c r="H40" s="53"/>
      <c r="I40" s="55"/>
      <c r="J40" s="9"/>
      <c r="M40" s="11" t="s">
        <v>76</v>
      </c>
      <c r="N40" s="12"/>
      <c r="O40" s="12"/>
      <c r="P40" s="12"/>
      <c r="Q40" s="12"/>
      <c r="R40" s="12"/>
      <c r="S40" s="12"/>
      <c r="T40" s="12"/>
      <c r="U40" s="12"/>
      <c r="V40" s="12"/>
      <c r="W40" s="13"/>
    </row>
    <row r="41" ht="14.25" customHeight="1">
      <c r="A41" s="53" t="s">
        <v>29</v>
      </c>
      <c r="B41" s="54" t="s">
        <v>924</v>
      </c>
      <c r="C41" s="18"/>
      <c r="D41" s="20"/>
      <c r="E41" s="53">
        <v>3.0</v>
      </c>
      <c r="F41" s="53">
        <v>10.0</v>
      </c>
      <c r="G41" s="53"/>
      <c r="H41" s="53"/>
      <c r="I41" s="55"/>
      <c r="J41" s="9"/>
      <c r="M41" s="25"/>
      <c r="N41" s="28" t="s">
        <v>16</v>
      </c>
      <c r="O41" s="28" t="s">
        <v>26</v>
      </c>
      <c r="P41" s="28" t="s">
        <v>27</v>
      </c>
      <c r="Q41" s="28" t="s">
        <v>28</v>
      </c>
      <c r="R41" s="28" t="s">
        <v>29</v>
      </c>
      <c r="S41" s="28" t="s">
        <v>30</v>
      </c>
      <c r="T41" s="28" t="s">
        <v>31</v>
      </c>
      <c r="U41" s="28" t="s">
        <v>32</v>
      </c>
      <c r="V41" s="28" t="s">
        <v>33</v>
      </c>
      <c r="W41" s="28" t="s">
        <v>12</v>
      </c>
    </row>
    <row r="42" ht="14.25" customHeight="1">
      <c r="A42" s="15" t="s">
        <v>30</v>
      </c>
      <c r="B42" s="17" t="s">
        <v>926</v>
      </c>
      <c r="C42" s="18"/>
      <c r="D42" s="20"/>
      <c r="E42" s="15">
        <v>3.0</v>
      </c>
      <c r="F42" s="15">
        <v>12.0</v>
      </c>
      <c r="G42" s="15"/>
      <c r="H42" s="15"/>
      <c r="I42" s="23"/>
      <c r="J42" s="9"/>
      <c r="M42" s="34" t="s">
        <v>36</v>
      </c>
      <c r="N42" s="35">
        <f>SUMIF($A88:$A101,"Pecho",$E88:$E101)</f>
        <v>0</v>
      </c>
      <c r="O42" s="35">
        <f>SUMIF($A88:$A101,"Espalda",$E88:$E101)</f>
        <v>0</v>
      </c>
      <c r="P42" s="35">
        <f>SUMIF($A88:$A101,"Hombros",$E88:$E101)</f>
        <v>0</v>
      </c>
      <c r="Q42" s="35">
        <f>SUMIF($A88:$A101,"Bíceps",$E88:$E101)</f>
        <v>0</v>
      </c>
      <c r="R42" s="35">
        <f>SUMIF($A88:$A101,"Tríceps",$E88:$E101)</f>
        <v>0</v>
      </c>
      <c r="S42" s="35">
        <f>SUMIF($A88:$A101,"Cuádriceps",$E88:$E101)</f>
        <v>0</v>
      </c>
      <c r="T42" s="35">
        <f>SUMIF($A88:$A101,"Isquios",$E88:$E101)</f>
        <v>0</v>
      </c>
      <c r="U42" s="35">
        <f>SUMIF($A88:$A101,"Glúteos",$E88:$E101)</f>
        <v>0</v>
      </c>
      <c r="V42" s="35">
        <f>SUMIF($A88:$A101,"Pantorrillas",$E88:$E101)</f>
        <v>0</v>
      </c>
      <c r="W42" s="35">
        <f>SUMIF($A88:$A101,"Otros",$E88:$E101)</f>
        <v>0</v>
      </c>
    </row>
    <row r="43" ht="14.25" customHeight="1">
      <c r="A43" s="15" t="s">
        <v>28</v>
      </c>
      <c r="B43" s="61" t="s">
        <v>935</v>
      </c>
      <c r="C43" s="8"/>
      <c r="D43" s="9"/>
      <c r="E43" s="15">
        <v>4.0</v>
      </c>
      <c r="F43" s="15">
        <v>10.0</v>
      </c>
      <c r="G43" s="15"/>
      <c r="H43" s="15"/>
      <c r="I43" s="23"/>
      <c r="J43" s="9"/>
      <c r="M43" s="34" t="s">
        <v>7</v>
      </c>
      <c r="N43" s="35" t="str">
        <f>AVERAGEIF($A88:$A101,"Pecho",$G88:$G101)</f>
        <v>#DIV/0!</v>
      </c>
      <c r="O43" s="35" t="str">
        <f>AVERAGEIF($A88:$A101,"Espalda",$G88:$G101)</f>
        <v>#DIV/0!</v>
      </c>
      <c r="P43" s="35" t="str">
        <f>AVERAGEIF($A88:$A101,"Hombros",$G88:$G101)</f>
        <v>#DIV/0!</v>
      </c>
      <c r="Q43" s="35" t="str">
        <f>AVERAGEIF($A88:$A101,"Bíceps",$G88:$G101)</f>
        <v>#DIV/0!</v>
      </c>
      <c r="R43" s="35" t="str">
        <f>AVERAGEIF($A88:$A101,"Tríceps",$G88:$G101)</f>
        <v>#DIV/0!</v>
      </c>
      <c r="S43" s="35" t="str">
        <f>AVERAGEIF($A88:$A101,"Cuádriceps",$G88:$G101)</f>
        <v>#DIV/0!</v>
      </c>
      <c r="T43" s="35" t="str">
        <f>AVERAGEIF($A88:$A101,"Isquios",$G88:$G101)</f>
        <v>#DIV/0!</v>
      </c>
      <c r="U43" s="35" t="str">
        <f>AVERAGEIF($A88:$A101,"Glúteos",$G88:$G101)</f>
        <v>#DIV/0!</v>
      </c>
      <c r="V43" s="35" t="str">
        <f>AVERAGEIF($A88:$A101,"Pantorrillas",$G88:$G101)</f>
        <v>#DIV/0!</v>
      </c>
      <c r="W43" s="35" t="str">
        <f>AVERAGEIF($A88:$A101,"Otros",$G88:$G101)</f>
        <v>#DIV/0!</v>
      </c>
    </row>
    <row r="44" ht="14.25" customHeight="1">
      <c r="A44" s="15" t="s">
        <v>29</v>
      </c>
      <c r="B44" s="265" t="s">
        <v>466</v>
      </c>
      <c r="C44" s="8"/>
      <c r="D44" s="9"/>
      <c r="E44" s="15">
        <v>3.0</v>
      </c>
      <c r="F44" s="15">
        <v>12.0</v>
      </c>
      <c r="G44" s="15"/>
      <c r="H44" s="15"/>
      <c r="I44" s="217"/>
      <c r="J44" s="218"/>
      <c r="M44" s="65"/>
      <c r="N44" s="25"/>
      <c r="O44" s="25"/>
      <c r="P44" s="25"/>
      <c r="Q44" s="25"/>
      <c r="R44" s="25"/>
      <c r="S44" s="25"/>
      <c r="T44" s="25"/>
      <c r="U44" s="25"/>
      <c r="V44" s="25"/>
      <c r="W44" s="25"/>
    </row>
    <row r="45" ht="14.25" customHeight="1">
      <c r="A45" s="53" t="s">
        <v>27</v>
      </c>
      <c r="B45" s="56" t="s">
        <v>938</v>
      </c>
      <c r="C45" s="8"/>
      <c r="D45" s="9"/>
      <c r="E45" s="53">
        <v>3.0</v>
      </c>
      <c r="F45" s="53">
        <v>10.0</v>
      </c>
      <c r="G45" s="53"/>
      <c r="H45" s="53"/>
      <c r="I45" s="55"/>
      <c r="J45" s="9"/>
    </row>
    <row r="46" ht="14.25" customHeight="1">
      <c r="B46" s="26"/>
      <c r="C46" s="29"/>
      <c r="D46" s="29"/>
    </row>
    <row r="47" ht="14.25" customHeight="1"/>
    <row r="48" ht="14.25" customHeight="1">
      <c r="A48" s="2" t="s">
        <v>939</v>
      </c>
      <c r="B48" s="3"/>
      <c r="C48" s="4"/>
      <c r="J48" s="1"/>
    </row>
    <row r="49" ht="14.25" customHeight="1">
      <c r="A49" s="5" t="s">
        <v>2</v>
      </c>
      <c r="B49" s="7" t="s">
        <v>4</v>
      </c>
      <c r="C49" s="8"/>
      <c r="D49" s="9"/>
      <c r="E49" s="5" t="s">
        <v>5</v>
      </c>
      <c r="F49" s="5" t="s">
        <v>6</v>
      </c>
      <c r="G49" s="5" t="s">
        <v>7</v>
      </c>
      <c r="H49" s="5" t="s">
        <v>8</v>
      </c>
      <c r="I49" s="7" t="s">
        <v>9</v>
      </c>
      <c r="J49" s="9"/>
    </row>
    <row r="50" ht="14.25" customHeight="1">
      <c r="A50" s="53" t="s">
        <v>12</v>
      </c>
      <c r="B50" s="54" t="s">
        <v>440</v>
      </c>
      <c r="C50" s="18"/>
      <c r="D50" s="20"/>
      <c r="E50" s="53">
        <v>3.0</v>
      </c>
      <c r="F50" s="53">
        <v>10.0</v>
      </c>
      <c r="G50" s="53"/>
      <c r="H50" s="53"/>
      <c r="I50" s="55"/>
      <c r="J50" s="9"/>
    </row>
    <row r="51" ht="14.25" customHeight="1">
      <c r="A51" s="53" t="s">
        <v>12</v>
      </c>
      <c r="B51" s="54" t="s">
        <v>368</v>
      </c>
      <c r="C51" s="18"/>
      <c r="D51" s="20"/>
      <c r="E51" s="53">
        <v>3.0</v>
      </c>
      <c r="F51" s="53">
        <v>12.0</v>
      </c>
      <c r="G51" s="53"/>
      <c r="H51" s="53"/>
      <c r="I51" s="55"/>
      <c r="J51" s="9"/>
    </row>
    <row r="52" ht="14.25" customHeight="1">
      <c r="A52" s="53" t="s">
        <v>12</v>
      </c>
      <c r="B52" s="54" t="s">
        <v>469</v>
      </c>
      <c r="C52" s="18"/>
      <c r="D52" s="20"/>
      <c r="E52" s="53">
        <v>3.0</v>
      </c>
      <c r="F52" s="53">
        <v>12.0</v>
      </c>
      <c r="G52" s="53"/>
      <c r="H52" s="53"/>
      <c r="I52" s="55"/>
      <c r="J52" s="9"/>
    </row>
    <row r="53" ht="14.25" customHeight="1">
      <c r="A53" s="234" t="s">
        <v>32</v>
      </c>
      <c r="B53" s="237" t="s">
        <v>940</v>
      </c>
      <c r="C53" s="18"/>
      <c r="D53" s="20"/>
      <c r="E53" s="234">
        <v>4.0</v>
      </c>
      <c r="F53" s="234" t="s">
        <v>143</v>
      </c>
      <c r="G53" s="234">
        <v>8.0</v>
      </c>
      <c r="H53" s="234" t="s">
        <v>55</v>
      </c>
      <c r="I53" s="236"/>
      <c r="J53" s="9"/>
    </row>
    <row r="54" ht="14.25" customHeight="1">
      <c r="A54" s="234" t="s">
        <v>26</v>
      </c>
      <c r="B54" s="237" t="s">
        <v>124</v>
      </c>
      <c r="C54" s="18"/>
      <c r="D54" s="20"/>
      <c r="E54" s="234">
        <v>3.0</v>
      </c>
      <c r="F54" s="234">
        <v>10.0</v>
      </c>
      <c r="G54" s="234"/>
      <c r="H54" s="234"/>
      <c r="I54" s="236"/>
      <c r="J54" s="9"/>
    </row>
    <row r="55" ht="14.25" customHeight="1">
      <c r="A55" s="234" t="s">
        <v>32</v>
      </c>
      <c r="B55" s="237" t="s">
        <v>941</v>
      </c>
      <c r="C55" s="18"/>
      <c r="D55" s="20"/>
      <c r="E55" s="234">
        <v>3.0</v>
      </c>
      <c r="F55" s="234">
        <v>10.0</v>
      </c>
      <c r="G55" s="234"/>
      <c r="H55" s="234"/>
      <c r="I55" s="236"/>
      <c r="J55" s="9"/>
    </row>
    <row r="56" ht="14.25" customHeight="1">
      <c r="A56" s="234"/>
      <c r="B56" s="260"/>
      <c r="C56" s="261"/>
      <c r="D56" s="261"/>
      <c r="E56" s="234"/>
      <c r="F56" s="234"/>
      <c r="G56" s="234"/>
      <c r="H56" s="234"/>
      <c r="I56" s="262"/>
      <c r="J56" s="263"/>
    </row>
    <row r="57" ht="14.25" customHeight="1">
      <c r="A57" s="234"/>
      <c r="B57" s="260"/>
      <c r="C57" s="261"/>
      <c r="D57" s="261"/>
      <c r="E57" s="234"/>
      <c r="F57" s="234"/>
      <c r="G57" s="234"/>
      <c r="H57" s="234"/>
      <c r="I57" s="262"/>
      <c r="J57" s="263"/>
    </row>
    <row r="58" ht="14.25" customHeight="1">
      <c r="A58" s="158" t="s">
        <v>26</v>
      </c>
      <c r="B58" s="159" t="s">
        <v>942</v>
      </c>
      <c r="C58" s="18"/>
      <c r="D58" s="20"/>
      <c r="E58" s="158">
        <v>3.0</v>
      </c>
      <c r="F58" s="158">
        <v>10.0</v>
      </c>
      <c r="G58" s="158"/>
      <c r="H58" s="158"/>
      <c r="I58" s="160"/>
      <c r="J58" s="9"/>
    </row>
    <row r="59" ht="14.25" customHeight="1">
      <c r="A59" s="158" t="s">
        <v>29</v>
      </c>
      <c r="B59" s="159" t="s">
        <v>943</v>
      </c>
      <c r="C59" s="18"/>
      <c r="D59" s="20"/>
      <c r="E59" s="158">
        <v>3.0</v>
      </c>
      <c r="F59" s="158">
        <v>10.0</v>
      </c>
      <c r="G59" s="158"/>
      <c r="H59" s="158"/>
      <c r="I59" s="160"/>
      <c r="J59" s="9"/>
    </row>
    <row r="60" ht="14.25" customHeight="1">
      <c r="A60" s="15"/>
      <c r="B60" s="257"/>
      <c r="C60" s="258"/>
      <c r="D60" s="258"/>
      <c r="E60" s="15"/>
      <c r="F60" s="15"/>
      <c r="G60" s="15"/>
      <c r="H60" s="15"/>
      <c r="I60" s="217"/>
      <c r="J60" s="218"/>
    </row>
    <row r="61" ht="14.25" customHeight="1">
      <c r="A61" s="15"/>
      <c r="B61" s="257"/>
      <c r="C61" s="258"/>
      <c r="D61" s="258"/>
      <c r="E61" s="15"/>
      <c r="F61" s="15"/>
      <c r="G61" s="15"/>
      <c r="H61" s="15"/>
      <c r="I61" s="217"/>
      <c r="J61" s="218"/>
    </row>
    <row r="62" ht="14.25" customHeight="1">
      <c r="A62" s="15"/>
      <c r="B62" s="257"/>
      <c r="C62" s="258"/>
      <c r="D62" s="258"/>
      <c r="E62" s="15"/>
      <c r="F62" s="15"/>
      <c r="G62" s="15"/>
      <c r="H62" s="15"/>
      <c r="I62" s="217"/>
      <c r="J62" s="218"/>
    </row>
    <row r="63" ht="14.25" customHeight="1">
      <c r="A63" s="15"/>
      <c r="B63" s="257"/>
      <c r="C63" s="258"/>
      <c r="D63" s="258"/>
      <c r="E63" s="15"/>
      <c r="F63" s="15"/>
      <c r="G63" s="15"/>
      <c r="H63" s="15"/>
      <c r="I63" s="217"/>
      <c r="J63" s="218"/>
    </row>
    <row r="64" ht="14.25" customHeight="1">
      <c r="A64" s="111" t="s">
        <v>31</v>
      </c>
      <c r="B64" s="110" t="s">
        <v>945</v>
      </c>
      <c r="C64" s="18"/>
      <c r="D64" s="20"/>
      <c r="E64" s="111">
        <v>3.0</v>
      </c>
      <c r="F64" s="111">
        <v>10.0</v>
      </c>
      <c r="G64" s="111"/>
      <c r="H64" s="111"/>
      <c r="I64" s="171"/>
      <c r="J64" s="9"/>
    </row>
    <row r="65" ht="14.25" customHeight="1">
      <c r="A65" s="111" t="s">
        <v>32</v>
      </c>
      <c r="B65" s="140" t="s">
        <v>947</v>
      </c>
      <c r="C65" s="8"/>
      <c r="D65" s="9"/>
      <c r="E65" s="111">
        <v>4.0</v>
      </c>
      <c r="F65" s="111">
        <v>10.0</v>
      </c>
      <c r="G65" s="111"/>
      <c r="H65" s="111"/>
      <c r="I65" s="171" t="s">
        <v>948</v>
      </c>
      <c r="J65" s="9"/>
    </row>
    <row r="66" ht="14.25" customHeight="1">
      <c r="B66" s="26"/>
      <c r="C66" s="29"/>
      <c r="D66" s="29"/>
    </row>
    <row r="67" ht="14.25" customHeight="1"/>
    <row r="68" ht="14.25" customHeight="1">
      <c r="A68" s="2" t="s">
        <v>66</v>
      </c>
      <c r="B68" s="3"/>
      <c r="C68" s="4"/>
      <c r="J68" s="1"/>
    </row>
    <row r="69" ht="14.25" customHeight="1">
      <c r="A69" s="6" t="s">
        <v>2</v>
      </c>
      <c r="B69" s="10" t="s">
        <v>4</v>
      </c>
      <c r="C69" s="8"/>
      <c r="D69" s="9"/>
      <c r="E69" s="6" t="s">
        <v>5</v>
      </c>
      <c r="F69" s="6" t="s">
        <v>6</v>
      </c>
      <c r="G69" s="6" t="s">
        <v>7</v>
      </c>
      <c r="H69" s="6" t="s">
        <v>8</v>
      </c>
      <c r="I69" s="10" t="s">
        <v>9</v>
      </c>
      <c r="J69" s="9"/>
    </row>
    <row r="70" ht="14.25" customHeight="1">
      <c r="A70" s="68"/>
      <c r="B70" s="69"/>
      <c r="C70" s="18"/>
      <c r="D70" s="20"/>
      <c r="E70" s="68"/>
      <c r="F70" s="68"/>
      <c r="G70" s="68"/>
      <c r="H70" s="68"/>
      <c r="I70" s="71"/>
      <c r="J70" s="9"/>
    </row>
    <row r="71" ht="14.25" customHeight="1">
      <c r="A71" s="68"/>
      <c r="B71" s="69"/>
      <c r="C71" s="18"/>
      <c r="D71" s="20"/>
      <c r="E71" s="68"/>
      <c r="F71" s="68"/>
      <c r="G71" s="68"/>
      <c r="H71" s="68"/>
      <c r="I71" s="71"/>
      <c r="J71" s="9"/>
    </row>
    <row r="72" ht="14.25" customHeight="1">
      <c r="A72" s="68" t="s">
        <v>12</v>
      </c>
      <c r="B72" s="69" t="s">
        <v>329</v>
      </c>
      <c r="C72" s="18"/>
      <c r="D72" s="20"/>
      <c r="E72" s="68"/>
      <c r="F72" s="68">
        <v>10.0</v>
      </c>
      <c r="G72" s="68"/>
      <c r="H72" s="68"/>
      <c r="I72" s="71"/>
      <c r="J72" s="9"/>
    </row>
    <row r="73" ht="14.25" customHeight="1">
      <c r="A73" s="234" t="s">
        <v>31</v>
      </c>
      <c r="B73" s="237" t="s">
        <v>331</v>
      </c>
      <c r="C73" s="18"/>
      <c r="D73" s="20"/>
      <c r="E73" s="234"/>
      <c r="F73" s="234">
        <v>10.0</v>
      </c>
      <c r="G73" s="234"/>
      <c r="H73" s="234"/>
      <c r="I73" s="236"/>
      <c r="J73" s="9"/>
    </row>
    <row r="74" ht="14.25" customHeight="1">
      <c r="A74" s="234" t="s">
        <v>32</v>
      </c>
      <c r="B74" s="237" t="s">
        <v>333</v>
      </c>
      <c r="C74" s="18"/>
      <c r="D74" s="20"/>
      <c r="E74" s="234"/>
      <c r="F74" s="234" t="s">
        <v>278</v>
      </c>
      <c r="G74" s="234"/>
      <c r="H74" s="234"/>
      <c r="I74" s="236"/>
      <c r="J74" s="9"/>
    </row>
    <row r="75" ht="14.25" customHeight="1">
      <c r="A75" s="234" t="s">
        <v>26</v>
      </c>
      <c r="B75" s="237" t="s">
        <v>335</v>
      </c>
      <c r="C75" s="18"/>
      <c r="D75" s="20"/>
      <c r="E75" s="234"/>
      <c r="F75" s="234">
        <v>8.0</v>
      </c>
      <c r="G75" s="234"/>
      <c r="H75" s="234"/>
      <c r="I75" s="236"/>
      <c r="J75" s="9"/>
    </row>
    <row r="76" ht="14.25" customHeight="1">
      <c r="A76" s="234" t="s">
        <v>32</v>
      </c>
      <c r="B76" s="237" t="s">
        <v>338</v>
      </c>
      <c r="C76" s="18"/>
      <c r="D76" s="20"/>
      <c r="E76" s="234"/>
      <c r="F76" s="234">
        <v>8.0</v>
      </c>
      <c r="G76" s="234"/>
      <c r="H76" s="234"/>
      <c r="I76" s="236"/>
      <c r="J76" s="9"/>
    </row>
    <row r="77" ht="14.25" customHeight="1">
      <c r="A77" s="158" t="s">
        <v>26</v>
      </c>
      <c r="B77" s="159" t="s">
        <v>340</v>
      </c>
      <c r="C77" s="18"/>
      <c r="D77" s="20"/>
      <c r="E77" s="158"/>
      <c r="F77" s="158">
        <v>10.0</v>
      </c>
      <c r="G77" s="158"/>
      <c r="H77" s="158"/>
      <c r="I77" s="160"/>
      <c r="J77" s="9"/>
    </row>
    <row r="78" ht="14.25" customHeight="1">
      <c r="A78" s="158"/>
      <c r="B78" s="254"/>
      <c r="C78" s="255"/>
      <c r="D78" s="255"/>
      <c r="E78" s="158"/>
      <c r="F78" s="158"/>
      <c r="G78" s="158"/>
      <c r="H78" s="158"/>
      <c r="I78" s="169"/>
      <c r="J78" s="170"/>
    </row>
    <row r="79" ht="14.25" customHeight="1">
      <c r="A79" s="158"/>
      <c r="B79" s="254"/>
      <c r="C79" s="255"/>
      <c r="D79" s="255"/>
      <c r="E79" s="158"/>
      <c r="F79" s="158"/>
      <c r="G79" s="158"/>
      <c r="H79" s="158"/>
      <c r="I79" s="169"/>
      <c r="J79" s="170"/>
    </row>
    <row r="80" ht="14.25" customHeight="1">
      <c r="A80" s="15"/>
      <c r="B80" s="257"/>
      <c r="C80" s="258"/>
      <c r="D80" s="258"/>
      <c r="E80" s="15"/>
      <c r="F80" s="15"/>
      <c r="G80" s="15"/>
      <c r="H80" s="15"/>
      <c r="I80" s="217"/>
      <c r="J80" s="218"/>
    </row>
    <row r="81" ht="14.25" customHeight="1">
      <c r="A81" s="15"/>
      <c r="B81" s="257"/>
      <c r="C81" s="258"/>
      <c r="D81" s="258"/>
      <c r="E81" s="15"/>
      <c r="F81" s="15"/>
      <c r="G81" s="15"/>
      <c r="H81" s="15"/>
      <c r="I81" s="217"/>
      <c r="J81" s="218"/>
    </row>
    <row r="82" ht="14.25" customHeight="1">
      <c r="A82" s="15" t="s">
        <v>28</v>
      </c>
      <c r="B82" s="17" t="s">
        <v>341</v>
      </c>
      <c r="C82" s="18"/>
      <c r="D82" s="20"/>
      <c r="E82" s="15"/>
      <c r="F82" s="15"/>
      <c r="G82" s="15"/>
      <c r="H82" s="15"/>
      <c r="I82" s="23"/>
      <c r="J82" s="9"/>
    </row>
    <row r="83" ht="14.25" customHeight="1">
      <c r="A83" s="15" t="s">
        <v>33</v>
      </c>
      <c r="B83" s="61" t="s">
        <v>342</v>
      </c>
      <c r="C83" s="8"/>
      <c r="D83" s="9"/>
      <c r="E83" s="15"/>
      <c r="F83" s="15">
        <v>10.0</v>
      </c>
      <c r="G83" s="15"/>
      <c r="H83" s="15"/>
      <c r="I83" s="23"/>
      <c r="J83" s="9"/>
    </row>
    <row r="84" ht="14.25" customHeight="1">
      <c r="B84" s="26"/>
      <c r="C84" s="29"/>
      <c r="D84" s="29"/>
    </row>
    <row r="85" ht="14.25" customHeight="1"/>
    <row r="86" ht="14.25" customHeight="1">
      <c r="A86" s="2" t="s">
        <v>76</v>
      </c>
      <c r="B86" s="3"/>
      <c r="C86" s="4"/>
      <c r="J86" s="1"/>
    </row>
    <row r="87" ht="14.25" customHeight="1">
      <c r="A87" s="6" t="s">
        <v>2</v>
      </c>
      <c r="B87" s="10" t="s">
        <v>4</v>
      </c>
      <c r="C87" s="8"/>
      <c r="D87" s="9"/>
      <c r="E87" s="6" t="s">
        <v>5</v>
      </c>
      <c r="F87" s="6" t="s">
        <v>6</v>
      </c>
      <c r="G87" s="6" t="s">
        <v>7</v>
      </c>
      <c r="H87" s="6" t="s">
        <v>8</v>
      </c>
      <c r="I87" s="10" t="s">
        <v>9</v>
      </c>
      <c r="J87" s="9"/>
    </row>
    <row r="88" ht="14.25" customHeight="1">
      <c r="A88" s="109"/>
      <c r="B88" s="108"/>
      <c r="C88" s="18"/>
      <c r="D88" s="20"/>
      <c r="E88" s="109"/>
      <c r="F88" s="109"/>
      <c r="G88" s="109"/>
      <c r="H88" s="109"/>
      <c r="I88" s="139"/>
      <c r="J88" s="9"/>
    </row>
    <row r="89" ht="14.25" customHeight="1">
      <c r="A89" s="109"/>
      <c r="B89" s="108"/>
      <c r="C89" s="18"/>
      <c r="D89" s="20"/>
      <c r="E89" s="109"/>
      <c r="F89" s="109"/>
      <c r="G89" s="109"/>
      <c r="H89" s="109"/>
      <c r="I89" s="139"/>
      <c r="J89" s="9"/>
    </row>
    <row r="90" ht="14.25" customHeight="1">
      <c r="A90" s="109"/>
      <c r="B90" s="108"/>
      <c r="C90" s="18"/>
      <c r="D90" s="20"/>
      <c r="E90" s="109"/>
      <c r="F90" s="109"/>
      <c r="G90" s="109"/>
      <c r="H90" s="109"/>
      <c r="I90" s="139"/>
      <c r="J90" s="9"/>
    </row>
    <row r="91" ht="14.25" customHeight="1">
      <c r="A91" s="234"/>
      <c r="B91" s="237"/>
      <c r="C91" s="18"/>
      <c r="D91" s="20"/>
      <c r="E91" s="234"/>
      <c r="F91" s="234"/>
      <c r="G91" s="234"/>
      <c r="H91" s="234"/>
      <c r="I91" s="236"/>
      <c r="J91" s="9"/>
    </row>
    <row r="92" ht="14.25" customHeight="1">
      <c r="A92" s="234"/>
      <c r="B92" s="237"/>
      <c r="C92" s="18"/>
      <c r="D92" s="20"/>
      <c r="E92" s="234"/>
      <c r="F92" s="234"/>
      <c r="G92" s="234"/>
      <c r="H92" s="234"/>
      <c r="I92" s="236"/>
      <c r="J92" s="9"/>
    </row>
    <row r="93" ht="14.25" customHeight="1">
      <c r="A93" s="234"/>
      <c r="B93" s="237"/>
      <c r="C93" s="18"/>
      <c r="D93" s="20"/>
      <c r="E93" s="234"/>
      <c r="F93" s="234"/>
      <c r="G93" s="234"/>
      <c r="H93" s="234"/>
      <c r="I93" s="236"/>
      <c r="J93" s="9"/>
    </row>
    <row r="94" ht="14.25" customHeight="1">
      <c r="A94" s="234"/>
      <c r="B94" s="237"/>
      <c r="C94" s="18"/>
      <c r="D94" s="20"/>
      <c r="E94" s="234"/>
      <c r="F94" s="234"/>
      <c r="G94" s="234"/>
      <c r="H94" s="234"/>
      <c r="I94" s="236"/>
      <c r="J94" s="9"/>
    </row>
    <row r="95" ht="14.25" customHeight="1">
      <c r="A95" s="158"/>
      <c r="B95" s="159"/>
      <c r="C95" s="18"/>
      <c r="D95" s="20"/>
      <c r="E95" s="158"/>
      <c r="F95" s="158"/>
      <c r="G95" s="158"/>
      <c r="H95" s="158"/>
      <c r="I95" s="160"/>
      <c r="J95" s="9"/>
    </row>
    <row r="96" ht="14.25" customHeight="1">
      <c r="A96" s="158"/>
      <c r="B96" s="254"/>
      <c r="C96" s="255"/>
      <c r="D96" s="255"/>
      <c r="E96" s="158"/>
      <c r="F96" s="158"/>
      <c r="G96" s="158"/>
      <c r="H96" s="158"/>
      <c r="I96" s="169"/>
      <c r="J96" s="170"/>
    </row>
    <row r="97" ht="14.25" customHeight="1">
      <c r="A97" s="15"/>
      <c r="B97" s="257"/>
      <c r="C97" s="258"/>
      <c r="D97" s="258"/>
      <c r="E97" s="15"/>
      <c r="F97" s="15"/>
      <c r="G97" s="15"/>
      <c r="H97" s="15"/>
      <c r="I97" s="217"/>
      <c r="J97" s="218"/>
    </row>
    <row r="98" ht="14.25" customHeight="1">
      <c r="A98" s="15"/>
      <c r="B98" s="257"/>
      <c r="C98" s="258"/>
      <c r="D98" s="258"/>
      <c r="E98" s="15"/>
      <c r="F98" s="15"/>
      <c r="G98" s="15"/>
      <c r="H98" s="15"/>
      <c r="I98" s="217"/>
      <c r="J98" s="218"/>
    </row>
    <row r="99" ht="14.25" customHeight="1">
      <c r="A99" s="15"/>
      <c r="B99" s="257"/>
      <c r="C99" s="258"/>
      <c r="D99" s="258"/>
      <c r="E99" s="15"/>
      <c r="F99" s="15"/>
      <c r="G99" s="15"/>
      <c r="H99" s="15"/>
      <c r="I99" s="217"/>
      <c r="J99" s="218"/>
    </row>
    <row r="100" ht="14.25" customHeight="1">
      <c r="A100" s="111"/>
      <c r="B100" s="110"/>
      <c r="C100" s="18"/>
      <c r="D100" s="20"/>
      <c r="E100" s="111"/>
      <c r="F100" s="111"/>
      <c r="G100" s="111"/>
      <c r="H100" s="111"/>
      <c r="I100" s="171"/>
      <c r="J100" s="9"/>
    </row>
    <row r="101" ht="14.25" customHeight="1">
      <c r="A101" s="111"/>
      <c r="B101" s="140"/>
      <c r="C101" s="8"/>
      <c r="D101" s="9"/>
      <c r="E101" s="111"/>
      <c r="F101" s="111"/>
      <c r="G101" s="111"/>
      <c r="H101" s="111"/>
      <c r="I101" s="171"/>
      <c r="J101" s="9"/>
    </row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>
      <c r="A108" s="2" t="s">
        <v>45</v>
      </c>
      <c r="B108" s="3"/>
      <c r="C108" s="4"/>
      <c r="J108" s="1"/>
    </row>
    <row r="109" ht="14.25" customHeight="1">
      <c r="A109" s="5" t="s">
        <v>2</v>
      </c>
      <c r="B109" s="7" t="s">
        <v>4</v>
      </c>
      <c r="C109" s="8"/>
      <c r="D109" s="9"/>
      <c r="E109" s="5" t="s">
        <v>5</v>
      </c>
      <c r="F109" s="5" t="s">
        <v>6</v>
      </c>
      <c r="G109" s="5" t="s">
        <v>7</v>
      </c>
      <c r="H109" s="5" t="s">
        <v>8</v>
      </c>
      <c r="I109" s="7" t="s">
        <v>9</v>
      </c>
      <c r="J109" s="9"/>
    </row>
    <row r="110" ht="14.25" customHeight="1">
      <c r="A110" s="53" t="s">
        <v>12</v>
      </c>
      <c r="B110" s="233" t="s">
        <v>961</v>
      </c>
      <c r="C110" s="18"/>
      <c r="D110" s="20"/>
      <c r="E110" s="53">
        <v>2.0</v>
      </c>
      <c r="F110" s="53">
        <v>10.0</v>
      </c>
      <c r="G110" s="53"/>
      <c r="H110" s="53"/>
      <c r="I110" s="55"/>
      <c r="J110" s="9"/>
    </row>
    <row r="111" ht="14.25" customHeight="1">
      <c r="A111" s="53" t="s">
        <v>12</v>
      </c>
      <c r="B111" s="54"/>
      <c r="C111" s="18"/>
      <c r="D111" s="20"/>
      <c r="E111" s="53">
        <v>3.0</v>
      </c>
      <c r="F111" s="53">
        <v>12.0</v>
      </c>
      <c r="G111" s="53"/>
      <c r="H111" s="53"/>
      <c r="I111" s="55"/>
      <c r="J111" s="9"/>
    </row>
    <row r="112" ht="14.25" customHeight="1">
      <c r="A112" s="53" t="s">
        <v>12</v>
      </c>
      <c r="B112" s="54"/>
      <c r="C112" s="18"/>
      <c r="D112" s="20"/>
      <c r="E112" s="53">
        <v>3.0</v>
      </c>
      <c r="F112" s="53" t="s">
        <v>71</v>
      </c>
      <c r="G112" s="53"/>
      <c r="H112" s="53"/>
      <c r="I112" s="55"/>
      <c r="J112" s="9"/>
    </row>
    <row r="113" ht="14.25" customHeight="1">
      <c r="A113" s="234"/>
      <c r="B113" s="235" t="s">
        <v>966</v>
      </c>
      <c r="C113" s="18"/>
      <c r="D113" s="20"/>
      <c r="E113" s="234">
        <v>4.0</v>
      </c>
      <c r="F113" s="234" t="s">
        <v>864</v>
      </c>
      <c r="G113" s="234">
        <v>8.0</v>
      </c>
      <c r="H113" s="234" t="s">
        <v>55</v>
      </c>
      <c r="I113" s="236" t="s">
        <v>859</v>
      </c>
      <c r="J113" s="9"/>
    </row>
    <row r="114" ht="14.25" customHeight="1">
      <c r="A114" s="234" t="s">
        <v>27</v>
      </c>
      <c r="B114" s="237"/>
      <c r="C114" s="18"/>
      <c r="D114" s="20"/>
      <c r="E114" s="234">
        <v>20.0</v>
      </c>
      <c r="F114" s="234">
        <v>10.0</v>
      </c>
      <c r="G114" s="234"/>
      <c r="H114" s="234"/>
      <c r="I114" s="236"/>
      <c r="J114" s="9"/>
    </row>
    <row r="115" ht="14.25" customHeight="1">
      <c r="A115" s="234"/>
      <c r="B115" s="237"/>
      <c r="C115" s="18"/>
      <c r="D115" s="20"/>
      <c r="E115" s="234">
        <v>3.0</v>
      </c>
      <c r="F115" s="234">
        <v>10.0</v>
      </c>
      <c r="G115" s="234"/>
      <c r="H115" s="234"/>
      <c r="I115" s="236"/>
      <c r="J115" s="9"/>
    </row>
    <row r="116" ht="14.25" customHeight="1">
      <c r="A116" s="234"/>
      <c r="B116" s="237"/>
      <c r="C116" s="18"/>
      <c r="D116" s="20"/>
      <c r="E116" s="234">
        <v>3.0</v>
      </c>
      <c r="F116" s="234" t="s">
        <v>455</v>
      </c>
      <c r="G116" s="234"/>
      <c r="H116" s="234"/>
      <c r="I116" s="236"/>
      <c r="J116" s="9"/>
    </row>
    <row r="117" ht="14.25" customHeight="1">
      <c r="A117" s="107"/>
      <c r="B117" s="239" t="s">
        <v>974</v>
      </c>
      <c r="C117" s="18"/>
      <c r="D117" s="20"/>
      <c r="E117" s="107">
        <v>4.0</v>
      </c>
      <c r="F117" s="107">
        <v>12.0</v>
      </c>
      <c r="G117" s="107"/>
      <c r="H117" s="107"/>
      <c r="I117" s="152"/>
      <c r="J117" s="9"/>
    </row>
    <row r="118" ht="14.25" customHeight="1">
      <c r="A118" s="107"/>
      <c r="B118" s="155"/>
      <c r="C118" s="8"/>
      <c r="D118" s="9"/>
      <c r="E118" s="107"/>
      <c r="F118" s="107"/>
      <c r="G118" s="107"/>
      <c r="H118" s="107"/>
      <c r="I118" s="156"/>
      <c r="J118" s="157"/>
    </row>
    <row r="119" ht="14.25" customHeight="1">
      <c r="A119" s="107"/>
      <c r="B119" s="155"/>
      <c r="C119" s="8"/>
      <c r="D119" s="9"/>
      <c r="E119" s="107"/>
      <c r="F119" s="107"/>
      <c r="G119" s="107"/>
      <c r="H119" s="107"/>
      <c r="I119" s="156"/>
      <c r="J119" s="157"/>
    </row>
    <row r="120" ht="14.25" customHeight="1">
      <c r="A120" s="109"/>
      <c r="B120" s="240" t="s">
        <v>975</v>
      </c>
      <c r="C120" s="8"/>
      <c r="D120" s="9"/>
      <c r="E120" s="109"/>
      <c r="F120" s="109"/>
      <c r="G120" s="109"/>
      <c r="H120" s="109"/>
      <c r="I120" s="241"/>
      <c r="J120" s="242"/>
    </row>
    <row r="121" ht="14.25" customHeight="1">
      <c r="A121" s="109"/>
      <c r="B121" s="243"/>
      <c r="C121" s="8"/>
      <c r="D121" s="9"/>
      <c r="E121" s="109"/>
      <c r="F121" s="109"/>
      <c r="G121" s="109"/>
      <c r="H121" s="109"/>
      <c r="I121" s="241"/>
      <c r="J121" s="242"/>
    </row>
    <row r="122" ht="14.25" customHeight="1">
      <c r="A122" s="15"/>
      <c r="B122" s="244" t="s">
        <v>977</v>
      </c>
      <c r="C122" s="8"/>
      <c r="D122" s="9"/>
      <c r="E122" s="15"/>
      <c r="F122" s="15"/>
      <c r="G122" s="15"/>
      <c r="H122" s="15"/>
      <c r="I122" s="217"/>
      <c r="J122" s="218"/>
    </row>
    <row r="123" ht="14.25" customHeight="1">
      <c r="A123" s="15"/>
      <c r="B123" s="61"/>
      <c r="C123" s="8"/>
      <c r="D123" s="9"/>
      <c r="E123" s="15"/>
      <c r="F123" s="15"/>
      <c r="G123" s="15"/>
      <c r="H123" s="15"/>
      <c r="I123" s="217"/>
      <c r="J123" s="218"/>
    </row>
    <row r="124" ht="14.25" customHeight="1">
      <c r="A124" s="15"/>
      <c r="B124" s="61"/>
      <c r="C124" s="8"/>
      <c r="D124" s="9"/>
      <c r="E124" s="15"/>
      <c r="F124" s="15"/>
      <c r="G124" s="15"/>
      <c r="H124" s="15"/>
      <c r="I124" s="217"/>
      <c r="J124" s="218"/>
    </row>
    <row r="125" ht="14.25" customHeight="1">
      <c r="A125" s="15"/>
      <c r="B125" s="257"/>
      <c r="C125" s="257"/>
      <c r="D125" s="257"/>
      <c r="E125" s="15"/>
      <c r="F125" s="15"/>
      <c r="G125" s="15"/>
      <c r="H125" s="15"/>
      <c r="I125" s="217"/>
      <c r="J125" s="218"/>
    </row>
    <row r="126" ht="14.25" customHeight="1">
      <c r="A126" s="83"/>
      <c r="B126" s="246" t="s">
        <v>980</v>
      </c>
      <c r="C126" s="8"/>
      <c r="D126" s="9"/>
      <c r="E126" s="83"/>
      <c r="F126" s="83"/>
      <c r="G126" s="83"/>
      <c r="H126" s="83"/>
      <c r="I126" s="229"/>
      <c r="J126" s="224"/>
    </row>
    <row r="127" ht="14.25" customHeight="1">
      <c r="A127" s="83"/>
      <c r="B127" s="85"/>
      <c r="C127" s="18"/>
      <c r="D127" s="20"/>
      <c r="E127" s="83"/>
      <c r="F127" s="83"/>
      <c r="G127" s="83"/>
      <c r="H127" s="83"/>
      <c r="I127" s="86"/>
      <c r="J127" s="9"/>
    </row>
    <row r="128" ht="14.25" customHeight="1">
      <c r="A128" s="83"/>
      <c r="B128" s="85"/>
      <c r="C128" s="18"/>
      <c r="D128" s="20"/>
      <c r="E128" s="83"/>
      <c r="F128" s="83"/>
      <c r="G128" s="83"/>
      <c r="H128" s="83"/>
      <c r="I128" s="86"/>
      <c r="J128" s="9"/>
    </row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7">
    <mergeCell ref="I11:J11"/>
    <mergeCell ref="I13:J13"/>
    <mergeCell ref="I25:J25"/>
    <mergeCell ref="I26:J26"/>
    <mergeCell ref="I30:J30"/>
    <mergeCell ref="I31:J31"/>
    <mergeCell ref="I32:J32"/>
    <mergeCell ref="I45:J45"/>
    <mergeCell ref="I49:J49"/>
    <mergeCell ref="I50:J50"/>
    <mergeCell ref="I51:J51"/>
    <mergeCell ref="I52:J52"/>
    <mergeCell ref="I53:J53"/>
    <mergeCell ref="I54:J54"/>
    <mergeCell ref="I55:J55"/>
    <mergeCell ref="I58:J58"/>
    <mergeCell ref="I59:J59"/>
    <mergeCell ref="I64:J64"/>
    <mergeCell ref="I65:J65"/>
    <mergeCell ref="I69:J69"/>
    <mergeCell ref="I70:J70"/>
    <mergeCell ref="I71:J71"/>
    <mergeCell ref="I72:J72"/>
    <mergeCell ref="I73:J73"/>
    <mergeCell ref="I74:J74"/>
    <mergeCell ref="I75:J75"/>
    <mergeCell ref="I76:J76"/>
    <mergeCell ref="I77:J77"/>
    <mergeCell ref="I82:J82"/>
    <mergeCell ref="I83:J83"/>
    <mergeCell ref="I87:J87"/>
    <mergeCell ref="I88:J88"/>
    <mergeCell ref="I89:J89"/>
    <mergeCell ref="I90:J90"/>
    <mergeCell ref="I91:J91"/>
    <mergeCell ref="I92:J92"/>
    <mergeCell ref="I93:J93"/>
    <mergeCell ref="I94:J94"/>
    <mergeCell ref="I95:J95"/>
    <mergeCell ref="I100:J100"/>
    <mergeCell ref="I101:J101"/>
    <mergeCell ref="I109:J109"/>
    <mergeCell ref="I117:J117"/>
    <mergeCell ref="I127:J127"/>
    <mergeCell ref="I128:J128"/>
    <mergeCell ref="I110:J110"/>
    <mergeCell ref="I111:J111"/>
    <mergeCell ref="I112:J112"/>
    <mergeCell ref="I113:J113"/>
    <mergeCell ref="I114:J114"/>
    <mergeCell ref="I115:J115"/>
    <mergeCell ref="I116:J116"/>
    <mergeCell ref="A6:C6"/>
    <mergeCell ref="B7:D7"/>
    <mergeCell ref="I7:J7"/>
    <mergeCell ref="M7:W7"/>
    <mergeCell ref="Z7:AB7"/>
    <mergeCell ref="B8:D8"/>
    <mergeCell ref="B9:D9"/>
    <mergeCell ref="I12:J12"/>
    <mergeCell ref="M12:W12"/>
    <mergeCell ref="I8:J8"/>
    <mergeCell ref="I9:J9"/>
    <mergeCell ref="B10:D10"/>
    <mergeCell ref="I10:J10"/>
    <mergeCell ref="B11:D11"/>
    <mergeCell ref="B12:D12"/>
    <mergeCell ref="B13:D13"/>
    <mergeCell ref="B14:D14"/>
    <mergeCell ref="I14:J14"/>
    <mergeCell ref="B15:D15"/>
    <mergeCell ref="I15:J15"/>
    <mergeCell ref="B16:D16"/>
    <mergeCell ref="B17:D17"/>
    <mergeCell ref="B18:D18"/>
    <mergeCell ref="B26:D26"/>
    <mergeCell ref="M26:W26"/>
    <mergeCell ref="B27:D27"/>
    <mergeCell ref="A29:C29"/>
    <mergeCell ref="B30:D30"/>
    <mergeCell ref="B31:D31"/>
    <mergeCell ref="M31:W31"/>
    <mergeCell ref="I34:J34"/>
    <mergeCell ref="I35:J35"/>
    <mergeCell ref="I36:J36"/>
    <mergeCell ref="I40:J40"/>
    <mergeCell ref="M40:W40"/>
    <mergeCell ref="I41:J41"/>
    <mergeCell ref="I42:J42"/>
    <mergeCell ref="I43:J43"/>
    <mergeCell ref="B90:D90"/>
    <mergeCell ref="B91:D91"/>
    <mergeCell ref="B92:D92"/>
    <mergeCell ref="B93:D93"/>
    <mergeCell ref="B94:D94"/>
    <mergeCell ref="B95:D95"/>
    <mergeCell ref="B100:D100"/>
    <mergeCell ref="B101:D101"/>
    <mergeCell ref="A108:C108"/>
    <mergeCell ref="B109:D109"/>
    <mergeCell ref="B110:D110"/>
    <mergeCell ref="B111:D111"/>
    <mergeCell ref="B112:D112"/>
    <mergeCell ref="B113:D113"/>
    <mergeCell ref="B121:D121"/>
    <mergeCell ref="B122:D122"/>
    <mergeCell ref="B123:D123"/>
    <mergeCell ref="B124:D124"/>
    <mergeCell ref="B126:D126"/>
    <mergeCell ref="B127:D127"/>
    <mergeCell ref="B128:D128"/>
    <mergeCell ref="B114:D114"/>
    <mergeCell ref="B115:D115"/>
    <mergeCell ref="B116:D116"/>
    <mergeCell ref="B117:D117"/>
    <mergeCell ref="B118:D118"/>
    <mergeCell ref="B119:D119"/>
    <mergeCell ref="B120:D120"/>
    <mergeCell ref="B19:D19"/>
    <mergeCell ref="B20:D20"/>
    <mergeCell ref="B21:D21"/>
    <mergeCell ref="B22:D22"/>
    <mergeCell ref="B23:D23"/>
    <mergeCell ref="B24:D24"/>
    <mergeCell ref="B25:D25"/>
    <mergeCell ref="B32:D32"/>
    <mergeCell ref="B33:D33"/>
    <mergeCell ref="B34:D34"/>
    <mergeCell ref="B35:D35"/>
    <mergeCell ref="B36:D36"/>
    <mergeCell ref="B40:D40"/>
    <mergeCell ref="B41:D41"/>
    <mergeCell ref="B42:D42"/>
    <mergeCell ref="B43:D43"/>
    <mergeCell ref="B44:D44"/>
    <mergeCell ref="B45:D45"/>
    <mergeCell ref="B46:D46"/>
    <mergeCell ref="A48:C48"/>
    <mergeCell ref="B49:D49"/>
    <mergeCell ref="B50:D50"/>
    <mergeCell ref="B51:D51"/>
    <mergeCell ref="B52:D52"/>
    <mergeCell ref="B53:D53"/>
    <mergeCell ref="B54:D54"/>
    <mergeCell ref="B55:D55"/>
    <mergeCell ref="B58:D58"/>
    <mergeCell ref="B59:D59"/>
    <mergeCell ref="B64:D64"/>
    <mergeCell ref="B65:D65"/>
    <mergeCell ref="B66:D66"/>
    <mergeCell ref="A68:C68"/>
    <mergeCell ref="B69:D69"/>
    <mergeCell ref="B70:D70"/>
    <mergeCell ref="B71:D71"/>
    <mergeCell ref="B72:D72"/>
    <mergeCell ref="B73:D73"/>
    <mergeCell ref="B74:D74"/>
    <mergeCell ref="B75:D75"/>
    <mergeCell ref="B76:D76"/>
    <mergeCell ref="B77:D77"/>
    <mergeCell ref="B82:D82"/>
    <mergeCell ref="B83:D83"/>
    <mergeCell ref="B84:D84"/>
    <mergeCell ref="A86:C86"/>
    <mergeCell ref="B87:D87"/>
    <mergeCell ref="B88:D88"/>
    <mergeCell ref="B89:D89"/>
  </mergeCells>
  <dataValidations>
    <dataValidation type="list" allowBlank="1" showErrorMessage="1" sqref="A8:A26 A31:A45 A50:A65 A70:A83 A88:A101 A110:A128">
      <formula1>Datos!$D$2:$D$11</formula1>
    </dataValidation>
    <dataValidation type="list" allowBlank="1" showErrorMessage="1" sqref="J5">
      <formula1>Datos!$B$2:$B$12</formula1>
    </dataValidation>
    <dataValidation type="list" allowBlank="1" showErrorMessage="1" sqref="J6 J29 J48 J68 J86 J108">
      <formula1>Datos!$D$2:$D$14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7" width="10.71"/>
  </cols>
  <sheetData>
    <row r="1" ht="14.25" customHeight="1"/>
    <row r="2" ht="14.25" customHeight="1"/>
    <row r="3" ht="14.25" customHeight="1">
      <c r="J3" s="1"/>
    </row>
    <row r="4" ht="14.25" customHeight="1">
      <c r="A4" s="2" t="s">
        <v>0</v>
      </c>
      <c r="B4" s="3"/>
      <c r="C4" s="4"/>
      <c r="J4" s="1"/>
      <c r="X4" s="1"/>
      <c r="Y4" s="1"/>
      <c r="Z4" s="1"/>
      <c r="AA4" s="1"/>
    </row>
    <row r="5" ht="14.25" customHeight="1">
      <c r="A5" s="6" t="s">
        <v>3</v>
      </c>
      <c r="B5" s="10" t="s">
        <v>4</v>
      </c>
      <c r="C5" s="8"/>
      <c r="D5" s="9"/>
      <c r="E5" s="6" t="s">
        <v>5</v>
      </c>
      <c r="F5" s="6" t="s">
        <v>6</v>
      </c>
      <c r="G5" s="6" t="s">
        <v>7</v>
      </c>
      <c r="H5" s="6" t="s">
        <v>8</v>
      </c>
      <c r="I5" s="10" t="s">
        <v>9</v>
      </c>
      <c r="J5" s="9"/>
      <c r="M5" s="11" t="s">
        <v>0</v>
      </c>
      <c r="N5" s="12"/>
      <c r="O5" s="12"/>
      <c r="P5" s="12"/>
      <c r="Q5" s="12"/>
      <c r="R5" s="12"/>
      <c r="S5" s="12"/>
      <c r="T5" s="12"/>
      <c r="U5" s="13"/>
      <c r="W5" s="14" t="s">
        <v>11</v>
      </c>
      <c r="X5" s="12"/>
      <c r="Y5" s="13"/>
      <c r="AA5" s="1"/>
    </row>
    <row r="6" ht="14.25" customHeight="1">
      <c r="A6" s="111"/>
      <c r="B6" s="110"/>
      <c r="C6" s="18"/>
      <c r="D6" s="20"/>
      <c r="E6" s="111"/>
      <c r="F6" s="111"/>
      <c r="G6" s="111"/>
      <c r="H6" s="245"/>
      <c r="I6" s="171" t="s">
        <v>961</v>
      </c>
      <c r="J6" s="9"/>
      <c r="M6" s="25"/>
      <c r="N6" s="28" t="s">
        <v>17</v>
      </c>
      <c r="O6" s="28" t="s">
        <v>19</v>
      </c>
      <c r="P6" s="28" t="s">
        <v>20</v>
      </c>
      <c r="Q6" s="28" t="s">
        <v>21</v>
      </c>
      <c r="R6" s="28" t="s">
        <v>22</v>
      </c>
      <c r="S6" s="28" t="s">
        <v>23</v>
      </c>
      <c r="T6" s="28" t="s">
        <v>24</v>
      </c>
      <c r="U6" s="28" t="s">
        <v>25</v>
      </c>
      <c r="W6" s="28" t="s">
        <v>17</v>
      </c>
      <c r="X6" s="1">
        <f>SUM(N7,N12,N21,N26,N31)</f>
        <v>0</v>
      </c>
      <c r="AA6" s="1"/>
    </row>
    <row r="7" ht="14.25" customHeight="1">
      <c r="A7" s="111"/>
      <c r="B7" s="110"/>
      <c r="C7" s="18"/>
      <c r="D7" s="20"/>
      <c r="E7" s="111"/>
      <c r="F7" s="111"/>
      <c r="G7" s="111"/>
      <c r="H7" s="245"/>
      <c r="I7" s="171"/>
      <c r="J7" s="9"/>
      <c r="M7" s="34" t="s">
        <v>36</v>
      </c>
      <c r="N7" s="35">
        <f>SUMIF(A6:A19,"Empuje",E6:E19)</f>
        <v>0</v>
      </c>
      <c r="O7" s="35">
        <f>SUMIF(A6:A19,"Tracción",E6:E19)</f>
        <v>0</v>
      </c>
      <c r="P7" s="35">
        <f>SUMIF($A6:$A19,"Dom. Rodillas",$E6:$E19)</f>
        <v>0</v>
      </c>
      <c r="Q7" s="35">
        <f>SUMIF($A6:$A19,"Dom. Caderas",$E6:$E19)</f>
        <v>0</v>
      </c>
      <c r="R7" s="35">
        <f>SUMIF($A6:$A19,"A. Empuje",$E6:$E19)</f>
        <v>0</v>
      </c>
      <c r="S7" s="36">
        <f>SUMIF(A6:A19,"A. Tracción",E6:E19)</f>
        <v>0</v>
      </c>
      <c r="T7" s="35">
        <f>SUMIF($A6:$A19,"A. Rodillas",$E6:$E19)</f>
        <v>0</v>
      </c>
      <c r="U7" s="35">
        <f>SUMIF($A6:$A19,"A. Cadera",$E6:$E19)</f>
        <v>0</v>
      </c>
      <c r="W7" s="28" t="s">
        <v>19</v>
      </c>
      <c r="X7" s="1">
        <f>SUM(O7,O12,O21,O26,O31)</f>
        <v>0</v>
      </c>
      <c r="AA7" s="1"/>
    </row>
    <row r="8" ht="14.25" customHeight="1">
      <c r="A8" s="111"/>
      <c r="B8" s="110"/>
      <c r="C8" s="18"/>
      <c r="D8" s="20"/>
      <c r="E8" s="111"/>
      <c r="F8" s="111"/>
      <c r="G8" s="111"/>
      <c r="H8" s="245"/>
      <c r="I8" s="171"/>
      <c r="J8" s="9"/>
      <c r="M8" s="34" t="s">
        <v>7</v>
      </c>
      <c r="N8" s="35" t="str">
        <f>AVERAGEIF($A6:$A19,"Empuje",$G6:$G19)</f>
        <v>#DIV/0!</v>
      </c>
      <c r="O8" s="35" t="str">
        <f>AVERAGEIF($A6:$A19,"Traccion",$G6:$G19)</f>
        <v>#DIV/0!</v>
      </c>
      <c r="P8" s="35" t="str">
        <f>AVERAGEIF($A6:$A19,"Dom. Rodillas",$G6:$G19)</f>
        <v>#DIV/0!</v>
      </c>
      <c r="Q8" s="35" t="str">
        <f>AVERAGEIF($A6:$A19,"Dom. Cadera",$G6:$G19)</f>
        <v>#DIV/0!</v>
      </c>
      <c r="R8" s="35" t="str">
        <f>AVERAGEIF($A6:$A19,"A. Empuje",$G6:$G19)</f>
        <v>#DIV/0!</v>
      </c>
      <c r="S8" s="35" t="str">
        <f>AVERAGEIF($A6:$A19,"A. Tracción",$G6:$G19)</f>
        <v>#DIV/0!</v>
      </c>
      <c r="T8" s="35" t="str">
        <f>AVERAGEIF($A6:$A19,"A. Rodillas",$G6:$G19)</f>
        <v>#DIV/0!</v>
      </c>
      <c r="U8" s="35" t="str">
        <f>AVERAGEIF($A6:$A19,"A. Cadera",$G6:$G19)</f>
        <v>#DIV/0!</v>
      </c>
      <c r="W8" s="28" t="s">
        <v>20</v>
      </c>
      <c r="X8" s="1">
        <f>SUM(P7,P12,P21,P26,P31)</f>
        <v>0</v>
      </c>
      <c r="AA8" s="1"/>
    </row>
    <row r="9" ht="14.25" customHeight="1">
      <c r="A9" s="234"/>
      <c r="B9" s="237"/>
      <c r="C9" s="18"/>
      <c r="D9" s="20"/>
      <c r="E9" s="234"/>
      <c r="F9" s="234"/>
      <c r="G9" s="234"/>
      <c r="H9" s="247"/>
      <c r="I9" s="236"/>
      <c r="J9" s="9"/>
      <c r="M9" s="25"/>
      <c r="N9" s="25"/>
      <c r="O9" s="25"/>
      <c r="P9" s="25"/>
      <c r="Q9" s="25"/>
      <c r="R9" s="25"/>
      <c r="S9" s="25"/>
      <c r="T9" s="25"/>
      <c r="U9" s="25"/>
      <c r="W9" s="28" t="s">
        <v>21</v>
      </c>
      <c r="X9" s="1">
        <f>SUM(Q7,Q12,Q21,Q26,Q31)</f>
        <v>0</v>
      </c>
      <c r="AA9" s="1"/>
    </row>
    <row r="10" ht="14.25" customHeight="1">
      <c r="A10" s="234"/>
      <c r="B10" s="237"/>
      <c r="C10" s="18"/>
      <c r="D10" s="20"/>
      <c r="E10" s="234"/>
      <c r="F10" s="234"/>
      <c r="G10" s="234"/>
      <c r="H10" s="247"/>
      <c r="I10" s="236"/>
      <c r="J10" s="9"/>
      <c r="M10" s="11" t="s">
        <v>45</v>
      </c>
      <c r="N10" s="12"/>
      <c r="O10" s="12"/>
      <c r="P10" s="12"/>
      <c r="Q10" s="12"/>
      <c r="R10" s="12"/>
      <c r="S10" s="12"/>
      <c r="T10" s="12"/>
      <c r="U10" s="13"/>
      <c r="W10" s="28" t="s">
        <v>22</v>
      </c>
      <c r="X10" s="1">
        <f>SUM(R7,R12,R21,R26,R31)</f>
        <v>0</v>
      </c>
      <c r="AA10" s="1"/>
    </row>
    <row r="11" ht="14.25" customHeight="1">
      <c r="A11" s="234"/>
      <c r="B11" s="237"/>
      <c r="C11" s="18"/>
      <c r="D11" s="20"/>
      <c r="E11" s="234"/>
      <c r="F11" s="234"/>
      <c r="G11" s="234"/>
      <c r="H11" s="248"/>
      <c r="I11" s="236"/>
      <c r="J11" s="9"/>
      <c r="M11" s="25"/>
      <c r="N11" s="28" t="s">
        <v>17</v>
      </c>
      <c r="O11" s="28" t="s">
        <v>19</v>
      </c>
      <c r="P11" s="28" t="s">
        <v>20</v>
      </c>
      <c r="Q11" s="28" t="s">
        <v>21</v>
      </c>
      <c r="R11" s="28" t="s">
        <v>22</v>
      </c>
      <c r="S11" s="28" t="s">
        <v>23</v>
      </c>
      <c r="T11" s="28" t="s">
        <v>24</v>
      </c>
      <c r="U11" s="28" t="s">
        <v>25</v>
      </c>
      <c r="W11" s="28" t="s">
        <v>23</v>
      </c>
      <c r="X11" s="1">
        <f>SUM(S7,S12,S21,S26,S31)</f>
        <v>0</v>
      </c>
      <c r="AA11" s="1"/>
    </row>
    <row r="12" ht="14.25" customHeight="1">
      <c r="A12" s="234"/>
      <c r="B12" s="237"/>
      <c r="C12" s="18"/>
      <c r="D12" s="20"/>
      <c r="E12" s="234"/>
      <c r="F12" s="234"/>
      <c r="G12" s="234"/>
      <c r="H12" s="248"/>
      <c r="I12" s="236"/>
      <c r="J12" s="9"/>
      <c r="M12" s="34" t="s">
        <v>36</v>
      </c>
      <c r="N12" s="35">
        <f>SUMIF($A24:$A35,"Empuje",$E24:$E35)</f>
        <v>0</v>
      </c>
      <c r="O12" s="35">
        <f>SUMIF($A24:$A35,"Tracción",$E24:$E35)</f>
        <v>0</v>
      </c>
      <c r="P12" s="35">
        <f>SUMIF($A24:$A35,"Dom. Rodillas",$E24:$E35)</f>
        <v>0</v>
      </c>
      <c r="Q12" s="35">
        <f>SUMIF($A24:$A35,"Dom. Caderas",$E24:$E35)</f>
        <v>0</v>
      </c>
      <c r="R12" s="35">
        <f>SUMIF($A24:$A35,"A. Empuje",$E24:$E35)</f>
        <v>0</v>
      </c>
      <c r="S12" s="35">
        <f>SUMIF($A24:$A35,"A. Tracción",$E24:$E35)</f>
        <v>0</v>
      </c>
      <c r="T12" s="35">
        <f>SUMIF($A24:$A35,"A. Rodillas",$E24:$E35)</f>
        <v>0</v>
      </c>
      <c r="U12" s="35">
        <f>SUMIF($A24:$A35,"A. Cadera",$E24:$E35)</f>
        <v>0</v>
      </c>
      <c r="W12" s="28" t="s">
        <v>24</v>
      </c>
      <c r="X12" s="1">
        <f>SUM(T7,T12,T21,T26,T31)</f>
        <v>0</v>
      </c>
      <c r="AA12" s="1"/>
    </row>
    <row r="13" ht="14.25" customHeight="1">
      <c r="A13" s="158"/>
      <c r="B13" s="159"/>
      <c r="C13" s="18"/>
      <c r="D13" s="20"/>
      <c r="E13" s="158"/>
      <c r="F13" s="158"/>
      <c r="G13" s="158"/>
      <c r="H13" s="253"/>
      <c r="I13" s="160"/>
      <c r="J13" s="9"/>
      <c r="M13" s="34" t="s">
        <v>7</v>
      </c>
      <c r="N13" s="35" t="str">
        <f>AVERAGEIF($A24:$A35,"Empuje",$G24:$G35)</f>
        <v>#DIV/0!</v>
      </c>
      <c r="O13" s="35" t="str">
        <f>AVERAGEIF($A24:$A35,"Tracción",$G24:$G35)</f>
        <v>#DIV/0!</v>
      </c>
      <c r="P13" s="35" t="str">
        <f>AVERAGEIF($A24:$A35,"Dom. Rodillas",$G24:$G35)</f>
        <v>#DIV/0!</v>
      </c>
      <c r="Q13" s="35" t="str">
        <f>AVERAGEIF($A24:$A35,"Dom.Cadera",$G24:$G35)</f>
        <v>#DIV/0!</v>
      </c>
      <c r="R13" s="35" t="str">
        <f>AVERAGEIF($A24:$A35,"A. Empuje",$G24:$G35)</f>
        <v>#DIV/0!</v>
      </c>
      <c r="S13" s="35" t="str">
        <f>AVERAGEIF($A24:$A35,"A. Tracción",$G24:$G35)</f>
        <v>#DIV/0!</v>
      </c>
      <c r="T13" s="35" t="str">
        <f>AVERAGEIF($A24:$A35,"A. Rodillas",$G24:$G35)</f>
        <v>#DIV/0!</v>
      </c>
      <c r="U13" s="35" t="str">
        <f>AVERAGEIF($A24:$A35,"A. Cadera",$G24:$G35)</f>
        <v>#DIV/0!</v>
      </c>
      <c r="W13" s="28" t="s">
        <v>25</v>
      </c>
      <c r="X13" s="1">
        <f>SUM(U7,U12,U21,U26,U31)</f>
        <v>0</v>
      </c>
      <c r="AA13" s="1"/>
    </row>
    <row r="14" ht="14.25" customHeight="1">
      <c r="A14" s="158"/>
      <c r="B14" s="254"/>
      <c r="C14" s="255"/>
      <c r="D14" s="255"/>
      <c r="E14" s="158"/>
      <c r="F14" s="158"/>
      <c r="G14" s="158"/>
      <c r="H14" s="253"/>
      <c r="I14" s="169"/>
      <c r="J14" s="170"/>
      <c r="M14" s="65"/>
      <c r="N14" s="25"/>
      <c r="O14" s="25"/>
      <c r="P14" s="25"/>
      <c r="Q14" s="25"/>
      <c r="R14" s="25"/>
      <c r="S14" s="25"/>
      <c r="T14" s="25"/>
      <c r="U14" s="25"/>
      <c r="W14" s="256"/>
      <c r="X14" s="1"/>
      <c r="AA14" s="1"/>
    </row>
    <row r="15" ht="14.25" customHeight="1">
      <c r="A15" s="15"/>
      <c r="B15" s="257"/>
      <c r="C15" s="258"/>
      <c r="D15" s="258"/>
      <c r="E15" s="15"/>
      <c r="F15" s="15"/>
      <c r="G15" s="15"/>
      <c r="H15" s="259"/>
      <c r="I15" s="217"/>
      <c r="J15" s="218"/>
      <c r="M15" s="65"/>
      <c r="N15" s="25"/>
      <c r="O15" s="25"/>
      <c r="P15" s="25"/>
      <c r="Q15" s="25"/>
      <c r="R15" s="25"/>
      <c r="S15" s="25"/>
      <c r="T15" s="25"/>
      <c r="U15" s="25"/>
      <c r="W15" s="256"/>
      <c r="X15" s="1"/>
      <c r="AA15" s="1"/>
    </row>
    <row r="16" ht="14.25" customHeight="1">
      <c r="A16" s="15"/>
      <c r="B16" s="257"/>
      <c r="C16" s="258"/>
      <c r="D16" s="258"/>
      <c r="E16" s="15"/>
      <c r="F16" s="15"/>
      <c r="G16" s="15"/>
      <c r="H16" s="259"/>
      <c r="I16" s="217"/>
      <c r="J16" s="218"/>
      <c r="M16" s="65"/>
      <c r="N16" s="25"/>
      <c r="O16" s="25"/>
      <c r="P16" s="25"/>
      <c r="Q16" s="25"/>
      <c r="R16" s="25"/>
      <c r="S16" s="25"/>
      <c r="T16" s="25"/>
      <c r="U16" s="25"/>
      <c r="W16" s="256"/>
      <c r="X16" s="1"/>
      <c r="AA16" s="1"/>
    </row>
    <row r="17" ht="14.25" customHeight="1">
      <c r="A17" s="15"/>
      <c r="B17" s="257"/>
      <c r="C17" s="258"/>
      <c r="D17" s="258"/>
      <c r="E17" s="15"/>
      <c r="F17" s="15"/>
      <c r="G17" s="15"/>
      <c r="H17" s="259"/>
      <c r="I17" s="217"/>
      <c r="J17" s="218"/>
      <c r="M17" s="65"/>
      <c r="N17" s="25"/>
      <c r="O17" s="25"/>
      <c r="P17" s="25"/>
      <c r="Q17" s="25"/>
      <c r="R17" s="25"/>
      <c r="S17" s="25"/>
      <c r="T17" s="25"/>
      <c r="U17" s="25"/>
      <c r="W17" s="256"/>
      <c r="X17" s="1"/>
      <c r="AA17" s="1"/>
    </row>
    <row r="18" ht="14.25" customHeight="1">
      <c r="A18" s="109"/>
      <c r="B18" s="108"/>
      <c r="C18" s="18"/>
      <c r="D18" s="20"/>
      <c r="E18" s="109"/>
      <c r="F18" s="109"/>
      <c r="G18" s="109"/>
      <c r="H18" s="264"/>
      <c r="I18" s="139"/>
      <c r="J18" s="9"/>
      <c r="M18" s="25"/>
      <c r="N18" s="25"/>
      <c r="O18" s="25"/>
      <c r="P18" s="25"/>
      <c r="Q18" s="25"/>
      <c r="R18" s="25"/>
      <c r="S18" s="25"/>
      <c r="T18" s="25"/>
      <c r="U18" s="25"/>
      <c r="W18" s="1"/>
      <c r="X18" s="1"/>
      <c r="AA18" s="1"/>
    </row>
    <row r="19" ht="14.25" customHeight="1">
      <c r="A19" s="109"/>
      <c r="B19" s="108"/>
      <c r="C19" s="18"/>
      <c r="D19" s="20"/>
      <c r="E19" s="109"/>
      <c r="F19" s="109"/>
      <c r="G19" s="109"/>
      <c r="H19" s="109"/>
      <c r="I19" s="139"/>
      <c r="J19" s="9"/>
      <c r="M19" s="11" t="s">
        <v>57</v>
      </c>
      <c r="N19" s="12"/>
      <c r="O19" s="12"/>
      <c r="P19" s="12"/>
      <c r="Q19" s="12"/>
      <c r="R19" s="12"/>
      <c r="S19" s="12"/>
      <c r="T19" s="12"/>
      <c r="U19" s="13"/>
      <c r="W19" s="1"/>
      <c r="X19" s="1"/>
      <c r="AA19" s="1"/>
    </row>
    <row r="20" ht="14.25" customHeight="1">
      <c r="B20" s="26"/>
      <c r="C20" s="29"/>
      <c r="D20" s="29"/>
      <c r="M20" s="25"/>
      <c r="N20" s="28" t="s">
        <v>17</v>
      </c>
      <c r="O20" s="28" t="s">
        <v>19</v>
      </c>
      <c r="P20" s="28" t="s">
        <v>20</v>
      </c>
      <c r="Q20" s="28" t="s">
        <v>21</v>
      </c>
      <c r="R20" s="28" t="s">
        <v>22</v>
      </c>
      <c r="S20" s="28" t="s">
        <v>23</v>
      </c>
      <c r="T20" s="28" t="s">
        <v>24</v>
      </c>
      <c r="U20" s="28" t="s">
        <v>25</v>
      </c>
      <c r="W20" s="1"/>
      <c r="X20" s="1"/>
      <c r="Y20" s="1"/>
      <c r="Z20" s="1"/>
      <c r="AA20" s="1"/>
    </row>
    <row r="21" ht="14.25" customHeight="1">
      <c r="M21" s="34" t="s">
        <v>36</v>
      </c>
      <c r="N21" s="35">
        <f>SUMIF($A40:$A52,"Empuje",$E40:$E52)</f>
        <v>0</v>
      </c>
      <c r="O21" s="35">
        <f>SUMIF($A40:$A52,"Tracción",$E40:$E52)</f>
        <v>0</v>
      </c>
      <c r="P21" s="35">
        <f>SUMIF($A40:$A52,"Dom. Rodillas",$E40:$E52)</f>
        <v>0</v>
      </c>
      <c r="Q21" s="35">
        <f>SUMIF($A40:$A52,"Dom. Caderas",$E40:$E52)</f>
        <v>0</v>
      </c>
      <c r="R21" s="35">
        <f>SUMIF($A40:$A52,"A. Empuje",$E40:$E52)</f>
        <v>0</v>
      </c>
      <c r="S21" s="35">
        <f>SUMIF($A40:$A52,"A. Tracción",$E40:$E52)</f>
        <v>0</v>
      </c>
      <c r="T21" s="35">
        <f>SUMIF($A40:$A52,"A. Rodillas",$E40:$E52)</f>
        <v>0</v>
      </c>
      <c r="U21" s="35">
        <f>SUMIF($A40:$A52,"A. Cadera",$E40:$E52)</f>
        <v>0</v>
      </c>
      <c r="X21" s="1"/>
      <c r="Y21" s="1"/>
      <c r="Z21" s="1"/>
      <c r="AA21" s="1"/>
    </row>
    <row r="22" ht="14.25" customHeight="1">
      <c r="A22" s="2" t="s">
        <v>45</v>
      </c>
      <c r="B22" s="3"/>
      <c r="C22" s="4"/>
      <c r="J22" s="1"/>
      <c r="M22" s="34" t="s">
        <v>7</v>
      </c>
      <c r="N22" s="35" t="str">
        <f>AVERAGEIF($A40:$A52,"Empuje",$G40:$G52)</f>
        <v>#DIV/0!</v>
      </c>
      <c r="O22" s="35" t="str">
        <f>AVERAGEIF($A40:$A52,"Tracción",$G40:$G52)</f>
        <v>#DIV/0!</v>
      </c>
      <c r="P22" s="35" t="str">
        <f>AVERAGEIF($A40:$A52,"Dom. Rodillas",$G40:$G52)</f>
        <v>#DIV/0!</v>
      </c>
      <c r="Q22" s="35" t="str">
        <f>AVERAGEIF($A40:$A52,"Dom. Caderas",$G40:$G52)</f>
        <v>#DIV/0!</v>
      </c>
      <c r="R22" s="35" t="str">
        <f>AVERAGEIF($A40:$A52,"A. Empuje",$G40:$G52)</f>
        <v>#DIV/0!</v>
      </c>
      <c r="S22" s="35" t="str">
        <f>AVERAGEIF($A40:$A52,"A. Tracción",$G40:$G52)</f>
        <v>#DIV/0!</v>
      </c>
      <c r="T22" s="35" t="str">
        <f>AVERAGEIF($A40:$A52,"A. Rodillas",$G40:$G52)</f>
        <v>#DIV/0!</v>
      </c>
      <c r="U22" s="35" t="str">
        <f>AVERAGEIF($A40:$A52,"A. Cadera",$G40:$G52)</f>
        <v>#DIV/0!</v>
      </c>
      <c r="X22" s="1"/>
      <c r="Y22" s="1"/>
      <c r="Z22" s="1"/>
      <c r="AA22" s="1"/>
    </row>
    <row r="23" ht="14.25" customHeight="1">
      <c r="A23" s="6" t="s">
        <v>3</v>
      </c>
      <c r="B23" s="10" t="s">
        <v>4</v>
      </c>
      <c r="C23" s="8"/>
      <c r="D23" s="9"/>
      <c r="E23" s="6" t="s">
        <v>5</v>
      </c>
      <c r="F23" s="6" t="s">
        <v>6</v>
      </c>
      <c r="G23" s="6" t="s">
        <v>7</v>
      </c>
      <c r="H23" s="6" t="s">
        <v>8</v>
      </c>
      <c r="I23" s="10" t="s">
        <v>9</v>
      </c>
      <c r="J23" s="9"/>
      <c r="M23" s="25"/>
      <c r="N23" s="25"/>
      <c r="O23" s="25"/>
      <c r="P23" s="25"/>
      <c r="Q23" s="25"/>
      <c r="R23" s="25"/>
      <c r="S23" s="25"/>
      <c r="T23" s="25"/>
      <c r="U23" s="25"/>
      <c r="X23" s="1"/>
      <c r="Y23" s="1"/>
      <c r="Z23" s="1"/>
      <c r="AA23" s="1"/>
    </row>
    <row r="24" ht="14.25" customHeight="1">
      <c r="A24" s="230"/>
      <c r="B24" s="231"/>
      <c r="C24" s="18"/>
      <c r="D24" s="20"/>
      <c r="E24" s="230"/>
      <c r="F24" s="230"/>
      <c r="G24" s="230"/>
      <c r="H24" s="230"/>
      <c r="I24" s="232"/>
      <c r="J24" s="9"/>
      <c r="M24" s="11" t="s">
        <v>66</v>
      </c>
      <c r="N24" s="12"/>
      <c r="O24" s="12"/>
      <c r="P24" s="12"/>
      <c r="Q24" s="12"/>
      <c r="R24" s="12"/>
      <c r="S24" s="12"/>
      <c r="T24" s="12"/>
      <c r="U24" s="13"/>
      <c r="X24" s="1"/>
      <c r="Y24" s="1"/>
      <c r="Z24" s="1"/>
      <c r="AA24" s="1"/>
    </row>
    <row r="25" ht="14.25" customHeight="1">
      <c r="A25" s="230"/>
      <c r="B25" s="231"/>
      <c r="C25" s="18"/>
      <c r="D25" s="20"/>
      <c r="E25" s="230"/>
      <c r="F25" s="230"/>
      <c r="G25" s="230"/>
      <c r="H25" s="230"/>
      <c r="I25" s="232"/>
      <c r="J25" s="9"/>
      <c r="M25" s="25"/>
      <c r="N25" s="28" t="s">
        <v>17</v>
      </c>
      <c r="O25" s="28" t="s">
        <v>19</v>
      </c>
      <c r="P25" s="28" t="s">
        <v>20</v>
      </c>
      <c r="Q25" s="28" t="s">
        <v>21</v>
      </c>
      <c r="R25" s="28" t="s">
        <v>22</v>
      </c>
      <c r="S25" s="28" t="s">
        <v>23</v>
      </c>
      <c r="T25" s="28" t="s">
        <v>24</v>
      </c>
      <c r="U25" s="28" t="s">
        <v>25</v>
      </c>
      <c r="X25" s="1"/>
      <c r="Y25" s="1"/>
      <c r="Z25" s="1"/>
      <c r="AA25" s="1"/>
    </row>
    <row r="26" ht="14.25" customHeight="1">
      <c r="A26" s="230"/>
      <c r="B26" s="231"/>
      <c r="C26" s="18"/>
      <c r="D26" s="20"/>
      <c r="E26" s="230"/>
      <c r="F26" s="230"/>
      <c r="G26" s="230"/>
      <c r="H26" s="230"/>
      <c r="I26" s="232"/>
      <c r="J26" s="9"/>
      <c r="M26" s="34" t="s">
        <v>36</v>
      </c>
      <c r="N26" s="35">
        <f>SUMIF($A57:$A68,"Empuje",$E57:$E68)</f>
        <v>0</v>
      </c>
      <c r="O26" s="35">
        <f>SUMIF($A57:$A68,"Tracción",$E57:$E68)</f>
        <v>0</v>
      </c>
      <c r="P26" s="35">
        <f>SUMIF($A57:$A68,"Dom. Rodillas",$E57:$E68)</f>
        <v>0</v>
      </c>
      <c r="Q26" s="35">
        <f>SUMIF($A57:$A68,"Dom. Caderas",$E57:$E68)</f>
        <v>0</v>
      </c>
      <c r="R26" s="35">
        <f>SUMIF($A57:$A68,"A. Empuje",$E57:$E68)</f>
        <v>0</v>
      </c>
      <c r="S26" s="35">
        <f>SUMIF($A57:$A68,"A. Tracción",$E57:$E68)</f>
        <v>0</v>
      </c>
      <c r="T26" s="35">
        <f>SUMIF($A57:$A68,"A. Rodillas",$E57:$E68)</f>
        <v>0</v>
      </c>
      <c r="U26" s="35">
        <f>SUMIF($A57:$A68,"A. Cadera",$E57:$E68)</f>
        <v>0</v>
      </c>
    </row>
    <row r="27" ht="14.25" customHeight="1">
      <c r="A27" s="234"/>
      <c r="B27" s="237"/>
      <c r="C27" s="18"/>
      <c r="D27" s="20"/>
      <c r="E27" s="234"/>
      <c r="F27" s="234"/>
      <c r="G27" s="234"/>
      <c r="H27" s="234"/>
      <c r="I27" s="236"/>
      <c r="J27" s="9"/>
      <c r="M27" s="34" t="s">
        <v>7</v>
      </c>
      <c r="N27" s="35" t="str">
        <f>AVERAGEIF($A57:$A68,"Empuje",$G57:$G68)</f>
        <v>#DIV/0!</v>
      </c>
      <c r="O27" s="35" t="str">
        <f>AVERAGEIF($A57:$A68,"Tracción",$G57:$G68)</f>
        <v>#DIV/0!</v>
      </c>
      <c r="P27" s="35" t="str">
        <f>AVERAGEIF($A57:$A68,"Dom. Rodillas",$G57:$G68)</f>
        <v>#DIV/0!</v>
      </c>
      <c r="Q27" s="35" t="str">
        <f>AVERAGEIF($A57:$A68,"Dom. Caderas",$G57:$G68)</f>
        <v>#DIV/0!</v>
      </c>
      <c r="R27" s="35" t="str">
        <f>AVERAGEIF($A57:$A68,"A. Empuje",$G57:$G68)</f>
        <v>#DIV/0!</v>
      </c>
      <c r="S27" s="35" t="str">
        <f>AVERAGEIF($A57:$A68,"A. Tracción",$G57:$G68)</f>
        <v>#DIV/0!</v>
      </c>
      <c r="T27" s="35" t="str">
        <f>AVERAGEIF($A57:$A68,"A. Rodillas",$G57:$G68)</f>
        <v>#DIV/0!</v>
      </c>
      <c r="U27" s="35" t="str">
        <f>AVERAGEIF($A57:$A68,"A. Cadera",$G57:$G68)</f>
        <v>#DIV/0!</v>
      </c>
    </row>
    <row r="28" ht="14.25" customHeight="1">
      <c r="A28" s="234"/>
      <c r="B28" s="237"/>
      <c r="C28" s="18"/>
      <c r="D28" s="20"/>
      <c r="E28" s="234"/>
      <c r="F28" s="234"/>
      <c r="G28" s="234"/>
      <c r="H28" s="234"/>
      <c r="I28" s="236"/>
      <c r="J28" s="9"/>
      <c r="M28" s="25"/>
      <c r="N28" s="25"/>
      <c r="O28" s="25"/>
      <c r="P28" s="25"/>
      <c r="Q28" s="25"/>
      <c r="R28" s="25"/>
      <c r="S28" s="25"/>
      <c r="T28" s="25"/>
      <c r="U28" s="25"/>
    </row>
    <row r="29" ht="14.25" customHeight="1">
      <c r="A29" s="234"/>
      <c r="B29" s="237"/>
      <c r="C29" s="18"/>
      <c r="D29" s="20"/>
      <c r="E29" s="234"/>
      <c r="F29" s="234"/>
      <c r="G29" s="234"/>
      <c r="H29" s="234"/>
      <c r="I29" s="236"/>
      <c r="J29" s="9"/>
      <c r="M29" s="11" t="s">
        <v>76</v>
      </c>
      <c r="N29" s="12"/>
      <c r="O29" s="12"/>
      <c r="P29" s="12"/>
      <c r="Q29" s="12"/>
      <c r="R29" s="12"/>
      <c r="S29" s="12"/>
      <c r="T29" s="12"/>
      <c r="U29" s="13"/>
    </row>
    <row r="30" ht="14.25" customHeight="1">
      <c r="A30" s="234"/>
      <c r="B30" s="237"/>
      <c r="C30" s="18"/>
      <c r="D30" s="20"/>
      <c r="E30" s="234"/>
      <c r="F30" s="234"/>
      <c r="G30" s="234"/>
      <c r="H30" s="234"/>
      <c r="I30" s="236"/>
      <c r="J30" s="9"/>
      <c r="M30" s="25"/>
      <c r="N30" s="28" t="s">
        <v>17</v>
      </c>
      <c r="O30" s="28" t="s">
        <v>19</v>
      </c>
      <c r="P30" s="28" t="s">
        <v>20</v>
      </c>
      <c r="Q30" s="28" t="s">
        <v>21</v>
      </c>
      <c r="R30" s="28" t="s">
        <v>22</v>
      </c>
      <c r="S30" s="28" t="s">
        <v>23</v>
      </c>
      <c r="T30" s="28" t="s">
        <v>24</v>
      </c>
      <c r="U30" s="28" t="s">
        <v>25</v>
      </c>
    </row>
    <row r="31" ht="14.25" customHeight="1">
      <c r="A31" s="158"/>
      <c r="B31" s="159"/>
      <c r="C31" s="18"/>
      <c r="D31" s="20"/>
      <c r="E31" s="158"/>
      <c r="F31" s="158"/>
      <c r="G31" s="158"/>
      <c r="H31" s="158"/>
      <c r="I31" s="160"/>
      <c r="J31" s="9"/>
      <c r="M31" s="34" t="s">
        <v>36</v>
      </c>
      <c r="N31" s="35">
        <f>SUMIF($A73:$A82,"Empuje",$E73:$E82)</f>
        <v>0</v>
      </c>
      <c r="O31" s="35">
        <f>SUMIF($A73:$A82,"Tracción",$E73:$E82)</f>
        <v>0</v>
      </c>
      <c r="P31" s="35">
        <f>SUMIF($A73:$A82,"Dom. Rodillas",$E73:$E82)</f>
        <v>0</v>
      </c>
      <c r="Q31" s="35">
        <f>SUMIF($A73:$A82,"Dom. Caderas",$E73:$E82)</f>
        <v>0</v>
      </c>
      <c r="R31" s="35">
        <f>SUMIF($A73:$A82,"A. Empuje",$E73:$E82)</f>
        <v>0</v>
      </c>
      <c r="S31" s="35">
        <f>SUMIF($A73:$A82,"A. Tracción",$E73:$E82)</f>
        <v>0</v>
      </c>
      <c r="T31" s="35">
        <f>SUMIF($A73:$A82,"A. Rodillas",$E73:$E82)</f>
        <v>0</v>
      </c>
      <c r="U31" s="35">
        <f>SUMIF($A73:$A82,"A. Cadera",$E73:$E82)</f>
        <v>0</v>
      </c>
    </row>
    <row r="32" ht="14.25" customHeight="1">
      <c r="A32" s="158"/>
      <c r="B32" s="254"/>
      <c r="C32" s="255"/>
      <c r="D32" s="255"/>
      <c r="E32" s="158"/>
      <c r="F32" s="158"/>
      <c r="G32" s="158"/>
      <c r="H32" s="158"/>
      <c r="I32" s="169"/>
      <c r="J32" s="170"/>
      <c r="M32" s="34"/>
      <c r="N32" s="35"/>
      <c r="O32" s="35"/>
      <c r="P32" s="35"/>
      <c r="Q32" s="35"/>
      <c r="R32" s="35"/>
      <c r="S32" s="35"/>
      <c r="T32" s="35"/>
      <c r="U32" s="35"/>
    </row>
    <row r="33" ht="14.25" customHeight="1">
      <c r="A33" s="201"/>
      <c r="B33" s="266"/>
      <c r="C33" s="267"/>
      <c r="D33" s="267"/>
      <c r="E33" s="201"/>
      <c r="F33" s="201"/>
      <c r="G33" s="201"/>
      <c r="H33" s="201"/>
      <c r="I33" s="268"/>
      <c r="J33" s="269"/>
      <c r="M33" s="34"/>
      <c r="N33" s="35"/>
      <c r="O33" s="35"/>
      <c r="P33" s="35"/>
      <c r="Q33" s="35"/>
      <c r="R33" s="35"/>
      <c r="S33" s="35"/>
      <c r="T33" s="35"/>
      <c r="U33" s="35"/>
    </row>
    <row r="34" ht="14.25" customHeight="1">
      <c r="A34" s="15"/>
      <c r="B34" s="17"/>
      <c r="C34" s="18"/>
      <c r="D34" s="20"/>
      <c r="E34" s="15"/>
      <c r="F34" s="15"/>
      <c r="G34" s="15"/>
      <c r="H34" s="15"/>
      <c r="I34" s="23"/>
      <c r="J34" s="9"/>
      <c r="M34" s="34" t="s">
        <v>7</v>
      </c>
      <c r="N34" s="35" t="str">
        <f>AVERAGEIF($A73:$A82,"Empuje",$G73:$G82)</f>
        <v>#DIV/0!</v>
      </c>
      <c r="O34" s="35" t="str">
        <f>AVERAGEIF($A73:$A82,"Tracción",$G73:$G82)</f>
        <v>#DIV/0!</v>
      </c>
      <c r="P34" s="35" t="str">
        <f>AVERAGEIF($A73:$A82,"Dom. Rodillas",$G73:$G82)</f>
        <v>#DIV/0!</v>
      </c>
      <c r="Q34" s="35" t="str">
        <f>AVERAGEIF($A73:$A82,"Dom. Caderas",$G73:$G82)</f>
        <v>#DIV/0!</v>
      </c>
      <c r="R34" s="35" t="str">
        <f>AVERAGEIF($A73:$A82,"A. Empuje",$G73:$G82)</f>
        <v>#DIV/0!</v>
      </c>
      <c r="S34" s="35" t="str">
        <f>AVERAGEIF($A73:$A82,"A. Tracción",$G73:$G82)</f>
        <v>#DIV/0!</v>
      </c>
      <c r="T34" s="35" t="str">
        <f>AVERAGEIF($A73:$A82,"A. Rodillas",$G73:$G82)</f>
        <v>#DIV/0!</v>
      </c>
      <c r="U34" s="35" t="str">
        <f>AVERAGEIF($A73:$A82,"A. Cadera",$G73:$G82)</f>
        <v>#DIV/0!</v>
      </c>
    </row>
    <row r="35" ht="14.25" customHeight="1">
      <c r="A35" s="15"/>
      <c r="B35" s="61"/>
      <c r="C35" s="8"/>
      <c r="D35" s="9"/>
      <c r="E35" s="15"/>
      <c r="F35" s="15"/>
      <c r="G35" s="15"/>
      <c r="H35" s="15"/>
      <c r="I35" s="23"/>
      <c r="J35" s="9"/>
    </row>
    <row r="36" ht="14.25" customHeight="1">
      <c r="B36" s="26"/>
      <c r="C36" s="29"/>
      <c r="D36" s="29"/>
    </row>
    <row r="37" ht="14.25" customHeight="1"/>
    <row r="38" ht="14.25" customHeight="1">
      <c r="A38" s="2" t="s">
        <v>57</v>
      </c>
      <c r="B38" s="3"/>
      <c r="C38" s="4"/>
      <c r="J38" s="1"/>
    </row>
    <row r="39" ht="14.25" customHeight="1">
      <c r="A39" s="6" t="s">
        <v>3</v>
      </c>
      <c r="B39" s="10" t="s">
        <v>4</v>
      </c>
      <c r="C39" s="8"/>
      <c r="D39" s="9"/>
      <c r="E39" s="6" t="s">
        <v>5</v>
      </c>
      <c r="F39" s="6" t="s">
        <v>6</v>
      </c>
      <c r="G39" s="6" t="s">
        <v>7</v>
      </c>
      <c r="H39" s="6" t="s">
        <v>8</v>
      </c>
      <c r="I39" s="10" t="s">
        <v>9</v>
      </c>
      <c r="J39" s="9"/>
    </row>
    <row r="40" ht="14.25" customHeight="1">
      <c r="A40" s="230"/>
      <c r="B40" s="231"/>
      <c r="C40" s="18"/>
      <c r="D40" s="20"/>
      <c r="E40" s="230"/>
      <c r="F40" s="230"/>
      <c r="G40" s="230"/>
      <c r="H40" s="270"/>
      <c r="I40" s="232"/>
      <c r="J40" s="9"/>
    </row>
    <row r="41" ht="14.25" customHeight="1">
      <c r="A41" s="230"/>
      <c r="B41" s="231"/>
      <c r="C41" s="18"/>
      <c r="D41" s="20"/>
      <c r="E41" s="230"/>
      <c r="F41" s="230"/>
      <c r="G41" s="230"/>
      <c r="H41" s="270"/>
      <c r="I41" s="232"/>
      <c r="J41" s="9"/>
    </row>
    <row r="42" ht="14.25" customHeight="1">
      <c r="A42" s="230"/>
      <c r="B42" s="231"/>
      <c r="C42" s="18"/>
      <c r="D42" s="20"/>
      <c r="E42" s="230"/>
      <c r="F42" s="230"/>
      <c r="G42" s="230"/>
      <c r="H42" s="270"/>
      <c r="I42" s="232"/>
      <c r="J42" s="9"/>
    </row>
    <row r="43" ht="14.25" customHeight="1">
      <c r="A43" s="234"/>
      <c r="B43" s="237"/>
      <c r="C43" s="18"/>
      <c r="D43" s="20"/>
      <c r="E43" s="234"/>
      <c r="F43" s="234"/>
      <c r="G43" s="234"/>
      <c r="H43" s="247"/>
      <c r="I43" s="236"/>
      <c r="J43" s="9"/>
    </row>
    <row r="44" ht="14.25" customHeight="1">
      <c r="A44" s="234"/>
      <c r="B44" s="237"/>
      <c r="C44" s="18"/>
      <c r="D44" s="20"/>
      <c r="E44" s="234"/>
      <c r="F44" s="234"/>
      <c r="G44" s="234"/>
      <c r="H44" s="234"/>
      <c r="I44" s="236"/>
      <c r="J44" s="9"/>
    </row>
    <row r="45" ht="14.25" customHeight="1">
      <c r="A45" s="234"/>
      <c r="B45" s="237"/>
      <c r="C45" s="18"/>
      <c r="D45" s="20"/>
      <c r="E45" s="234"/>
      <c r="F45" s="234"/>
      <c r="G45" s="234"/>
      <c r="H45" s="234"/>
      <c r="I45" s="236"/>
      <c r="J45" s="9"/>
    </row>
    <row r="46" ht="14.25" customHeight="1">
      <c r="A46" s="234"/>
      <c r="B46" s="237"/>
      <c r="C46" s="18"/>
      <c r="D46" s="20"/>
      <c r="E46" s="234"/>
      <c r="F46" s="234"/>
      <c r="G46" s="234"/>
      <c r="H46" s="234"/>
      <c r="I46" s="236"/>
      <c r="J46" s="9"/>
    </row>
    <row r="47" ht="14.25" customHeight="1">
      <c r="A47" s="158"/>
      <c r="B47" s="254"/>
      <c r="C47" s="255"/>
      <c r="D47" s="255"/>
      <c r="E47" s="158"/>
      <c r="F47" s="158"/>
      <c r="G47" s="158"/>
      <c r="H47" s="158"/>
      <c r="I47" s="169"/>
      <c r="J47" s="170"/>
    </row>
    <row r="48" ht="14.25" customHeight="1">
      <c r="A48" s="158"/>
      <c r="B48" s="254"/>
      <c r="C48" s="255"/>
      <c r="D48" s="255"/>
      <c r="E48" s="158"/>
      <c r="F48" s="158"/>
      <c r="G48" s="158"/>
      <c r="H48" s="158"/>
      <c r="I48" s="169"/>
      <c r="J48" s="170"/>
    </row>
    <row r="49" ht="14.25" customHeight="1">
      <c r="A49" s="15"/>
      <c r="B49" s="17"/>
      <c r="C49" s="18"/>
      <c r="D49" s="20"/>
      <c r="E49" s="15"/>
      <c r="F49" s="15"/>
      <c r="G49" s="15"/>
      <c r="H49" s="15"/>
      <c r="I49" s="23"/>
      <c r="J49" s="9"/>
    </row>
    <row r="50" ht="14.25" customHeight="1">
      <c r="A50" s="15"/>
      <c r="B50" s="17"/>
      <c r="C50" s="18"/>
      <c r="D50" s="20"/>
      <c r="E50" s="15"/>
      <c r="F50" s="15"/>
      <c r="G50" s="15"/>
      <c r="H50" s="15"/>
      <c r="I50" s="23"/>
      <c r="J50" s="9"/>
    </row>
    <row r="51" ht="14.25" customHeight="1">
      <c r="A51" s="15"/>
      <c r="B51" s="257"/>
      <c r="C51" s="258"/>
      <c r="D51" s="258"/>
      <c r="E51" s="15"/>
      <c r="F51" s="15"/>
      <c r="G51" s="15"/>
      <c r="H51" s="15"/>
      <c r="I51" s="217"/>
      <c r="J51" s="218"/>
    </row>
    <row r="52" ht="14.25" customHeight="1">
      <c r="A52" s="15"/>
      <c r="B52" s="61"/>
      <c r="C52" s="8"/>
      <c r="D52" s="9"/>
      <c r="E52" s="15"/>
      <c r="F52" s="15"/>
      <c r="G52" s="15"/>
      <c r="H52" s="15"/>
      <c r="I52" s="23"/>
      <c r="J52" s="9"/>
    </row>
    <row r="53" ht="14.25" customHeight="1">
      <c r="B53" s="26"/>
      <c r="C53" s="29"/>
      <c r="D53" s="29"/>
    </row>
    <row r="54" ht="14.25" customHeight="1"/>
    <row r="55" ht="14.25" customHeight="1">
      <c r="A55" s="2" t="s">
        <v>66</v>
      </c>
      <c r="B55" s="3"/>
      <c r="C55" s="4"/>
      <c r="J55" s="1"/>
    </row>
    <row r="56" ht="14.25" customHeight="1">
      <c r="A56" s="6" t="s">
        <v>3</v>
      </c>
      <c r="B56" s="10" t="s">
        <v>4</v>
      </c>
      <c r="C56" s="8"/>
      <c r="D56" s="9"/>
      <c r="E56" s="6" t="s">
        <v>5</v>
      </c>
      <c r="F56" s="6" t="s">
        <v>6</v>
      </c>
      <c r="G56" s="6" t="s">
        <v>7</v>
      </c>
      <c r="H56" s="6" t="s">
        <v>8</v>
      </c>
      <c r="I56" s="10" t="s">
        <v>9</v>
      </c>
      <c r="J56" s="9"/>
    </row>
    <row r="57" ht="14.25" customHeight="1">
      <c r="A57" s="230"/>
      <c r="B57" s="231"/>
      <c r="C57" s="18"/>
      <c r="D57" s="20"/>
      <c r="E57" s="230"/>
      <c r="F57" s="230"/>
      <c r="G57" s="230"/>
      <c r="H57" s="230"/>
      <c r="I57" s="232"/>
      <c r="J57" s="9"/>
    </row>
    <row r="58" ht="14.25" customHeight="1">
      <c r="A58" s="230"/>
      <c r="B58" s="231"/>
      <c r="C58" s="18"/>
      <c r="D58" s="20"/>
      <c r="E58" s="230"/>
      <c r="F58" s="230"/>
      <c r="G58" s="230"/>
      <c r="H58" s="230"/>
      <c r="I58" s="232"/>
      <c r="J58" s="9"/>
    </row>
    <row r="59" ht="14.25" customHeight="1">
      <c r="A59" s="230"/>
      <c r="B59" s="231"/>
      <c r="C59" s="18"/>
      <c r="D59" s="20"/>
      <c r="E59" s="230"/>
      <c r="F59" s="230"/>
      <c r="G59" s="230"/>
      <c r="H59" s="230"/>
      <c r="I59" s="232"/>
      <c r="J59" s="9"/>
    </row>
    <row r="60" ht="14.25" customHeight="1">
      <c r="A60" s="234"/>
      <c r="B60" s="237"/>
      <c r="C60" s="18"/>
      <c r="D60" s="20"/>
      <c r="E60" s="234"/>
      <c r="F60" s="234"/>
      <c r="G60" s="234"/>
      <c r="H60" s="234"/>
      <c r="I60" s="236"/>
      <c r="J60" s="9"/>
    </row>
    <row r="61" ht="14.25" customHeight="1">
      <c r="A61" s="234"/>
      <c r="B61" s="237"/>
      <c r="C61" s="18"/>
      <c r="D61" s="20"/>
      <c r="E61" s="234"/>
      <c r="F61" s="234"/>
      <c r="G61" s="234"/>
      <c r="H61" s="234"/>
      <c r="I61" s="236"/>
      <c r="J61" s="9"/>
    </row>
    <row r="62" ht="14.25" customHeight="1">
      <c r="A62" s="234"/>
      <c r="B62" s="237"/>
      <c r="C62" s="18"/>
      <c r="D62" s="20"/>
      <c r="E62" s="234"/>
      <c r="F62" s="234"/>
      <c r="G62" s="234"/>
      <c r="H62" s="234"/>
      <c r="I62" s="236"/>
      <c r="J62" s="9"/>
    </row>
    <row r="63" ht="14.25" customHeight="1">
      <c r="A63" s="158"/>
      <c r="B63" s="159"/>
      <c r="C63" s="18"/>
      <c r="D63" s="20"/>
      <c r="E63" s="158"/>
      <c r="F63" s="158"/>
      <c r="G63" s="158"/>
      <c r="H63" s="158"/>
      <c r="I63" s="160"/>
      <c r="J63" s="9"/>
    </row>
    <row r="64" ht="14.25" customHeight="1">
      <c r="A64" s="158"/>
      <c r="B64" s="159"/>
      <c r="C64" s="18"/>
      <c r="D64" s="20"/>
      <c r="E64" s="158"/>
      <c r="F64" s="158"/>
      <c r="G64" s="158"/>
      <c r="H64" s="158"/>
      <c r="I64" s="160"/>
      <c r="J64" s="9"/>
    </row>
    <row r="65" ht="14.25" customHeight="1">
      <c r="A65" s="49"/>
      <c r="B65" s="271"/>
      <c r="C65" s="272"/>
      <c r="D65" s="272"/>
      <c r="E65" s="49"/>
      <c r="F65" s="49"/>
      <c r="G65" s="49"/>
      <c r="H65" s="49"/>
      <c r="I65" s="63"/>
      <c r="J65" s="64"/>
    </row>
    <row r="66" ht="14.25" customHeight="1">
      <c r="A66" s="49"/>
      <c r="B66" s="271"/>
      <c r="C66" s="272"/>
      <c r="D66" s="272"/>
      <c r="E66" s="49"/>
      <c r="F66" s="49"/>
      <c r="G66" s="49"/>
      <c r="H66" s="49"/>
      <c r="I66" s="63"/>
      <c r="J66" s="64"/>
    </row>
    <row r="67" ht="14.25" customHeight="1">
      <c r="A67" s="15"/>
      <c r="B67" s="17"/>
      <c r="C67" s="18"/>
      <c r="D67" s="20"/>
      <c r="E67" s="15"/>
      <c r="F67" s="15"/>
      <c r="G67" s="15"/>
      <c r="H67" s="15"/>
      <c r="I67" s="23"/>
      <c r="J67" s="9"/>
    </row>
    <row r="68" ht="14.25" customHeight="1">
      <c r="A68" s="15"/>
      <c r="B68" s="61"/>
      <c r="C68" s="8"/>
      <c r="D68" s="9"/>
      <c r="E68" s="15"/>
      <c r="F68" s="15"/>
      <c r="G68" s="15"/>
      <c r="H68" s="15"/>
      <c r="I68" s="23"/>
      <c r="J68" s="9"/>
    </row>
    <row r="69" ht="14.25" customHeight="1">
      <c r="B69" s="26"/>
      <c r="C69" s="29"/>
      <c r="D69" s="29"/>
    </row>
    <row r="70" ht="14.25" customHeight="1"/>
    <row r="71" ht="14.25" customHeight="1">
      <c r="A71" s="2" t="s">
        <v>76</v>
      </c>
      <c r="B71" s="3"/>
      <c r="C71" s="4"/>
      <c r="J71" s="1"/>
    </row>
    <row r="72" ht="14.25" customHeight="1">
      <c r="A72" s="6" t="s">
        <v>3</v>
      </c>
      <c r="B72" s="10" t="s">
        <v>4</v>
      </c>
      <c r="C72" s="8"/>
      <c r="D72" s="9"/>
      <c r="E72" s="6" t="s">
        <v>5</v>
      </c>
      <c r="F72" s="6" t="s">
        <v>6</v>
      </c>
      <c r="G72" s="6" t="s">
        <v>7</v>
      </c>
      <c r="H72" s="6" t="s">
        <v>8</v>
      </c>
      <c r="I72" s="10" t="s">
        <v>9</v>
      </c>
      <c r="J72" s="9"/>
    </row>
    <row r="73" ht="14.25" customHeight="1">
      <c r="A73" s="230"/>
      <c r="B73" s="231"/>
      <c r="C73" s="18"/>
      <c r="D73" s="20"/>
      <c r="E73" s="230"/>
      <c r="F73" s="230"/>
      <c r="G73" s="230"/>
      <c r="H73" s="230"/>
      <c r="I73" s="232"/>
      <c r="J73" s="9"/>
    </row>
    <row r="74" ht="14.25" customHeight="1">
      <c r="A74" s="230"/>
      <c r="B74" s="231"/>
      <c r="C74" s="18"/>
      <c r="D74" s="20"/>
      <c r="E74" s="230"/>
      <c r="F74" s="230"/>
      <c r="G74" s="230"/>
      <c r="H74" s="230"/>
      <c r="I74" s="232"/>
      <c r="J74" s="9"/>
    </row>
    <row r="75" ht="14.25" customHeight="1">
      <c r="A75" s="230"/>
      <c r="B75" s="231"/>
      <c r="C75" s="18"/>
      <c r="D75" s="20"/>
      <c r="E75" s="230"/>
      <c r="F75" s="230"/>
      <c r="G75" s="230"/>
      <c r="H75" s="230"/>
      <c r="I75" s="232"/>
      <c r="J75" s="9"/>
    </row>
    <row r="76" ht="14.25" customHeight="1">
      <c r="A76" s="234"/>
      <c r="B76" s="237"/>
      <c r="C76" s="18"/>
      <c r="D76" s="20"/>
      <c r="E76" s="234"/>
      <c r="F76" s="234"/>
      <c r="G76" s="234"/>
      <c r="H76" s="234"/>
      <c r="I76" s="236"/>
      <c r="J76" s="9"/>
    </row>
    <row r="77" ht="14.25" customHeight="1">
      <c r="A77" s="234"/>
      <c r="B77" s="237"/>
      <c r="C77" s="18"/>
      <c r="D77" s="20"/>
      <c r="E77" s="234"/>
      <c r="F77" s="234"/>
      <c r="G77" s="234"/>
      <c r="H77" s="234"/>
      <c r="I77" s="236"/>
      <c r="J77" s="9"/>
    </row>
    <row r="78" ht="14.25" customHeight="1">
      <c r="A78" s="234"/>
      <c r="B78" s="237"/>
      <c r="C78" s="18"/>
      <c r="D78" s="20"/>
      <c r="E78" s="234"/>
      <c r="F78" s="234"/>
      <c r="G78" s="234"/>
      <c r="H78" s="234"/>
      <c r="I78" s="236"/>
      <c r="J78" s="9"/>
    </row>
    <row r="79" ht="14.25" customHeight="1">
      <c r="A79" s="15"/>
      <c r="B79" s="17"/>
      <c r="C79" s="18"/>
      <c r="D79" s="20"/>
      <c r="E79" s="15"/>
      <c r="F79" s="15"/>
      <c r="G79" s="15"/>
      <c r="H79" s="15"/>
      <c r="I79" s="23"/>
      <c r="J79" s="9"/>
    </row>
    <row r="80" ht="14.25" customHeight="1">
      <c r="A80" s="15"/>
      <c r="B80" s="17"/>
      <c r="C80" s="18"/>
      <c r="D80" s="20"/>
      <c r="E80" s="15"/>
      <c r="F80" s="15"/>
      <c r="G80" s="15"/>
      <c r="H80" s="15"/>
      <c r="I80" s="23"/>
      <c r="J80" s="9"/>
    </row>
    <row r="81" ht="14.25" customHeight="1">
      <c r="A81" s="15"/>
      <c r="B81" s="17"/>
      <c r="C81" s="18"/>
      <c r="D81" s="20"/>
      <c r="E81" s="15"/>
      <c r="F81" s="15"/>
      <c r="G81" s="15"/>
      <c r="H81" s="15"/>
      <c r="I81" s="23"/>
      <c r="J81" s="9"/>
    </row>
    <row r="82" ht="14.25" customHeight="1">
      <c r="A82" s="15"/>
      <c r="B82" s="61"/>
      <c r="C82" s="8"/>
      <c r="D82" s="9"/>
      <c r="E82" s="15"/>
      <c r="F82" s="15"/>
      <c r="G82" s="15"/>
      <c r="H82" s="15"/>
      <c r="I82" s="23"/>
      <c r="J82" s="9"/>
    </row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5">
    <mergeCell ref="I24:J24"/>
    <mergeCell ref="I25:J25"/>
    <mergeCell ref="B20:D20"/>
    <mergeCell ref="A22:C22"/>
    <mergeCell ref="B23:D23"/>
    <mergeCell ref="I23:J23"/>
    <mergeCell ref="B24:D24"/>
    <mergeCell ref="M24:U24"/>
    <mergeCell ref="B25:D25"/>
    <mergeCell ref="A4:C4"/>
    <mergeCell ref="B5:D5"/>
    <mergeCell ref="I5:J5"/>
    <mergeCell ref="M5:U5"/>
    <mergeCell ref="W5:Y5"/>
    <mergeCell ref="B6:D6"/>
    <mergeCell ref="B7:D7"/>
    <mergeCell ref="I10:J10"/>
    <mergeCell ref="M10:U10"/>
    <mergeCell ref="I9:J9"/>
    <mergeCell ref="I11:J11"/>
    <mergeCell ref="I6:J6"/>
    <mergeCell ref="I7:J7"/>
    <mergeCell ref="B8:D8"/>
    <mergeCell ref="I8:J8"/>
    <mergeCell ref="B9:D9"/>
    <mergeCell ref="B10:D10"/>
    <mergeCell ref="B11:D11"/>
    <mergeCell ref="I19:J19"/>
    <mergeCell ref="M19:U19"/>
    <mergeCell ref="B12:D12"/>
    <mergeCell ref="I12:J12"/>
    <mergeCell ref="B13:D13"/>
    <mergeCell ref="I13:J13"/>
    <mergeCell ref="B18:D18"/>
    <mergeCell ref="I18:J18"/>
    <mergeCell ref="B19:D19"/>
    <mergeCell ref="I29:J29"/>
    <mergeCell ref="M29:U29"/>
    <mergeCell ref="I58:J58"/>
    <mergeCell ref="I59:J59"/>
    <mergeCell ref="I41:J41"/>
    <mergeCell ref="I42:J42"/>
    <mergeCell ref="I49:J49"/>
    <mergeCell ref="I50:J50"/>
    <mergeCell ref="I52:J52"/>
    <mergeCell ref="I56:J56"/>
    <mergeCell ref="I57:J57"/>
    <mergeCell ref="I61:J61"/>
    <mergeCell ref="I62:J62"/>
    <mergeCell ref="B57:D57"/>
    <mergeCell ref="B58:D58"/>
    <mergeCell ref="B59:D59"/>
    <mergeCell ref="B60:D60"/>
    <mergeCell ref="I60:J60"/>
    <mergeCell ref="B61:D61"/>
    <mergeCell ref="B62:D62"/>
    <mergeCell ref="I73:J73"/>
    <mergeCell ref="I74:J74"/>
    <mergeCell ref="B68:D68"/>
    <mergeCell ref="B69:D69"/>
    <mergeCell ref="A71:C71"/>
    <mergeCell ref="B72:D72"/>
    <mergeCell ref="I72:J72"/>
    <mergeCell ref="B73:D73"/>
    <mergeCell ref="B74:D74"/>
    <mergeCell ref="B78:D78"/>
    <mergeCell ref="B79:D79"/>
    <mergeCell ref="B80:D80"/>
    <mergeCell ref="B81:D81"/>
    <mergeCell ref="B82:D82"/>
    <mergeCell ref="I79:J79"/>
    <mergeCell ref="I80:J80"/>
    <mergeCell ref="I81:J81"/>
    <mergeCell ref="I82:J82"/>
    <mergeCell ref="B75:D75"/>
    <mergeCell ref="I75:J75"/>
    <mergeCell ref="B76:D76"/>
    <mergeCell ref="I76:J76"/>
    <mergeCell ref="B77:D77"/>
    <mergeCell ref="I77:J77"/>
    <mergeCell ref="I78:J78"/>
    <mergeCell ref="I28:J28"/>
    <mergeCell ref="I30:J30"/>
    <mergeCell ref="B26:D26"/>
    <mergeCell ref="I26:J26"/>
    <mergeCell ref="B27:D27"/>
    <mergeCell ref="I27:J27"/>
    <mergeCell ref="B28:D28"/>
    <mergeCell ref="B29:D29"/>
    <mergeCell ref="B30:D30"/>
    <mergeCell ref="B31:D31"/>
    <mergeCell ref="I31:J31"/>
    <mergeCell ref="B34:D34"/>
    <mergeCell ref="I34:J34"/>
    <mergeCell ref="B35:D35"/>
    <mergeCell ref="I35:J35"/>
    <mergeCell ref="B36:D36"/>
    <mergeCell ref="A38:C38"/>
    <mergeCell ref="B39:D39"/>
    <mergeCell ref="I39:J39"/>
    <mergeCell ref="B40:D40"/>
    <mergeCell ref="I40:J40"/>
    <mergeCell ref="B41:D41"/>
    <mergeCell ref="B42:D42"/>
    <mergeCell ref="B43:D43"/>
    <mergeCell ref="I43:J43"/>
    <mergeCell ref="B44:D44"/>
    <mergeCell ref="I44:J44"/>
    <mergeCell ref="B45:D45"/>
    <mergeCell ref="I45:J45"/>
    <mergeCell ref="I46:J46"/>
    <mergeCell ref="B46:D46"/>
    <mergeCell ref="B49:D49"/>
    <mergeCell ref="B50:D50"/>
    <mergeCell ref="B52:D52"/>
    <mergeCell ref="B53:D53"/>
    <mergeCell ref="A55:C55"/>
    <mergeCell ref="B56:D56"/>
    <mergeCell ref="B63:D63"/>
    <mergeCell ref="I63:J63"/>
    <mergeCell ref="B64:D64"/>
    <mergeCell ref="I64:J64"/>
    <mergeCell ref="B67:D67"/>
    <mergeCell ref="I67:J67"/>
    <mergeCell ref="I68:J68"/>
  </mergeCells>
  <dataValidations>
    <dataValidation type="list" allowBlank="1" showErrorMessage="1" sqref="J3 A6:A19 A24:A35 A40:A52 A57:A68 A73:A82">
      <formula1>Datos!$B$2:$B$12</formula1>
    </dataValidation>
    <dataValidation type="list" allowBlank="1" showErrorMessage="1" sqref="J4 J22 J38 J55 J71">
      <formula1>Datos!$D$2:$D$14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10.71"/>
    <col customWidth="1" min="10" max="10" width="19.43"/>
    <col customWidth="1" min="11" max="27" width="10.71"/>
  </cols>
  <sheetData>
    <row r="1" ht="14.25" customHeight="1"/>
    <row r="2" ht="14.25" customHeight="1"/>
    <row r="3" ht="36.0" customHeight="1">
      <c r="J3" s="1"/>
    </row>
    <row r="4" ht="14.25" customHeight="1">
      <c r="A4" s="2" t="s">
        <v>0</v>
      </c>
      <c r="B4" s="3"/>
      <c r="C4" s="4"/>
      <c r="J4" s="1"/>
      <c r="X4" s="1"/>
      <c r="Y4" s="1"/>
      <c r="Z4" s="1"/>
      <c r="AA4" s="1"/>
    </row>
    <row r="5" ht="14.25" customHeight="1">
      <c r="A5" s="6" t="s">
        <v>3</v>
      </c>
      <c r="B5" s="10" t="s">
        <v>4</v>
      </c>
      <c r="C5" s="8"/>
      <c r="D5" s="9"/>
      <c r="E5" s="6" t="s">
        <v>5</v>
      </c>
      <c r="F5" s="6" t="s">
        <v>6</v>
      </c>
      <c r="G5" s="6" t="s">
        <v>7</v>
      </c>
      <c r="H5" s="6" t="s">
        <v>8</v>
      </c>
      <c r="I5" s="10" t="s">
        <v>9</v>
      </c>
      <c r="J5" s="9"/>
      <c r="M5" s="11" t="s">
        <v>0</v>
      </c>
      <c r="N5" s="12"/>
      <c r="O5" s="12"/>
      <c r="P5" s="12"/>
      <c r="Q5" s="12"/>
      <c r="R5" s="12"/>
      <c r="S5" s="12"/>
      <c r="T5" s="12"/>
      <c r="U5" s="13"/>
      <c r="W5" s="14" t="s">
        <v>11</v>
      </c>
      <c r="X5" s="12"/>
      <c r="Y5" s="13"/>
      <c r="AA5" s="1"/>
    </row>
    <row r="6" ht="14.25" customHeight="1">
      <c r="A6" s="111"/>
      <c r="B6" s="110" t="s">
        <v>981</v>
      </c>
      <c r="C6" s="18"/>
      <c r="D6" s="20"/>
      <c r="E6" s="111">
        <v>2.0</v>
      </c>
      <c r="F6" s="111">
        <v>6.0</v>
      </c>
      <c r="G6" s="111"/>
      <c r="H6" s="245"/>
      <c r="I6" s="171" t="s">
        <v>961</v>
      </c>
      <c r="J6" s="9"/>
      <c r="M6" s="25"/>
      <c r="N6" s="28" t="s">
        <v>17</v>
      </c>
      <c r="O6" s="28" t="s">
        <v>19</v>
      </c>
      <c r="P6" s="28" t="s">
        <v>20</v>
      </c>
      <c r="Q6" s="28" t="s">
        <v>21</v>
      </c>
      <c r="R6" s="28" t="s">
        <v>22</v>
      </c>
      <c r="S6" s="28" t="s">
        <v>23</v>
      </c>
      <c r="T6" s="28" t="s">
        <v>24</v>
      </c>
      <c r="U6" s="28" t="s">
        <v>25</v>
      </c>
      <c r="W6" s="28" t="s">
        <v>17</v>
      </c>
      <c r="X6" s="1">
        <f>SUM(N7,N12,N21,N26,N31)</f>
        <v>7</v>
      </c>
      <c r="AA6" s="1"/>
    </row>
    <row r="7" ht="14.25" customHeight="1">
      <c r="A7" s="111"/>
      <c r="B7" s="110" t="s">
        <v>982</v>
      </c>
      <c r="C7" s="18"/>
      <c r="D7" s="20"/>
      <c r="E7" s="111">
        <v>2.0</v>
      </c>
      <c r="F7" s="111">
        <v>8.0</v>
      </c>
      <c r="G7" s="111"/>
      <c r="H7" s="245"/>
      <c r="I7" s="171"/>
      <c r="J7" s="9"/>
      <c r="M7" s="34" t="s">
        <v>36</v>
      </c>
      <c r="N7" s="35">
        <f>SUMIF(A6:A19,"Empuje",E6:E19)</f>
        <v>3</v>
      </c>
      <c r="O7" s="35">
        <f>SUMIF(A6:A19,"Tracción",E6:E19)</f>
        <v>0</v>
      </c>
      <c r="P7" s="35">
        <f>SUMIF($A6:$A19,"Dom. Rodillas",$E6:$E19)</f>
        <v>0</v>
      </c>
      <c r="Q7" s="35">
        <f>SUMIF($A6:$A19,"Dom. Caderas",$E6:$E19)</f>
        <v>8</v>
      </c>
      <c r="R7" s="35">
        <f>SUMIF($A6:$A19,"A. Empuje",$E6:$E19)</f>
        <v>0</v>
      </c>
      <c r="S7" s="36">
        <f>SUMIF(A6:A19,"A. Tracción",E6:E19)</f>
        <v>0</v>
      </c>
      <c r="T7" s="35">
        <f>SUMIF($A6:$A19,"A. Rodillas",$E6:$E19)</f>
        <v>3</v>
      </c>
      <c r="U7" s="35">
        <f>SUMIF($A6:$A19,"A. Cadera",$E6:$E19)</f>
        <v>3</v>
      </c>
      <c r="W7" s="28" t="s">
        <v>19</v>
      </c>
      <c r="X7" s="1">
        <f>SUM(O7,O12,O21,O26,O31)</f>
        <v>4</v>
      </c>
      <c r="AA7" s="1"/>
    </row>
    <row r="8" ht="14.25" customHeight="1">
      <c r="A8" s="111"/>
      <c r="B8" s="110" t="s">
        <v>983</v>
      </c>
      <c r="C8" s="18"/>
      <c r="D8" s="20"/>
      <c r="E8" s="111">
        <v>2.0</v>
      </c>
      <c r="F8" s="111">
        <v>6.0</v>
      </c>
      <c r="G8" s="111"/>
      <c r="H8" s="245"/>
      <c r="I8" s="171"/>
      <c r="J8" s="9"/>
      <c r="M8" s="34" t="s">
        <v>7</v>
      </c>
      <c r="N8" s="35">
        <f>AVERAGEIF($A6:$A19,"Empuje",$G6:$G19)</f>
        <v>7</v>
      </c>
      <c r="O8" s="35" t="str">
        <f>AVERAGEIF($A6:$A19,"Traccion",$G6:$G19)</f>
        <v>#DIV/0!</v>
      </c>
      <c r="P8" s="35" t="str">
        <f>AVERAGEIF($A6:$A19,"Dom. Rodillas",$G6:$G19)</f>
        <v>#DIV/0!</v>
      </c>
      <c r="Q8" s="35" t="str">
        <f>AVERAGEIF($A6:$A19,"Dom. Cadera",$G6:$G19)</f>
        <v>#DIV/0!</v>
      </c>
      <c r="R8" s="35" t="str">
        <f>AVERAGEIF($A6:$A19,"A. Empuje",$G6:$G19)</f>
        <v>#DIV/0!</v>
      </c>
      <c r="S8" s="35" t="str">
        <f>AVERAGEIF($A6:$A19,"A. Tracción",$G6:$G19)</f>
        <v>#DIV/0!</v>
      </c>
      <c r="T8" s="35">
        <f>AVERAGEIF($A6:$A19,"A. Rodillas",$G6:$G19)</f>
        <v>7</v>
      </c>
      <c r="U8" s="35">
        <f>AVERAGEIF($A6:$A19,"A. Cadera",$G6:$G19)</f>
        <v>7</v>
      </c>
      <c r="W8" s="28" t="s">
        <v>20</v>
      </c>
      <c r="X8" s="1">
        <f>SUM(P7,P12,P21,P26,P31)</f>
        <v>8</v>
      </c>
      <c r="AA8" s="1"/>
    </row>
    <row r="9" ht="14.25" customHeight="1">
      <c r="A9" s="234"/>
      <c r="B9" s="237" t="s">
        <v>984</v>
      </c>
      <c r="C9" s="18"/>
      <c r="D9" s="20"/>
      <c r="E9" s="234">
        <v>3.0</v>
      </c>
      <c r="F9" s="234" t="s">
        <v>731</v>
      </c>
      <c r="G9" s="234"/>
      <c r="H9" s="247"/>
      <c r="I9" s="236" t="s">
        <v>985</v>
      </c>
      <c r="J9" s="9"/>
      <c r="M9" s="25"/>
      <c r="N9" s="25"/>
      <c r="O9" s="25"/>
      <c r="P9" s="25"/>
      <c r="Q9" s="25"/>
      <c r="R9" s="25"/>
      <c r="S9" s="25"/>
      <c r="T9" s="25"/>
      <c r="U9" s="25"/>
      <c r="W9" s="28" t="s">
        <v>21</v>
      </c>
      <c r="X9" s="1">
        <f>SUM(Q7,Q12,Q21,Q26,Q31)</f>
        <v>11</v>
      </c>
      <c r="AA9" s="1"/>
    </row>
    <row r="10" ht="14.25" customHeight="1">
      <c r="A10" s="234"/>
      <c r="B10" s="237" t="s">
        <v>986</v>
      </c>
      <c r="C10" s="18"/>
      <c r="D10" s="20"/>
      <c r="E10" s="234">
        <v>3.0</v>
      </c>
      <c r="F10" s="234">
        <v>15.0</v>
      </c>
      <c r="G10" s="234"/>
      <c r="H10" s="247"/>
      <c r="I10" s="236"/>
      <c r="J10" s="9"/>
      <c r="M10" s="11" t="s">
        <v>45</v>
      </c>
      <c r="N10" s="12"/>
      <c r="O10" s="12"/>
      <c r="P10" s="12"/>
      <c r="Q10" s="12"/>
      <c r="R10" s="12"/>
      <c r="S10" s="12"/>
      <c r="T10" s="12"/>
      <c r="U10" s="13"/>
      <c r="W10" s="28" t="s">
        <v>22</v>
      </c>
      <c r="X10" s="1">
        <f>SUM(R7,R12,R21,R26,R31)</f>
        <v>3</v>
      </c>
      <c r="AA10" s="1"/>
    </row>
    <row r="11" ht="14.25" customHeight="1">
      <c r="A11" s="234"/>
      <c r="B11" s="237" t="s">
        <v>987</v>
      </c>
      <c r="C11" s="18"/>
      <c r="D11" s="20"/>
      <c r="E11" s="234">
        <v>3.0</v>
      </c>
      <c r="F11" s="234">
        <v>12.0</v>
      </c>
      <c r="G11" s="234"/>
      <c r="H11" s="248"/>
      <c r="I11" s="236"/>
      <c r="J11" s="9"/>
      <c r="M11" s="25"/>
      <c r="N11" s="28" t="s">
        <v>17</v>
      </c>
      <c r="O11" s="28" t="s">
        <v>19</v>
      </c>
      <c r="P11" s="28" t="s">
        <v>20</v>
      </c>
      <c r="Q11" s="28" t="s">
        <v>21</v>
      </c>
      <c r="R11" s="28" t="s">
        <v>22</v>
      </c>
      <c r="S11" s="28" t="s">
        <v>23</v>
      </c>
      <c r="T11" s="28" t="s">
        <v>24</v>
      </c>
      <c r="U11" s="28" t="s">
        <v>25</v>
      </c>
      <c r="W11" s="28" t="s">
        <v>23</v>
      </c>
      <c r="X11" s="1">
        <f>SUM(S7,S12,S21,S26,S31)</f>
        <v>3</v>
      </c>
      <c r="AA11" s="1"/>
    </row>
    <row r="12" ht="14.25" customHeight="1">
      <c r="A12" s="234"/>
      <c r="B12" s="237" t="s">
        <v>988</v>
      </c>
      <c r="C12" s="18"/>
      <c r="D12" s="20"/>
      <c r="E12" s="234">
        <v>3.0</v>
      </c>
      <c r="F12" s="234">
        <v>10.0</v>
      </c>
      <c r="G12" s="234"/>
      <c r="H12" s="248"/>
      <c r="I12" s="236"/>
      <c r="J12" s="9"/>
      <c r="M12" s="34" t="s">
        <v>36</v>
      </c>
      <c r="N12" s="35">
        <f>SUMIF($A24:$A36,"Empuje",$E24:$E36)</f>
        <v>0</v>
      </c>
      <c r="O12" s="35">
        <f>SUMIF($A24:$A36,"Tracción",$E24:$E36)</f>
        <v>0</v>
      </c>
      <c r="P12" s="35">
        <f>SUMIF($A24:$A36,"Dom. Rodillas",$E24:$E36)</f>
        <v>8</v>
      </c>
      <c r="Q12" s="35">
        <f>SUMIF($A24:$A36,"Dom. Caderas",$E24:$E36)</f>
        <v>3</v>
      </c>
      <c r="R12" s="35">
        <f>SUMIF($A24:$A36,"A. Empuje",$E24:$E36)</f>
        <v>0</v>
      </c>
      <c r="S12" s="35">
        <f>SUMIF($A24:$A36,"A. Tracción",$E24:$E36)</f>
        <v>0</v>
      </c>
      <c r="T12" s="35">
        <f>SUMIF($A24:$A36,"A. Rodillas",$E24:$E36)</f>
        <v>0</v>
      </c>
      <c r="U12" s="35">
        <f>SUMIF($A24:$A36,"A. Cadera",$E24:$E36)</f>
        <v>3</v>
      </c>
      <c r="W12" s="28" t="s">
        <v>24</v>
      </c>
      <c r="X12" s="1">
        <f>SUM(T7,T12,T21,T26,T31)</f>
        <v>3</v>
      </c>
      <c r="AA12" s="1"/>
    </row>
    <row r="13" ht="14.25" customHeight="1">
      <c r="A13" s="158"/>
      <c r="B13" s="159" t="s">
        <v>989</v>
      </c>
      <c r="C13" s="18"/>
      <c r="D13" s="20"/>
      <c r="E13" s="158">
        <v>2.0</v>
      </c>
      <c r="F13" s="158">
        <v>4.0</v>
      </c>
      <c r="G13" s="158"/>
      <c r="H13" s="253"/>
      <c r="I13" s="160"/>
      <c r="J13" s="9"/>
      <c r="M13" s="34" t="s">
        <v>7</v>
      </c>
      <c r="N13" s="35" t="str">
        <f>AVERAGEIF($A24:$A36,"Empuje",$G24:$G36)</f>
        <v>#DIV/0!</v>
      </c>
      <c r="O13" s="35" t="str">
        <f>AVERAGEIF($A24:$A36,"Tracción",$G24:$G36)</f>
        <v>#DIV/0!</v>
      </c>
      <c r="P13" s="35">
        <f>AVERAGEIF($A24:$A36,"Dom. Rodillas",$G24:$G36)</f>
        <v>8</v>
      </c>
      <c r="Q13" s="35" t="str">
        <f>AVERAGEIF($A24:$A36,"Dom.Cadera",$G24:$G36)</f>
        <v>#DIV/0!</v>
      </c>
      <c r="R13" s="35" t="str">
        <f>AVERAGEIF($A24:$A36,"A. Empuje",$G24:$G36)</f>
        <v>#DIV/0!</v>
      </c>
      <c r="S13" s="35" t="str">
        <f>AVERAGEIF($A24:$A36,"A. Tracción",$G24:$G36)</f>
        <v>#DIV/0!</v>
      </c>
      <c r="T13" s="35" t="str">
        <f>AVERAGEIF($A24:$A36,"A. Rodillas",$G24:$G36)</f>
        <v>#DIV/0!</v>
      </c>
      <c r="U13" s="35">
        <f>AVERAGEIF($A24:$A36,"A. Cadera",$G24:$G36)</f>
        <v>7</v>
      </c>
      <c r="W13" s="28" t="s">
        <v>25</v>
      </c>
      <c r="X13" s="1">
        <f>SUM(U7,U12,U21,U26,U31)</f>
        <v>6</v>
      </c>
      <c r="AA13" s="1"/>
    </row>
    <row r="14" ht="14.25" customHeight="1">
      <c r="A14" s="158"/>
      <c r="B14" s="168" t="s">
        <v>888</v>
      </c>
      <c r="C14" s="8"/>
      <c r="D14" s="9"/>
      <c r="E14" s="158">
        <v>2.0</v>
      </c>
      <c r="F14" s="158">
        <v>6.0</v>
      </c>
      <c r="G14" s="158"/>
      <c r="H14" s="253"/>
      <c r="I14" s="169"/>
      <c r="J14" s="170"/>
      <c r="M14" s="65"/>
      <c r="N14" s="25"/>
      <c r="O14" s="25"/>
      <c r="P14" s="25"/>
      <c r="Q14" s="25"/>
      <c r="R14" s="25"/>
      <c r="S14" s="25"/>
      <c r="T14" s="25"/>
      <c r="U14" s="25"/>
      <c r="W14" s="256"/>
      <c r="X14" s="1"/>
      <c r="AA14" s="1"/>
    </row>
    <row r="15" ht="14.25" customHeight="1">
      <c r="A15" s="40" t="s">
        <v>73</v>
      </c>
      <c r="B15" s="96" t="s">
        <v>940</v>
      </c>
      <c r="C15" s="8"/>
      <c r="D15" s="9"/>
      <c r="E15" s="40">
        <v>4.0</v>
      </c>
      <c r="F15" s="40">
        <v>6.0</v>
      </c>
      <c r="G15" s="40" t="s">
        <v>990</v>
      </c>
      <c r="H15" s="52"/>
      <c r="I15" s="96" t="s">
        <v>991</v>
      </c>
      <c r="J15" s="9"/>
      <c r="M15" s="65"/>
      <c r="N15" s="25"/>
      <c r="O15" s="25"/>
      <c r="P15" s="25"/>
      <c r="Q15" s="25"/>
      <c r="R15" s="25"/>
      <c r="S15" s="25"/>
      <c r="T15" s="25"/>
      <c r="U15" s="25"/>
      <c r="W15" s="256"/>
      <c r="X15" s="1"/>
      <c r="AA15" s="1"/>
    </row>
    <row r="16" ht="14.25" customHeight="1">
      <c r="A16" s="40" t="s">
        <v>73</v>
      </c>
      <c r="B16" s="96" t="s">
        <v>701</v>
      </c>
      <c r="C16" s="8"/>
      <c r="D16" s="9"/>
      <c r="E16" s="40">
        <v>4.0</v>
      </c>
      <c r="F16" s="40">
        <v>6.0</v>
      </c>
      <c r="G16" s="40">
        <v>9.0</v>
      </c>
      <c r="H16" s="52"/>
      <c r="I16" s="97"/>
      <c r="J16" s="98"/>
      <c r="M16" s="65"/>
      <c r="N16" s="25"/>
      <c r="O16" s="25"/>
      <c r="P16" s="25"/>
      <c r="Q16" s="25"/>
      <c r="R16" s="25"/>
      <c r="S16" s="25"/>
      <c r="T16" s="25"/>
      <c r="U16" s="25"/>
      <c r="W16" s="256"/>
      <c r="X16" s="1"/>
      <c r="AA16" s="1"/>
    </row>
    <row r="17" ht="14.25" customHeight="1">
      <c r="A17" s="40" t="s">
        <v>25</v>
      </c>
      <c r="B17" s="96" t="s">
        <v>934</v>
      </c>
      <c r="C17" s="8"/>
      <c r="D17" s="9"/>
      <c r="E17" s="40">
        <v>3.0</v>
      </c>
      <c r="F17" s="40">
        <v>10.0</v>
      </c>
      <c r="G17" s="40">
        <v>7.0</v>
      </c>
      <c r="H17" s="52"/>
      <c r="I17" s="97"/>
      <c r="J17" s="98"/>
      <c r="M17" s="65"/>
      <c r="N17" s="25"/>
      <c r="O17" s="25"/>
      <c r="P17" s="25"/>
      <c r="Q17" s="25"/>
      <c r="R17" s="25"/>
      <c r="S17" s="25"/>
      <c r="T17" s="25"/>
      <c r="U17" s="25"/>
      <c r="W17" s="256"/>
      <c r="X17" s="1"/>
      <c r="AA17" s="1"/>
    </row>
    <row r="18" ht="14.25" customHeight="1">
      <c r="A18" s="109" t="s">
        <v>17</v>
      </c>
      <c r="B18" s="243" t="s">
        <v>992</v>
      </c>
      <c r="C18" s="8"/>
      <c r="D18" s="9"/>
      <c r="E18" s="109">
        <v>3.0</v>
      </c>
      <c r="F18" s="109">
        <v>10.0</v>
      </c>
      <c r="G18" s="109">
        <v>7.0</v>
      </c>
      <c r="H18" s="264"/>
      <c r="I18" s="139"/>
      <c r="J18" s="9"/>
      <c r="M18" s="25"/>
      <c r="N18" s="25"/>
      <c r="O18" s="25"/>
      <c r="P18" s="25"/>
      <c r="Q18" s="25"/>
      <c r="R18" s="25"/>
      <c r="S18" s="25"/>
      <c r="T18" s="25"/>
      <c r="U18" s="25"/>
      <c r="W18" s="1"/>
      <c r="X18" s="1"/>
      <c r="AA18" s="1"/>
    </row>
    <row r="19" ht="14.25" customHeight="1">
      <c r="A19" s="109" t="s">
        <v>24</v>
      </c>
      <c r="B19" s="108" t="s">
        <v>668</v>
      </c>
      <c r="C19" s="18"/>
      <c r="D19" s="20"/>
      <c r="E19" s="109">
        <v>3.0</v>
      </c>
      <c r="F19" s="109">
        <v>12.0</v>
      </c>
      <c r="G19" s="109">
        <v>7.0</v>
      </c>
      <c r="H19" s="109"/>
      <c r="I19" s="139"/>
      <c r="J19" s="9"/>
      <c r="M19" s="11" t="s">
        <v>57</v>
      </c>
      <c r="N19" s="12"/>
      <c r="O19" s="12"/>
      <c r="P19" s="12"/>
      <c r="Q19" s="12"/>
      <c r="R19" s="12"/>
      <c r="S19" s="12"/>
      <c r="T19" s="12"/>
      <c r="U19" s="13"/>
      <c r="W19" s="1"/>
      <c r="X19" s="1"/>
      <c r="AA19" s="1"/>
    </row>
    <row r="20" ht="14.25" customHeight="1">
      <c r="B20" s="26"/>
      <c r="C20" s="29"/>
      <c r="D20" s="29"/>
      <c r="M20" s="25"/>
      <c r="N20" s="28" t="s">
        <v>17</v>
      </c>
      <c r="O20" s="28" t="s">
        <v>19</v>
      </c>
      <c r="P20" s="28" t="s">
        <v>20</v>
      </c>
      <c r="Q20" s="28" t="s">
        <v>21</v>
      </c>
      <c r="R20" s="28" t="s">
        <v>22</v>
      </c>
      <c r="S20" s="28" t="s">
        <v>23</v>
      </c>
      <c r="T20" s="28" t="s">
        <v>24</v>
      </c>
      <c r="U20" s="28" t="s">
        <v>25</v>
      </c>
      <c r="W20" s="1"/>
      <c r="X20" s="1"/>
      <c r="Y20" s="1"/>
      <c r="Z20" s="1"/>
      <c r="AA20" s="1"/>
    </row>
    <row r="21" ht="14.25" customHeight="1">
      <c r="M21" s="34" t="s">
        <v>36</v>
      </c>
      <c r="N21" s="35">
        <f>SUMIF($A41:$A53,"Empuje",$E41:$E53)</f>
        <v>4</v>
      </c>
      <c r="O21" s="35">
        <f>SUMIF($A41:$A53,"Tracción",$E41:$E53)</f>
        <v>4</v>
      </c>
      <c r="P21" s="35">
        <f>SUMIF($A41:$A53,"Dom. Rodillas",$E41:$E53)</f>
        <v>0</v>
      </c>
      <c r="Q21" s="35">
        <f>SUMIF($A41:$A53,"Dom. Caderas",$E41:$E53)</f>
        <v>0</v>
      </c>
      <c r="R21" s="35">
        <f>SUMIF($A41:$A53,"A. Empuje",$E41:$E53)</f>
        <v>3</v>
      </c>
      <c r="S21" s="35">
        <f>SUMIF($A41:$A53,"A. Tracción",$E41:$E53)</f>
        <v>3</v>
      </c>
      <c r="T21" s="35">
        <f>SUMIF($A41:$A53,"A. Rodillas",$E41:$E53)</f>
        <v>0</v>
      </c>
      <c r="U21" s="35">
        <f>SUMIF($A41:$A53,"A. Cadera",$E41:$E53)</f>
        <v>0</v>
      </c>
      <c r="X21" s="1"/>
      <c r="Y21" s="1"/>
      <c r="Z21" s="1"/>
      <c r="AA21" s="1"/>
    </row>
    <row r="22" ht="14.25" customHeight="1">
      <c r="A22" s="2" t="s">
        <v>45</v>
      </c>
      <c r="B22" s="3"/>
      <c r="C22" s="4"/>
      <c r="J22" s="1"/>
      <c r="M22" s="34" t="s">
        <v>7</v>
      </c>
      <c r="N22" s="35" t="str">
        <f>AVERAGEIF($A41:$A53,"Empuje",$G41:$G53)</f>
        <v>#DIV/0!</v>
      </c>
      <c r="O22" s="35">
        <f>AVERAGEIF($A41:$A53,"Tracción",$G41:$G53)</f>
        <v>7</v>
      </c>
      <c r="P22" s="35" t="str">
        <f>AVERAGEIF($A41:$A53,"Dom. Rodillas",$G41:$G53)</f>
        <v>#DIV/0!</v>
      </c>
      <c r="Q22" s="35" t="str">
        <f>AVERAGEIF($A41:$A53,"Dom. Caderas",$G41:$G53)</f>
        <v>#DIV/0!</v>
      </c>
      <c r="R22" s="35" t="str">
        <f>AVERAGEIF($A41:$A53,"A. Empuje",$G41:$G53)</f>
        <v>#DIV/0!</v>
      </c>
      <c r="S22" s="35" t="str">
        <f>AVERAGEIF($A41:$A53,"A. Tracción",$G41:$G53)</f>
        <v>#DIV/0!</v>
      </c>
      <c r="T22" s="35" t="str">
        <f>AVERAGEIF($A41:$A53,"A. Rodillas",$G41:$G53)</f>
        <v>#DIV/0!</v>
      </c>
      <c r="U22" s="35" t="str">
        <f>AVERAGEIF($A41:$A53,"A. Cadera",$G41:$G53)</f>
        <v>#DIV/0!</v>
      </c>
      <c r="X22" s="1"/>
      <c r="Y22" s="1"/>
      <c r="Z22" s="1"/>
      <c r="AA22" s="1"/>
    </row>
    <row r="23" ht="14.25" customHeight="1">
      <c r="A23" s="6" t="s">
        <v>3</v>
      </c>
      <c r="B23" s="10" t="s">
        <v>4</v>
      </c>
      <c r="C23" s="8"/>
      <c r="D23" s="9"/>
      <c r="E23" s="6" t="s">
        <v>5</v>
      </c>
      <c r="F23" s="6" t="s">
        <v>6</v>
      </c>
      <c r="G23" s="6" t="s">
        <v>7</v>
      </c>
      <c r="H23" s="6" t="s">
        <v>8</v>
      </c>
      <c r="I23" s="10" t="s">
        <v>9</v>
      </c>
      <c r="J23" s="9"/>
      <c r="M23" s="25"/>
      <c r="N23" s="25"/>
      <c r="O23" s="25"/>
      <c r="P23" s="25"/>
      <c r="Q23" s="25"/>
      <c r="R23" s="25"/>
      <c r="S23" s="25"/>
      <c r="T23" s="25"/>
      <c r="U23" s="25"/>
      <c r="X23" s="1"/>
      <c r="Y23" s="1"/>
      <c r="Z23" s="1"/>
      <c r="AA23" s="1"/>
    </row>
    <row r="24" ht="14.25" customHeight="1">
      <c r="A24" s="230"/>
      <c r="B24" s="231" t="s">
        <v>993</v>
      </c>
      <c r="C24" s="18"/>
      <c r="D24" s="20"/>
      <c r="E24" s="230">
        <v>2.0</v>
      </c>
      <c r="F24" s="230">
        <v>6.0</v>
      </c>
      <c r="G24" s="230"/>
      <c r="H24" s="230"/>
      <c r="I24" s="232" t="s">
        <v>15</v>
      </c>
      <c r="J24" s="9"/>
      <c r="M24" s="11" t="s">
        <v>66</v>
      </c>
      <c r="N24" s="12"/>
      <c r="O24" s="12"/>
      <c r="P24" s="12"/>
      <c r="Q24" s="12"/>
      <c r="R24" s="12"/>
      <c r="S24" s="12"/>
      <c r="T24" s="12"/>
      <c r="U24" s="13"/>
      <c r="X24" s="1"/>
      <c r="Y24" s="1"/>
      <c r="Z24" s="1"/>
      <c r="AA24" s="1"/>
    </row>
    <row r="25" ht="14.25" customHeight="1">
      <c r="A25" s="230"/>
      <c r="B25" s="231" t="s">
        <v>994</v>
      </c>
      <c r="C25" s="18"/>
      <c r="D25" s="20"/>
      <c r="E25" s="230">
        <v>2.0</v>
      </c>
      <c r="F25" s="230">
        <v>6.0</v>
      </c>
      <c r="G25" s="230"/>
      <c r="H25" s="230"/>
      <c r="I25" s="232"/>
      <c r="J25" s="9"/>
      <c r="M25" s="25"/>
      <c r="N25" s="28" t="s">
        <v>17</v>
      </c>
      <c r="O25" s="28" t="s">
        <v>19</v>
      </c>
      <c r="P25" s="28" t="s">
        <v>20</v>
      </c>
      <c r="Q25" s="28" t="s">
        <v>21</v>
      </c>
      <c r="R25" s="28" t="s">
        <v>22</v>
      </c>
      <c r="S25" s="28" t="s">
        <v>23</v>
      </c>
      <c r="T25" s="28" t="s">
        <v>24</v>
      </c>
      <c r="U25" s="28" t="s">
        <v>25</v>
      </c>
      <c r="X25" s="1"/>
      <c r="Y25" s="1"/>
      <c r="Z25" s="1"/>
      <c r="AA25" s="1"/>
    </row>
    <row r="26" ht="14.25" customHeight="1">
      <c r="A26" s="230"/>
      <c r="B26" s="231" t="s">
        <v>995</v>
      </c>
      <c r="C26" s="18"/>
      <c r="D26" s="20"/>
      <c r="E26" s="230">
        <v>2.0</v>
      </c>
      <c r="F26" s="230">
        <v>8.0</v>
      </c>
      <c r="G26" s="230"/>
      <c r="H26" s="230"/>
      <c r="I26" s="232"/>
      <c r="J26" s="9"/>
      <c r="M26" s="34" t="s">
        <v>36</v>
      </c>
      <c r="N26" s="35">
        <f>SUMIF($A58:$A69,"Empuje",$E58:$E69)</f>
        <v>0</v>
      </c>
      <c r="O26" s="35">
        <f>SUMIF($A58:$A69,"Tracción",$E58:$E69)</f>
        <v>0</v>
      </c>
      <c r="P26" s="35">
        <f>SUMIF($A58:$A69,"Dom. Rodillas",$E58:$E69)</f>
        <v>0</v>
      </c>
      <c r="Q26" s="35">
        <f>SUMIF($A58:$A69,"Dom. Caderas",$E58:$E69)</f>
        <v>0</v>
      </c>
      <c r="R26" s="35">
        <f>SUMIF($A58:$A69,"A. Empuje",$E58:$E69)</f>
        <v>0</v>
      </c>
      <c r="S26" s="35">
        <f>SUMIF($A58:$A69,"A. Tracción",$E58:$E69)</f>
        <v>0</v>
      </c>
      <c r="T26" s="35">
        <f>SUMIF($A58:$A69,"A. Rodillas",$E58:$E69)</f>
        <v>0</v>
      </c>
      <c r="U26" s="35">
        <f>SUMIF($A58:$A69,"A. Cadera",$E58:$E69)</f>
        <v>0</v>
      </c>
    </row>
    <row r="27" ht="14.25" customHeight="1">
      <c r="A27" s="234"/>
      <c r="B27" s="237" t="s">
        <v>996</v>
      </c>
      <c r="C27" s="18"/>
      <c r="D27" s="20"/>
      <c r="E27" s="234">
        <v>3.0</v>
      </c>
      <c r="F27" s="234">
        <v>10.0</v>
      </c>
      <c r="G27" s="234"/>
      <c r="H27" s="234"/>
      <c r="I27" s="236" t="s">
        <v>997</v>
      </c>
      <c r="J27" s="9"/>
      <c r="M27" s="34" t="s">
        <v>7</v>
      </c>
      <c r="N27" s="35" t="str">
        <f>AVERAGEIF($A58:$A69,"Empuje",$G58:$G69)</f>
        <v>#DIV/0!</v>
      </c>
      <c r="O27" s="35" t="str">
        <f>AVERAGEIF($A58:$A69,"Tracción",$G58:$G69)</f>
        <v>#DIV/0!</v>
      </c>
      <c r="P27" s="35" t="str">
        <f>AVERAGEIF($A58:$A69,"Dom. Rodillas",$G58:$G69)</f>
        <v>#DIV/0!</v>
      </c>
      <c r="Q27" s="35" t="str">
        <f>AVERAGEIF($A58:$A69,"Dom. Caderas",$G58:$G69)</f>
        <v>#DIV/0!</v>
      </c>
      <c r="R27" s="35" t="str">
        <f>AVERAGEIF($A58:$A69,"A. Empuje",$G58:$G69)</f>
        <v>#DIV/0!</v>
      </c>
      <c r="S27" s="35" t="str">
        <f>AVERAGEIF($A58:$A69,"A. Tracción",$G58:$G69)</f>
        <v>#DIV/0!</v>
      </c>
      <c r="T27" s="35" t="str">
        <f>AVERAGEIF($A58:$A69,"A. Rodillas",$G58:$G69)</f>
        <v>#DIV/0!</v>
      </c>
      <c r="U27" s="35" t="str">
        <f>AVERAGEIF($A58:$A69,"A. Cadera",$G58:$G69)</f>
        <v>#DIV/0!</v>
      </c>
    </row>
    <row r="28" ht="14.25" customHeight="1">
      <c r="A28" s="234"/>
      <c r="B28" s="237" t="s">
        <v>998</v>
      </c>
      <c r="C28" s="18"/>
      <c r="D28" s="20"/>
      <c r="E28" s="234">
        <v>3.0</v>
      </c>
      <c r="F28" s="234">
        <v>6.0</v>
      </c>
      <c r="G28" s="234"/>
      <c r="H28" s="234"/>
      <c r="I28" s="236"/>
      <c r="J28" s="9"/>
      <c r="M28" s="25"/>
      <c r="N28" s="25"/>
      <c r="O28" s="25"/>
      <c r="P28" s="25"/>
      <c r="Q28" s="25"/>
      <c r="R28" s="25"/>
      <c r="S28" s="25"/>
      <c r="T28" s="25"/>
      <c r="U28" s="25"/>
    </row>
    <row r="29" ht="14.25" customHeight="1">
      <c r="A29" s="234"/>
      <c r="B29" s="237" t="s">
        <v>999</v>
      </c>
      <c r="C29" s="18"/>
      <c r="D29" s="20"/>
      <c r="E29" s="234">
        <v>3.0</v>
      </c>
      <c r="F29" s="234">
        <v>8.0</v>
      </c>
      <c r="G29" s="234"/>
      <c r="H29" s="234"/>
      <c r="I29" s="236"/>
      <c r="J29" s="9"/>
      <c r="M29" s="11" t="s">
        <v>76</v>
      </c>
      <c r="N29" s="12"/>
      <c r="O29" s="12"/>
      <c r="P29" s="12"/>
      <c r="Q29" s="12"/>
      <c r="R29" s="12"/>
      <c r="S29" s="12"/>
      <c r="T29" s="12"/>
      <c r="U29" s="13"/>
    </row>
    <row r="30" ht="14.25" customHeight="1">
      <c r="A30" s="234"/>
      <c r="B30" s="237" t="s">
        <v>1000</v>
      </c>
      <c r="C30" s="18"/>
      <c r="D30" s="20"/>
      <c r="E30" s="234">
        <v>3.0</v>
      </c>
      <c r="F30" s="234">
        <v>8.0</v>
      </c>
      <c r="G30" s="234"/>
      <c r="H30" s="234"/>
      <c r="I30" s="236"/>
      <c r="J30" s="9"/>
      <c r="M30" s="25"/>
      <c r="N30" s="28" t="s">
        <v>17</v>
      </c>
      <c r="O30" s="28" t="s">
        <v>19</v>
      </c>
      <c r="P30" s="28" t="s">
        <v>20</v>
      </c>
      <c r="Q30" s="28" t="s">
        <v>21</v>
      </c>
      <c r="R30" s="28" t="s">
        <v>22</v>
      </c>
      <c r="S30" s="28" t="s">
        <v>23</v>
      </c>
      <c r="T30" s="28" t="s">
        <v>24</v>
      </c>
      <c r="U30" s="28" t="s">
        <v>25</v>
      </c>
    </row>
    <row r="31" ht="14.25" customHeight="1">
      <c r="A31" s="158"/>
      <c r="B31" s="159" t="s">
        <v>1001</v>
      </c>
      <c r="C31" s="18"/>
      <c r="D31" s="20"/>
      <c r="E31" s="158">
        <v>3.0</v>
      </c>
      <c r="F31" s="158">
        <v>6.0</v>
      </c>
      <c r="G31" s="158"/>
      <c r="H31" s="158" t="s">
        <v>1002</v>
      </c>
      <c r="I31" s="160" t="s">
        <v>155</v>
      </c>
      <c r="J31" s="9"/>
      <c r="M31" s="34" t="s">
        <v>36</v>
      </c>
      <c r="N31" s="35">
        <f>SUMIF($A74:$A83,"Empuje",$E74:$E83)</f>
        <v>0</v>
      </c>
      <c r="O31" s="35">
        <f>SUMIF($A74:$A83,"Tracción",$E74:$E83)</f>
        <v>0</v>
      </c>
      <c r="P31" s="35">
        <f>SUMIF($A74:$A83,"Dom. Rodillas",$E74:$E83)</f>
        <v>0</v>
      </c>
      <c r="Q31" s="35">
        <f>SUMIF($A74:$A83,"Dom. Caderas",$E74:$E83)</f>
        <v>0</v>
      </c>
      <c r="R31" s="35">
        <f>SUMIF($A74:$A83,"A. Empuje",$E74:$E83)</f>
        <v>0</v>
      </c>
      <c r="S31" s="35">
        <f>SUMIF($A74:$A83,"A. Tracción",$E74:$E83)</f>
        <v>0</v>
      </c>
      <c r="T31" s="35">
        <f>SUMIF($A74:$A83,"A. Rodillas",$E74:$E83)</f>
        <v>0</v>
      </c>
      <c r="U31" s="35">
        <f>SUMIF($A74:$A83,"A. Cadera",$E74:$E83)</f>
        <v>0</v>
      </c>
    </row>
    <row r="32" ht="14.25" customHeight="1">
      <c r="A32" s="158"/>
      <c r="B32" s="168" t="s">
        <v>1003</v>
      </c>
      <c r="C32" s="8"/>
      <c r="D32" s="9"/>
      <c r="E32" s="158">
        <v>3.0</v>
      </c>
      <c r="F32" s="158">
        <v>4.0</v>
      </c>
      <c r="G32" s="158"/>
      <c r="H32" s="158"/>
      <c r="I32" s="169"/>
      <c r="J32" s="170"/>
      <c r="M32" s="34"/>
      <c r="N32" s="35"/>
      <c r="O32" s="35"/>
      <c r="P32" s="35"/>
      <c r="Q32" s="35"/>
      <c r="R32" s="35"/>
      <c r="S32" s="35"/>
      <c r="T32" s="35"/>
      <c r="U32" s="35"/>
    </row>
    <row r="33" ht="14.25" customHeight="1">
      <c r="A33" s="40" t="s">
        <v>47</v>
      </c>
      <c r="B33" s="96" t="s">
        <v>484</v>
      </c>
      <c r="C33" s="8"/>
      <c r="D33" s="9"/>
      <c r="E33" s="40">
        <v>4.0</v>
      </c>
      <c r="F33" s="40" t="s">
        <v>831</v>
      </c>
      <c r="G33" s="40">
        <v>8.0</v>
      </c>
      <c r="H33" s="40" t="s">
        <v>1004</v>
      </c>
      <c r="I33" s="96" t="s">
        <v>1005</v>
      </c>
      <c r="J33" s="9"/>
      <c r="M33" s="34"/>
      <c r="N33" s="35"/>
      <c r="O33" s="35"/>
      <c r="P33" s="35"/>
      <c r="Q33" s="35"/>
      <c r="R33" s="35"/>
      <c r="S33" s="35"/>
      <c r="T33" s="35"/>
      <c r="U33" s="35"/>
    </row>
    <row r="34" ht="14.25" customHeight="1">
      <c r="A34" s="40" t="s">
        <v>25</v>
      </c>
      <c r="B34" s="39" t="s">
        <v>900</v>
      </c>
      <c r="C34" s="18"/>
      <c r="D34" s="20"/>
      <c r="E34" s="40">
        <v>3.0</v>
      </c>
      <c r="F34" s="40">
        <v>10.0</v>
      </c>
      <c r="G34" s="40">
        <v>7.0</v>
      </c>
      <c r="H34" s="40"/>
      <c r="I34" s="42"/>
      <c r="J34" s="9"/>
      <c r="M34" s="34" t="s">
        <v>7</v>
      </c>
      <c r="N34" s="35" t="str">
        <f>AVERAGEIF($A74:$A83,"Empuje",$G74:$G83)</f>
        <v>#DIV/0!</v>
      </c>
      <c r="O34" s="35" t="str">
        <f>AVERAGEIF($A74:$A83,"Tracción",$G74:$G83)</f>
        <v>#DIV/0!</v>
      </c>
      <c r="P34" s="35" t="str">
        <f>AVERAGEIF($A74:$A83,"Dom. Rodillas",$G74:$G83)</f>
        <v>#DIV/0!</v>
      </c>
      <c r="Q34" s="35" t="str">
        <f>AVERAGEIF($A74:$A83,"Dom. Caderas",$G74:$G83)</f>
        <v>#DIV/0!</v>
      </c>
      <c r="R34" s="35" t="str">
        <f>AVERAGEIF($A74:$A83,"A. Empuje",$G74:$G83)</f>
        <v>#DIV/0!</v>
      </c>
      <c r="S34" s="35" t="str">
        <f>AVERAGEIF($A74:$A83,"A. Tracción",$G74:$G83)</f>
        <v>#DIV/0!</v>
      </c>
      <c r="T34" s="35" t="str">
        <f>AVERAGEIF($A74:$A83,"A. Rodillas",$G74:$G83)</f>
        <v>#DIV/0!</v>
      </c>
      <c r="U34" s="35" t="str">
        <f>AVERAGEIF($A74:$A83,"A. Cadera",$G74:$G83)</f>
        <v>#DIV/0!</v>
      </c>
    </row>
    <row r="35" ht="14.25" customHeight="1">
      <c r="A35" s="40" t="s">
        <v>47</v>
      </c>
      <c r="B35" s="96" t="s">
        <v>1006</v>
      </c>
      <c r="C35" s="8"/>
      <c r="D35" s="9"/>
      <c r="E35" s="40">
        <v>4.0</v>
      </c>
      <c r="F35" s="40">
        <v>10.0</v>
      </c>
      <c r="G35" s="40"/>
      <c r="H35" s="40"/>
      <c r="I35" s="97"/>
      <c r="J35" s="98"/>
      <c r="M35" s="65"/>
      <c r="N35" s="25"/>
      <c r="O35" s="25"/>
      <c r="P35" s="25"/>
      <c r="Q35" s="25"/>
      <c r="R35" s="25"/>
      <c r="S35" s="25"/>
      <c r="T35" s="25"/>
      <c r="U35" s="25"/>
    </row>
    <row r="36" ht="14.25" customHeight="1">
      <c r="A36" s="40" t="s">
        <v>73</v>
      </c>
      <c r="B36" s="96" t="s">
        <v>1007</v>
      </c>
      <c r="C36" s="8"/>
      <c r="D36" s="9"/>
      <c r="E36" s="40">
        <v>3.0</v>
      </c>
      <c r="F36" s="40">
        <v>10.0</v>
      </c>
      <c r="G36" s="40">
        <v>7.0</v>
      </c>
      <c r="H36" s="40"/>
      <c r="I36" s="42"/>
      <c r="J36" s="9"/>
    </row>
    <row r="37" ht="14.25" customHeight="1">
      <c r="B37" s="26"/>
      <c r="C37" s="29"/>
      <c r="D37" s="29"/>
    </row>
    <row r="38" ht="14.25" customHeight="1"/>
    <row r="39" ht="14.25" customHeight="1">
      <c r="A39" s="2" t="s">
        <v>57</v>
      </c>
      <c r="B39" s="3"/>
      <c r="C39" s="4"/>
      <c r="J39" s="1"/>
    </row>
    <row r="40" ht="14.25" customHeight="1">
      <c r="A40" s="6" t="s">
        <v>3</v>
      </c>
      <c r="B40" s="10" t="s">
        <v>4</v>
      </c>
      <c r="C40" s="8"/>
      <c r="D40" s="9"/>
      <c r="E40" s="6" t="s">
        <v>5</v>
      </c>
      <c r="F40" s="6" t="s">
        <v>6</v>
      </c>
      <c r="G40" s="6" t="s">
        <v>7</v>
      </c>
      <c r="H40" s="6" t="s">
        <v>8</v>
      </c>
      <c r="I40" s="10" t="s">
        <v>9</v>
      </c>
      <c r="J40" s="9"/>
    </row>
    <row r="41" ht="14.25" customHeight="1">
      <c r="A41" s="230"/>
      <c r="B41" s="231" t="s">
        <v>1009</v>
      </c>
      <c r="C41" s="18"/>
      <c r="D41" s="20"/>
      <c r="E41" s="230">
        <v>2.0</v>
      </c>
      <c r="F41" s="230">
        <v>6.0</v>
      </c>
      <c r="G41" s="230"/>
      <c r="H41" s="270"/>
      <c r="I41" s="232" t="s">
        <v>961</v>
      </c>
      <c r="J41" s="9"/>
    </row>
    <row r="42" ht="14.25" customHeight="1">
      <c r="A42" s="230"/>
      <c r="B42" s="231" t="s">
        <v>1010</v>
      </c>
      <c r="C42" s="18"/>
      <c r="D42" s="20"/>
      <c r="E42" s="230">
        <v>2.0</v>
      </c>
      <c r="F42" s="230">
        <v>6.0</v>
      </c>
      <c r="G42" s="230"/>
      <c r="H42" s="270"/>
      <c r="I42" s="232"/>
      <c r="J42" s="9"/>
    </row>
    <row r="43" ht="14.25" customHeight="1">
      <c r="A43" s="230"/>
      <c r="B43" s="231" t="s">
        <v>1011</v>
      </c>
      <c r="C43" s="18"/>
      <c r="D43" s="20"/>
      <c r="E43" s="230">
        <v>3.0</v>
      </c>
      <c r="F43" s="230">
        <v>6.0</v>
      </c>
      <c r="G43" s="230"/>
      <c r="H43" s="270"/>
      <c r="I43" s="232"/>
      <c r="J43" s="9"/>
    </row>
    <row r="44" ht="14.25" customHeight="1">
      <c r="A44" s="234"/>
      <c r="B44" s="237" t="s">
        <v>1012</v>
      </c>
      <c r="C44" s="18"/>
      <c r="D44" s="20"/>
      <c r="E44" s="234">
        <v>3.0</v>
      </c>
      <c r="F44" s="234">
        <v>12.0</v>
      </c>
      <c r="G44" s="234"/>
      <c r="H44" s="247"/>
      <c r="I44" s="236" t="s">
        <v>997</v>
      </c>
      <c r="J44" s="9"/>
    </row>
    <row r="45" ht="14.25" customHeight="1">
      <c r="A45" s="234"/>
      <c r="B45" s="237" t="s">
        <v>1013</v>
      </c>
      <c r="C45" s="18"/>
      <c r="D45" s="20"/>
      <c r="E45" s="234">
        <v>3.0</v>
      </c>
      <c r="F45" s="234">
        <v>6.0</v>
      </c>
      <c r="G45" s="234"/>
      <c r="H45" s="234"/>
      <c r="I45" s="236"/>
      <c r="J45" s="9"/>
    </row>
    <row r="46" ht="14.25" customHeight="1">
      <c r="A46" s="234"/>
      <c r="B46" s="237" t="s">
        <v>999</v>
      </c>
      <c r="C46" s="18"/>
      <c r="D46" s="20"/>
      <c r="E46" s="234">
        <v>3.0</v>
      </c>
      <c r="F46" s="234">
        <v>8.0</v>
      </c>
      <c r="G46" s="234"/>
      <c r="H46" s="234"/>
      <c r="I46" s="236"/>
      <c r="J46" s="9"/>
    </row>
    <row r="47" ht="14.25" customHeight="1">
      <c r="A47" s="234"/>
      <c r="B47" s="237" t="s">
        <v>1014</v>
      </c>
      <c r="C47" s="18"/>
      <c r="D47" s="20"/>
      <c r="E47" s="234">
        <v>3.0</v>
      </c>
      <c r="F47" s="234">
        <v>12.0</v>
      </c>
      <c r="G47" s="234"/>
      <c r="H47" s="234"/>
      <c r="I47" s="236"/>
      <c r="J47" s="9"/>
    </row>
    <row r="48" ht="14.25" customHeight="1">
      <c r="A48" s="158"/>
      <c r="B48" s="168" t="s">
        <v>1015</v>
      </c>
      <c r="C48" s="8"/>
      <c r="D48" s="9"/>
      <c r="E48" s="158">
        <v>2.0</v>
      </c>
      <c r="F48" s="158" t="s">
        <v>1016</v>
      </c>
      <c r="G48" s="158"/>
      <c r="H48" s="158"/>
      <c r="I48" s="168" t="s">
        <v>155</v>
      </c>
      <c r="J48" s="9"/>
    </row>
    <row r="49" ht="14.25" customHeight="1">
      <c r="A49" s="158"/>
      <c r="B49" s="168" t="s">
        <v>1017</v>
      </c>
      <c r="C49" s="8"/>
      <c r="D49" s="9"/>
      <c r="E49" s="158">
        <v>2.0</v>
      </c>
      <c r="F49" s="158">
        <v>2.0</v>
      </c>
      <c r="G49" s="158"/>
      <c r="H49" s="158"/>
      <c r="I49" s="169"/>
      <c r="J49" s="170"/>
    </row>
    <row r="50" ht="14.25" customHeight="1">
      <c r="A50" s="40" t="s">
        <v>19</v>
      </c>
      <c r="B50" s="39" t="s">
        <v>195</v>
      </c>
      <c r="C50" s="18"/>
      <c r="D50" s="20"/>
      <c r="E50" s="40">
        <v>4.0</v>
      </c>
      <c r="F50" s="40">
        <v>10.0</v>
      </c>
      <c r="G50" s="40">
        <v>7.0</v>
      </c>
      <c r="H50" s="40"/>
      <c r="I50" s="42" t="s">
        <v>977</v>
      </c>
      <c r="J50" s="9"/>
    </row>
    <row r="51" ht="14.25" customHeight="1">
      <c r="A51" s="40" t="s">
        <v>23</v>
      </c>
      <c r="B51" s="39" t="s">
        <v>745</v>
      </c>
      <c r="C51" s="18"/>
      <c r="D51" s="20"/>
      <c r="E51" s="40">
        <v>3.0</v>
      </c>
      <c r="F51" s="40">
        <v>8.0</v>
      </c>
      <c r="G51" s="40"/>
      <c r="H51" s="40"/>
      <c r="I51" s="42"/>
      <c r="J51" s="9"/>
    </row>
    <row r="52" ht="14.25" customHeight="1">
      <c r="A52" s="40" t="s">
        <v>17</v>
      </c>
      <c r="B52" s="96" t="s">
        <v>1019</v>
      </c>
      <c r="C52" s="8"/>
      <c r="D52" s="9"/>
      <c r="E52" s="40">
        <v>4.0</v>
      </c>
      <c r="F52" s="40">
        <v>10.0</v>
      </c>
      <c r="G52" s="40"/>
      <c r="H52" s="40"/>
      <c r="I52" s="97"/>
      <c r="J52" s="98"/>
    </row>
    <row r="53" ht="14.25" customHeight="1">
      <c r="A53" s="40" t="s">
        <v>22</v>
      </c>
      <c r="B53" s="96" t="s">
        <v>1020</v>
      </c>
      <c r="C53" s="8"/>
      <c r="D53" s="9"/>
      <c r="E53" s="40">
        <v>3.0</v>
      </c>
      <c r="F53" s="40">
        <v>12.0</v>
      </c>
      <c r="G53" s="40"/>
      <c r="H53" s="40"/>
      <c r="I53" s="42"/>
      <c r="J53" s="9"/>
    </row>
    <row r="54" ht="14.25" customHeight="1">
      <c r="B54" s="26"/>
      <c r="C54" s="29"/>
      <c r="D54" s="29"/>
    </row>
    <row r="55" ht="14.25" customHeight="1"/>
    <row r="56" ht="14.25" customHeight="1">
      <c r="A56" s="2" t="s">
        <v>66</v>
      </c>
      <c r="B56" s="3"/>
      <c r="C56" s="4"/>
      <c r="J56" s="1"/>
    </row>
    <row r="57" ht="14.25" customHeight="1">
      <c r="A57" s="6" t="s">
        <v>3</v>
      </c>
      <c r="B57" s="10" t="s">
        <v>4</v>
      </c>
      <c r="C57" s="8"/>
      <c r="D57" s="9"/>
      <c r="E57" s="6" t="s">
        <v>5</v>
      </c>
      <c r="F57" s="6" t="s">
        <v>6</v>
      </c>
      <c r="G57" s="6" t="s">
        <v>7</v>
      </c>
      <c r="H57" s="6" t="s">
        <v>8</v>
      </c>
      <c r="I57" s="10" t="s">
        <v>9</v>
      </c>
      <c r="J57" s="9"/>
    </row>
    <row r="58" ht="14.25" customHeight="1">
      <c r="A58" s="230"/>
      <c r="B58" s="231"/>
      <c r="C58" s="18"/>
      <c r="D58" s="20"/>
      <c r="E58" s="230"/>
      <c r="F58" s="230"/>
      <c r="G58" s="230"/>
      <c r="H58" s="230"/>
      <c r="I58" s="232"/>
      <c r="J58" s="9"/>
    </row>
    <row r="59" ht="14.25" customHeight="1">
      <c r="A59" s="230"/>
      <c r="B59" s="231"/>
      <c r="C59" s="18"/>
      <c r="D59" s="20"/>
      <c r="E59" s="230"/>
      <c r="F59" s="230"/>
      <c r="G59" s="230"/>
      <c r="H59" s="230"/>
      <c r="I59" s="232"/>
      <c r="J59" s="9"/>
    </row>
    <row r="60" ht="14.25" customHeight="1">
      <c r="A60" s="230"/>
      <c r="B60" s="231"/>
      <c r="C60" s="18"/>
      <c r="D60" s="20"/>
      <c r="E60" s="230"/>
      <c r="F60" s="230"/>
      <c r="G60" s="230"/>
      <c r="H60" s="230"/>
      <c r="I60" s="232"/>
      <c r="J60" s="9"/>
    </row>
    <row r="61" ht="14.25" customHeight="1">
      <c r="A61" s="234"/>
      <c r="B61" s="237"/>
      <c r="C61" s="18"/>
      <c r="D61" s="20"/>
      <c r="E61" s="234"/>
      <c r="F61" s="234"/>
      <c r="G61" s="234"/>
      <c r="H61" s="234"/>
      <c r="I61" s="236"/>
      <c r="J61" s="9"/>
    </row>
    <row r="62" ht="14.25" customHeight="1">
      <c r="A62" s="234"/>
      <c r="B62" s="237"/>
      <c r="C62" s="18"/>
      <c r="D62" s="20"/>
      <c r="E62" s="234"/>
      <c r="F62" s="234"/>
      <c r="G62" s="234"/>
      <c r="H62" s="234"/>
      <c r="I62" s="236"/>
      <c r="J62" s="9"/>
    </row>
    <row r="63" ht="14.25" customHeight="1">
      <c r="A63" s="234"/>
      <c r="B63" s="237"/>
      <c r="C63" s="18"/>
      <c r="D63" s="20"/>
      <c r="E63" s="234"/>
      <c r="F63" s="234"/>
      <c r="G63" s="234"/>
      <c r="H63" s="234"/>
      <c r="I63" s="236"/>
      <c r="J63" s="9"/>
    </row>
    <row r="64" ht="14.25" customHeight="1">
      <c r="A64" s="158"/>
      <c r="B64" s="159"/>
      <c r="C64" s="18"/>
      <c r="D64" s="20"/>
      <c r="E64" s="158"/>
      <c r="F64" s="158"/>
      <c r="G64" s="158"/>
      <c r="H64" s="158"/>
      <c r="I64" s="160"/>
      <c r="J64" s="9"/>
    </row>
    <row r="65" ht="14.25" customHeight="1">
      <c r="A65" s="158"/>
      <c r="B65" s="159"/>
      <c r="C65" s="18"/>
      <c r="D65" s="20"/>
      <c r="E65" s="158"/>
      <c r="F65" s="158"/>
      <c r="G65" s="158"/>
      <c r="H65" s="158"/>
      <c r="I65" s="160"/>
      <c r="J65" s="9"/>
    </row>
    <row r="66" ht="14.25" customHeight="1">
      <c r="A66" s="49"/>
      <c r="B66" s="271"/>
      <c r="C66" s="272"/>
      <c r="D66" s="272"/>
      <c r="E66" s="49"/>
      <c r="F66" s="49"/>
      <c r="G66" s="49"/>
      <c r="H66" s="49"/>
      <c r="I66" s="63"/>
      <c r="J66" s="64"/>
    </row>
    <row r="67" ht="14.25" customHeight="1">
      <c r="A67" s="49"/>
      <c r="B67" s="271"/>
      <c r="C67" s="272"/>
      <c r="D67" s="272"/>
      <c r="E67" s="49"/>
      <c r="F67" s="49"/>
      <c r="G67" s="49"/>
      <c r="H67" s="49"/>
      <c r="I67" s="63"/>
      <c r="J67" s="64"/>
    </row>
    <row r="68" ht="14.25" customHeight="1">
      <c r="A68" s="15"/>
      <c r="B68" s="17"/>
      <c r="C68" s="18"/>
      <c r="D68" s="20"/>
      <c r="E68" s="15"/>
      <c r="F68" s="15"/>
      <c r="G68" s="15"/>
      <c r="H68" s="15"/>
      <c r="I68" s="23"/>
      <c r="J68" s="9"/>
    </row>
    <row r="69" ht="14.25" customHeight="1">
      <c r="A69" s="15"/>
      <c r="B69" s="61"/>
      <c r="C69" s="8"/>
      <c r="D69" s="9"/>
      <c r="E69" s="15"/>
      <c r="F69" s="15"/>
      <c r="G69" s="15"/>
      <c r="H69" s="15"/>
      <c r="I69" s="23"/>
      <c r="J69" s="9"/>
    </row>
    <row r="70" ht="14.25" customHeight="1">
      <c r="B70" s="26"/>
      <c r="C70" s="29"/>
      <c r="D70" s="29"/>
    </row>
    <row r="71" ht="14.25" customHeight="1"/>
    <row r="72" ht="14.25" customHeight="1">
      <c r="A72" s="2" t="s">
        <v>76</v>
      </c>
      <c r="B72" s="3"/>
      <c r="C72" s="4"/>
      <c r="J72" s="1"/>
    </row>
    <row r="73" ht="14.25" customHeight="1">
      <c r="A73" s="6" t="s">
        <v>3</v>
      </c>
      <c r="B73" s="10" t="s">
        <v>4</v>
      </c>
      <c r="C73" s="8"/>
      <c r="D73" s="9"/>
      <c r="E73" s="6" t="s">
        <v>5</v>
      </c>
      <c r="F73" s="6" t="s">
        <v>6</v>
      </c>
      <c r="G73" s="6" t="s">
        <v>7</v>
      </c>
      <c r="H73" s="6" t="s">
        <v>8</v>
      </c>
      <c r="I73" s="10" t="s">
        <v>9</v>
      </c>
      <c r="J73" s="9"/>
    </row>
    <row r="74" ht="14.25" customHeight="1">
      <c r="A74" s="230"/>
      <c r="B74" s="231"/>
      <c r="C74" s="18"/>
      <c r="D74" s="20"/>
      <c r="E74" s="230"/>
      <c r="F74" s="230"/>
      <c r="G74" s="230"/>
      <c r="H74" s="230"/>
      <c r="I74" s="232"/>
      <c r="J74" s="9"/>
    </row>
    <row r="75" ht="14.25" customHeight="1">
      <c r="A75" s="230"/>
      <c r="B75" s="231"/>
      <c r="C75" s="18"/>
      <c r="D75" s="20"/>
      <c r="E75" s="230"/>
      <c r="F75" s="230"/>
      <c r="G75" s="230"/>
      <c r="H75" s="230"/>
      <c r="I75" s="232"/>
      <c r="J75" s="9"/>
    </row>
    <row r="76" ht="14.25" customHeight="1">
      <c r="A76" s="230"/>
      <c r="B76" s="231"/>
      <c r="C76" s="18"/>
      <c r="D76" s="20"/>
      <c r="E76" s="230"/>
      <c r="F76" s="230"/>
      <c r="G76" s="230"/>
      <c r="H76" s="230"/>
      <c r="I76" s="232"/>
      <c r="J76" s="9"/>
    </row>
    <row r="77" ht="14.25" customHeight="1">
      <c r="A77" s="234"/>
      <c r="B77" s="237"/>
      <c r="C77" s="18"/>
      <c r="D77" s="20"/>
      <c r="E77" s="234"/>
      <c r="F77" s="234"/>
      <c r="G77" s="234"/>
      <c r="H77" s="234"/>
      <c r="I77" s="236"/>
      <c r="J77" s="9"/>
    </row>
    <row r="78" ht="14.25" customHeight="1">
      <c r="A78" s="234"/>
      <c r="B78" s="237"/>
      <c r="C78" s="18"/>
      <c r="D78" s="20"/>
      <c r="E78" s="234"/>
      <c r="F78" s="234"/>
      <c r="G78" s="234"/>
      <c r="H78" s="234"/>
      <c r="I78" s="236"/>
      <c r="J78" s="9"/>
    </row>
    <row r="79" ht="14.25" customHeight="1">
      <c r="A79" s="234"/>
      <c r="B79" s="237"/>
      <c r="C79" s="18"/>
      <c r="D79" s="20"/>
      <c r="E79" s="234"/>
      <c r="F79" s="234"/>
      <c r="G79" s="234"/>
      <c r="H79" s="234"/>
      <c r="I79" s="236"/>
      <c r="J79" s="9"/>
    </row>
    <row r="80" ht="14.25" customHeight="1">
      <c r="A80" s="15"/>
      <c r="B80" s="17"/>
      <c r="C80" s="18"/>
      <c r="D80" s="20"/>
      <c r="E80" s="15"/>
      <c r="F80" s="15"/>
      <c r="G80" s="15"/>
      <c r="H80" s="15"/>
      <c r="I80" s="23"/>
      <c r="J80" s="9"/>
    </row>
    <row r="81" ht="14.25" customHeight="1">
      <c r="A81" s="15"/>
      <c r="B81" s="17"/>
      <c r="C81" s="18"/>
      <c r="D81" s="20"/>
      <c r="E81" s="15"/>
      <c r="F81" s="15"/>
      <c r="G81" s="15"/>
      <c r="H81" s="15"/>
      <c r="I81" s="23"/>
      <c r="J81" s="9"/>
    </row>
    <row r="82" ht="14.25" customHeight="1">
      <c r="A82" s="15"/>
      <c r="B82" s="17"/>
      <c r="C82" s="18"/>
      <c r="D82" s="20"/>
      <c r="E82" s="15"/>
      <c r="F82" s="15"/>
      <c r="G82" s="15"/>
      <c r="H82" s="15"/>
      <c r="I82" s="23"/>
      <c r="J82" s="9"/>
    </row>
    <row r="83" ht="14.25" customHeight="1">
      <c r="A83" s="15"/>
      <c r="B83" s="61"/>
      <c r="C83" s="8"/>
      <c r="D83" s="9"/>
      <c r="E83" s="15"/>
      <c r="F83" s="15"/>
      <c r="G83" s="15"/>
      <c r="H83" s="15"/>
      <c r="I83" s="23"/>
      <c r="J83" s="9"/>
    </row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8">
    <mergeCell ref="I25:J25"/>
    <mergeCell ref="I26:J26"/>
    <mergeCell ref="B23:D23"/>
    <mergeCell ref="I23:J23"/>
    <mergeCell ref="B24:D24"/>
    <mergeCell ref="I24:J24"/>
    <mergeCell ref="M24:U24"/>
    <mergeCell ref="B25:D25"/>
    <mergeCell ref="B26:D26"/>
    <mergeCell ref="I29:J29"/>
    <mergeCell ref="I30:J30"/>
    <mergeCell ref="B27:D27"/>
    <mergeCell ref="I27:J27"/>
    <mergeCell ref="B28:D28"/>
    <mergeCell ref="I28:J28"/>
    <mergeCell ref="B29:D29"/>
    <mergeCell ref="M29:U29"/>
    <mergeCell ref="B30:D30"/>
    <mergeCell ref="A4:C4"/>
    <mergeCell ref="B5:D5"/>
    <mergeCell ref="I5:J5"/>
    <mergeCell ref="M5:U5"/>
    <mergeCell ref="W5:Y5"/>
    <mergeCell ref="B6:D6"/>
    <mergeCell ref="B7:D7"/>
    <mergeCell ref="I10:J10"/>
    <mergeCell ref="M10:U10"/>
    <mergeCell ref="I9:J9"/>
    <mergeCell ref="I11:J11"/>
    <mergeCell ref="I18:J18"/>
    <mergeCell ref="I19:J19"/>
    <mergeCell ref="I6:J6"/>
    <mergeCell ref="I7:J7"/>
    <mergeCell ref="B8:D8"/>
    <mergeCell ref="I8:J8"/>
    <mergeCell ref="B9:D9"/>
    <mergeCell ref="B10:D10"/>
    <mergeCell ref="B11:D11"/>
    <mergeCell ref="B12:D12"/>
    <mergeCell ref="I12:J12"/>
    <mergeCell ref="B13:D13"/>
    <mergeCell ref="I13:J13"/>
    <mergeCell ref="B14:D14"/>
    <mergeCell ref="B15:D15"/>
    <mergeCell ref="I15:J15"/>
    <mergeCell ref="B16:D16"/>
    <mergeCell ref="B17:D17"/>
    <mergeCell ref="B18:D18"/>
    <mergeCell ref="B19:D19"/>
    <mergeCell ref="M19:U19"/>
    <mergeCell ref="B20:D20"/>
    <mergeCell ref="A22:C22"/>
    <mergeCell ref="B31:D31"/>
    <mergeCell ref="I31:J31"/>
    <mergeCell ref="B32:D32"/>
    <mergeCell ref="B33:D33"/>
    <mergeCell ref="I33:J33"/>
    <mergeCell ref="B34:D34"/>
    <mergeCell ref="I34:J34"/>
    <mergeCell ref="I65:J65"/>
    <mergeCell ref="I68:J68"/>
    <mergeCell ref="I58:J58"/>
    <mergeCell ref="I59:J59"/>
    <mergeCell ref="I60:J60"/>
    <mergeCell ref="I61:J61"/>
    <mergeCell ref="I62:J62"/>
    <mergeCell ref="I63:J63"/>
    <mergeCell ref="I64:J64"/>
    <mergeCell ref="I40:J40"/>
    <mergeCell ref="I41:J41"/>
    <mergeCell ref="I46:J46"/>
    <mergeCell ref="I47:J47"/>
    <mergeCell ref="I48:J48"/>
    <mergeCell ref="I50:J50"/>
    <mergeCell ref="I51:J51"/>
    <mergeCell ref="I53:J53"/>
    <mergeCell ref="I57:J57"/>
    <mergeCell ref="I79:J79"/>
    <mergeCell ref="I80:J80"/>
    <mergeCell ref="I69:J69"/>
    <mergeCell ref="I73:J73"/>
    <mergeCell ref="I74:J74"/>
    <mergeCell ref="I75:J75"/>
    <mergeCell ref="I76:J76"/>
    <mergeCell ref="I77:J77"/>
    <mergeCell ref="I78:J78"/>
    <mergeCell ref="B35:D35"/>
    <mergeCell ref="B36:D36"/>
    <mergeCell ref="I36:J36"/>
    <mergeCell ref="B37:D37"/>
    <mergeCell ref="A39:C39"/>
    <mergeCell ref="B40:D40"/>
    <mergeCell ref="B41:D41"/>
    <mergeCell ref="B42:D42"/>
    <mergeCell ref="I42:J42"/>
    <mergeCell ref="B43:D43"/>
    <mergeCell ref="I43:J43"/>
    <mergeCell ref="B44:D44"/>
    <mergeCell ref="I44:J44"/>
    <mergeCell ref="I45:J45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6:C56"/>
    <mergeCell ref="B57:D57"/>
    <mergeCell ref="B58:D58"/>
    <mergeCell ref="B59:D59"/>
    <mergeCell ref="B60:D60"/>
    <mergeCell ref="B61:D61"/>
    <mergeCell ref="B62:D62"/>
    <mergeCell ref="B63:D63"/>
    <mergeCell ref="B64:D64"/>
    <mergeCell ref="B65:D65"/>
    <mergeCell ref="B68:D68"/>
    <mergeCell ref="B69:D69"/>
    <mergeCell ref="B70:D70"/>
    <mergeCell ref="A72:C72"/>
    <mergeCell ref="B73:D73"/>
    <mergeCell ref="B74:D74"/>
    <mergeCell ref="B75:D75"/>
    <mergeCell ref="B76:D76"/>
    <mergeCell ref="B82:D82"/>
    <mergeCell ref="B83:D83"/>
    <mergeCell ref="B77:D77"/>
    <mergeCell ref="B78:D78"/>
    <mergeCell ref="B79:D79"/>
    <mergeCell ref="B80:D80"/>
    <mergeCell ref="B81:D81"/>
    <mergeCell ref="I81:J81"/>
    <mergeCell ref="I82:J82"/>
    <mergeCell ref="I83:J83"/>
  </mergeCells>
  <dataValidations>
    <dataValidation type="list" allowBlank="1" showErrorMessage="1" sqref="J3 A6:A19 A24:A36 A41:A53 A58:A69 A74:A83">
      <formula1>Datos!$B$2:$B$12</formula1>
    </dataValidation>
    <dataValidation type="list" allowBlank="1" showErrorMessage="1" sqref="J4 J22 J39 J56 J72">
      <formula1>Datos!$D$2:$D$14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29"/>
    <col customWidth="1" min="2" max="9" width="10.71"/>
    <col customWidth="1" min="10" max="10" width="18.0"/>
    <col customWidth="1" min="11" max="27" width="10.71"/>
  </cols>
  <sheetData>
    <row r="1" ht="14.25" customHeight="1"/>
    <row r="2" ht="14.25" customHeight="1"/>
    <row r="3" ht="14.25" customHeight="1">
      <c r="J3" s="1"/>
    </row>
    <row r="4" ht="14.25" customHeight="1">
      <c r="A4" s="2" t="s">
        <v>0</v>
      </c>
      <c r="B4" s="3"/>
      <c r="C4" s="4"/>
      <c r="J4" s="1"/>
      <c r="X4" s="1"/>
      <c r="Y4" s="1"/>
      <c r="Z4" s="1"/>
      <c r="AA4" s="1"/>
    </row>
    <row r="5" ht="14.25" customHeight="1">
      <c r="A5" s="6" t="s">
        <v>3</v>
      </c>
      <c r="B5" s="10" t="s">
        <v>4</v>
      </c>
      <c r="C5" s="8"/>
      <c r="D5" s="9"/>
      <c r="E5" s="6" t="s">
        <v>5</v>
      </c>
      <c r="F5" s="6" t="s">
        <v>6</v>
      </c>
      <c r="G5" s="6" t="s">
        <v>7</v>
      </c>
      <c r="H5" s="6" t="s">
        <v>8</v>
      </c>
      <c r="I5" s="10" t="s">
        <v>9</v>
      </c>
      <c r="J5" s="9"/>
      <c r="M5" s="11" t="s">
        <v>0</v>
      </c>
      <c r="N5" s="12"/>
      <c r="O5" s="12"/>
      <c r="P5" s="12"/>
      <c r="Q5" s="12"/>
      <c r="R5" s="12"/>
      <c r="S5" s="12"/>
      <c r="T5" s="12"/>
      <c r="U5" s="13"/>
      <c r="W5" s="14" t="s">
        <v>11</v>
      </c>
      <c r="X5" s="12"/>
      <c r="Y5" s="13"/>
      <c r="AA5" s="1"/>
    </row>
    <row r="6" ht="14.25" customHeight="1">
      <c r="A6" s="111"/>
      <c r="B6" s="110" t="s">
        <v>1008</v>
      </c>
      <c r="C6" s="18"/>
      <c r="D6" s="20"/>
      <c r="E6" s="111"/>
      <c r="F6" s="111"/>
      <c r="G6" s="111"/>
      <c r="H6" s="245"/>
      <c r="I6" s="171" t="s">
        <v>961</v>
      </c>
      <c r="J6" s="9"/>
      <c r="M6" s="25"/>
      <c r="N6" s="28" t="s">
        <v>17</v>
      </c>
      <c r="O6" s="28" t="s">
        <v>19</v>
      </c>
      <c r="P6" s="28" t="s">
        <v>20</v>
      </c>
      <c r="Q6" s="28" t="s">
        <v>21</v>
      </c>
      <c r="R6" s="28" t="s">
        <v>22</v>
      </c>
      <c r="S6" s="28" t="s">
        <v>23</v>
      </c>
      <c r="T6" s="28" t="s">
        <v>24</v>
      </c>
      <c r="U6" s="28" t="s">
        <v>25</v>
      </c>
      <c r="W6" s="28" t="s">
        <v>17</v>
      </c>
      <c r="X6" s="1">
        <f>SUM(N7,N12,N21,N26,N30)</f>
        <v>18</v>
      </c>
      <c r="AA6" s="1"/>
    </row>
    <row r="7" ht="14.25" customHeight="1">
      <c r="A7" s="111"/>
      <c r="B7" s="110" t="s">
        <v>849</v>
      </c>
      <c r="C7" s="18"/>
      <c r="D7" s="20"/>
      <c r="E7" s="111"/>
      <c r="F7" s="111"/>
      <c r="G7" s="111"/>
      <c r="H7" s="245"/>
      <c r="I7" s="171"/>
      <c r="J7" s="9"/>
      <c r="M7" s="34" t="s">
        <v>36</v>
      </c>
      <c r="N7" s="35">
        <f>SUMIF(A6:A19,"Empuje",E6:E19)</f>
        <v>0</v>
      </c>
      <c r="O7" s="35">
        <f>SUMIF(A6:A19,"Tracción",E6:E19)</f>
        <v>0</v>
      </c>
      <c r="P7" s="35">
        <f>SUMIF($A6:$A19,"Dom. Rodillas",$E6:$E19)</f>
        <v>7</v>
      </c>
      <c r="Q7" s="35">
        <f>SUMIF($A6:$A19,"Dom. Caderas",$E6:$E19)</f>
        <v>0</v>
      </c>
      <c r="R7" s="35">
        <f>SUMIF($A6:$A19,"A. Empuje",$E6:$E19)</f>
        <v>4</v>
      </c>
      <c r="S7" s="36">
        <f>SUMIF(A6:A19,"A. Tracción",E6:E19)</f>
        <v>0</v>
      </c>
      <c r="T7" s="35">
        <f>SUMIF($A6:$A19,"A. Rodillas",$E6:$E19)</f>
        <v>4</v>
      </c>
      <c r="U7" s="35">
        <f>SUMIF($A6:$A19,"A. Cadera",$E6:$E19)</f>
        <v>0</v>
      </c>
      <c r="W7" s="28" t="s">
        <v>19</v>
      </c>
      <c r="X7" s="1">
        <f>SUM(O7,O12,O21,O26,O30)</f>
        <v>8</v>
      </c>
      <c r="AA7" s="1"/>
    </row>
    <row r="8" ht="14.25" customHeight="1">
      <c r="A8" s="111"/>
      <c r="B8" s="110" t="s">
        <v>1018</v>
      </c>
      <c r="C8" s="18"/>
      <c r="D8" s="20"/>
      <c r="E8" s="111"/>
      <c r="F8" s="111"/>
      <c r="G8" s="111"/>
      <c r="H8" s="245"/>
      <c r="I8" s="171"/>
      <c r="J8" s="9"/>
      <c r="M8" s="34" t="s">
        <v>7</v>
      </c>
      <c r="N8" s="35" t="str">
        <f>AVERAGEIF($A6:$A19,"Empuje",$G6:$G19)</f>
        <v>#DIV/0!</v>
      </c>
      <c r="O8" s="35" t="str">
        <f>AVERAGEIF($A6:$A19,"Traccion",$G6:$G19)</f>
        <v>#DIV/0!</v>
      </c>
      <c r="P8" s="35">
        <f>AVERAGEIF($A6:$A19,"Dom. Rodillas",$G6:$G19)</f>
        <v>8</v>
      </c>
      <c r="Q8" s="35" t="str">
        <f>AVERAGEIF($A6:$A19,"Dom. Cadera",$G6:$G19)</f>
        <v>#DIV/0!</v>
      </c>
      <c r="R8" s="35">
        <f>AVERAGEIF($A6:$A19,"A. Empuje",$G6:$G19)</f>
        <v>7</v>
      </c>
      <c r="S8" s="35" t="str">
        <f>AVERAGEIF($A6:$A19,"A. Tracción",$G6:$G19)</f>
        <v>#DIV/0!</v>
      </c>
      <c r="T8" s="35">
        <f>AVERAGEIF($A6:$A19,"A. Rodillas",$G6:$G19)</f>
        <v>7</v>
      </c>
      <c r="U8" s="35" t="str">
        <f>AVERAGEIF($A6:$A19,"A. Cadera",$G6:$G19)</f>
        <v>#DIV/0!</v>
      </c>
      <c r="W8" s="28" t="s">
        <v>20</v>
      </c>
      <c r="X8" s="1">
        <f>SUM(P7,P12,P21,P26,P30)</f>
        <v>14</v>
      </c>
      <c r="AA8" s="1"/>
    </row>
    <row r="9" ht="14.25" customHeight="1">
      <c r="A9" s="234"/>
      <c r="B9" s="237" t="s">
        <v>1021</v>
      </c>
      <c r="C9" s="18"/>
      <c r="D9" s="20"/>
      <c r="E9" s="234">
        <v>3.0</v>
      </c>
      <c r="F9" s="234" t="s">
        <v>65</v>
      </c>
      <c r="G9" s="234"/>
      <c r="H9" s="247"/>
      <c r="I9" s="236"/>
      <c r="J9" s="9"/>
      <c r="M9" s="25"/>
      <c r="N9" s="25"/>
      <c r="O9" s="25"/>
      <c r="P9" s="25"/>
      <c r="Q9" s="25"/>
      <c r="R9" s="25"/>
      <c r="S9" s="25"/>
      <c r="T9" s="25"/>
      <c r="U9" s="25"/>
      <c r="W9" s="28" t="s">
        <v>21</v>
      </c>
      <c r="X9" s="1">
        <f>SUM(Q7,Q12,Q21,Q26,Q30)</f>
        <v>4</v>
      </c>
      <c r="AA9" s="1"/>
    </row>
    <row r="10" ht="14.25" customHeight="1">
      <c r="A10" s="234"/>
      <c r="B10" s="237" t="s">
        <v>1022</v>
      </c>
      <c r="C10" s="18"/>
      <c r="D10" s="20"/>
      <c r="E10" s="234">
        <v>3.0</v>
      </c>
      <c r="F10" s="234">
        <v>12.0</v>
      </c>
      <c r="G10" s="234"/>
      <c r="H10" s="247"/>
      <c r="I10" s="236"/>
      <c r="J10" s="9"/>
      <c r="M10" s="11" t="s">
        <v>45</v>
      </c>
      <c r="N10" s="12"/>
      <c r="O10" s="12"/>
      <c r="P10" s="12"/>
      <c r="Q10" s="12"/>
      <c r="R10" s="12"/>
      <c r="S10" s="12"/>
      <c r="T10" s="12"/>
      <c r="U10" s="13"/>
      <c r="W10" s="28" t="s">
        <v>22</v>
      </c>
      <c r="X10" s="1">
        <f>SUM(R7,R12,R21,R26,R30)</f>
        <v>8</v>
      </c>
      <c r="AA10" s="1"/>
    </row>
    <row r="11" ht="14.25" customHeight="1">
      <c r="A11" s="234"/>
      <c r="B11" s="237" t="s">
        <v>1023</v>
      </c>
      <c r="C11" s="18"/>
      <c r="D11" s="20"/>
      <c r="E11" s="234">
        <v>3.0</v>
      </c>
      <c r="F11" s="234">
        <v>10.0</v>
      </c>
      <c r="G11" s="234"/>
      <c r="H11" s="248"/>
      <c r="I11" s="236"/>
      <c r="J11" s="9"/>
      <c r="M11" s="25"/>
      <c r="N11" s="28" t="s">
        <v>17</v>
      </c>
      <c r="O11" s="28" t="s">
        <v>19</v>
      </c>
      <c r="P11" s="28" t="s">
        <v>20</v>
      </c>
      <c r="Q11" s="28" t="s">
        <v>21</v>
      </c>
      <c r="R11" s="28" t="s">
        <v>22</v>
      </c>
      <c r="S11" s="28" t="s">
        <v>23</v>
      </c>
      <c r="T11" s="28" t="s">
        <v>24</v>
      </c>
      <c r="U11" s="28" t="s">
        <v>25</v>
      </c>
      <c r="W11" s="28" t="s">
        <v>23</v>
      </c>
      <c r="X11" s="1">
        <f>SUM(S7,S12,S21,S26,S30)</f>
        <v>4</v>
      </c>
      <c r="AA11" s="1"/>
    </row>
    <row r="12" ht="14.25" customHeight="1">
      <c r="A12" s="234"/>
      <c r="B12" s="237" t="s">
        <v>1024</v>
      </c>
      <c r="C12" s="18"/>
      <c r="D12" s="20"/>
      <c r="E12" s="234">
        <v>3.0</v>
      </c>
      <c r="F12" s="234" t="s">
        <v>880</v>
      </c>
      <c r="G12" s="234"/>
      <c r="H12" s="248"/>
      <c r="I12" s="236"/>
      <c r="J12" s="9"/>
      <c r="M12" s="34" t="s">
        <v>36</v>
      </c>
      <c r="N12" s="35">
        <f>SUMIF($A24:$A38,"Empuje",$E24:$E38)</f>
        <v>13</v>
      </c>
      <c r="O12" s="35">
        <f>SUMIF($A24:$A38,"Tracción",$E24:$E38)</f>
        <v>8</v>
      </c>
      <c r="P12" s="35">
        <f>SUMIF($A24:$A38,"Dom. Rodillas",$E24:$E38)</f>
        <v>0</v>
      </c>
      <c r="Q12" s="35">
        <f>SUMIF($A24:$A38,"Dom. Caderas",$E24:$E38)</f>
        <v>0</v>
      </c>
      <c r="R12" s="35">
        <f>SUMIF($A24:$A38,"A. Empuje",$E24:$E38)</f>
        <v>4</v>
      </c>
      <c r="S12" s="35">
        <f>SUMIF($A24:$A38,"A. Tracción",$E24:$E38)</f>
        <v>0</v>
      </c>
      <c r="T12" s="35">
        <f>SUMIF($A24:$A38,"A. Rodillas",$E24:$E38)</f>
        <v>4</v>
      </c>
      <c r="U12" s="35">
        <f>SUMIF($A24:$A38,"A. Cadera",$E24:$E38)</f>
        <v>0</v>
      </c>
      <c r="W12" s="28" t="s">
        <v>24</v>
      </c>
      <c r="X12" s="1">
        <f>SUM(T7,T12,T21,T26,T30)</f>
        <v>9</v>
      </c>
      <c r="AA12" s="1"/>
    </row>
    <row r="13" ht="14.25" customHeight="1">
      <c r="A13" s="158"/>
      <c r="B13" s="159" t="s">
        <v>1025</v>
      </c>
      <c r="C13" s="18"/>
      <c r="D13" s="20"/>
      <c r="E13" s="158">
        <v>3.0</v>
      </c>
      <c r="F13" s="158"/>
      <c r="G13" s="158"/>
      <c r="H13" s="253"/>
      <c r="I13" s="160"/>
      <c r="J13" s="9"/>
      <c r="M13" s="34" t="s">
        <v>7</v>
      </c>
      <c r="N13" s="35">
        <f>AVERAGEIF($A24:$A38,"Empuje",$G24:$G38)</f>
        <v>8</v>
      </c>
      <c r="O13" s="35">
        <f>AVERAGEIF($A24:$A38,"Tracción",$G24:$G38)</f>
        <v>8</v>
      </c>
      <c r="P13" s="35" t="str">
        <f>AVERAGEIF($A24:$A38,"Dom. Rodillas",$G24:$G38)</f>
        <v>#DIV/0!</v>
      </c>
      <c r="Q13" s="35" t="str">
        <f>AVERAGEIF($A24:$A38,"Dom.Cadera",$G24:$G38)</f>
        <v>#DIV/0!</v>
      </c>
      <c r="R13" s="35" t="str">
        <f>AVERAGEIF($A24:$A38,"A. Empuje",$G24:$G38)</f>
        <v>#DIV/0!</v>
      </c>
      <c r="S13" s="35" t="str">
        <f>AVERAGEIF($A24:$A38,"A. Tracción",$G24:$G38)</f>
        <v>#DIV/0!</v>
      </c>
      <c r="T13" s="35" t="str">
        <f>AVERAGEIF($A24:$A38,"A. Rodillas",$G24:$G38)</f>
        <v>#DIV/0!</v>
      </c>
      <c r="U13" s="35" t="str">
        <f>AVERAGEIF($A24:$A38,"A. Cadera",$G24:$G38)</f>
        <v>#DIV/0!</v>
      </c>
      <c r="W13" s="28" t="s">
        <v>25</v>
      </c>
      <c r="X13" s="1">
        <f>SUM(U7,U12,U21,U26,U30)</f>
        <v>0</v>
      </c>
      <c r="AA13" s="1"/>
    </row>
    <row r="14" ht="14.25" customHeight="1">
      <c r="A14" s="158"/>
      <c r="B14" s="168" t="s">
        <v>1026</v>
      </c>
      <c r="C14" s="8"/>
      <c r="D14" s="9"/>
      <c r="E14" s="158">
        <v>3.0</v>
      </c>
      <c r="F14" s="158"/>
      <c r="G14" s="158"/>
      <c r="H14" s="253"/>
      <c r="I14" s="169"/>
      <c r="J14" s="170"/>
      <c r="M14" s="65"/>
      <c r="N14" s="25"/>
      <c r="O14" s="25"/>
      <c r="P14" s="25"/>
      <c r="Q14" s="25"/>
      <c r="R14" s="25"/>
      <c r="S14" s="25"/>
      <c r="T14" s="25"/>
      <c r="U14" s="25"/>
      <c r="W14" s="256"/>
      <c r="X14" s="1"/>
      <c r="AA14" s="1"/>
    </row>
    <row r="15" ht="14.25" customHeight="1">
      <c r="A15" s="15" t="s">
        <v>47</v>
      </c>
      <c r="B15" s="61" t="s">
        <v>484</v>
      </c>
      <c r="C15" s="8"/>
      <c r="D15" s="9"/>
      <c r="E15" s="15">
        <v>4.0</v>
      </c>
      <c r="F15" s="15" t="s">
        <v>1027</v>
      </c>
      <c r="G15" s="15" t="s">
        <v>1028</v>
      </c>
      <c r="H15" s="259"/>
      <c r="I15" s="217"/>
      <c r="J15" s="218"/>
      <c r="M15" s="65"/>
      <c r="N15" s="25"/>
      <c r="O15" s="25"/>
      <c r="P15" s="25"/>
      <c r="Q15" s="25"/>
      <c r="R15" s="25"/>
      <c r="S15" s="25"/>
      <c r="T15" s="25"/>
      <c r="U15" s="25"/>
      <c r="W15" s="256"/>
      <c r="X15" s="1"/>
      <c r="AA15" s="1"/>
    </row>
    <row r="16" ht="14.25" customHeight="1">
      <c r="A16" s="15" t="s">
        <v>47</v>
      </c>
      <c r="B16" s="61" t="s">
        <v>1029</v>
      </c>
      <c r="C16" s="8"/>
      <c r="D16" s="9"/>
      <c r="E16" s="15">
        <v>3.0</v>
      </c>
      <c r="F16" s="15">
        <v>16.0</v>
      </c>
      <c r="G16" s="15">
        <v>8.0</v>
      </c>
      <c r="H16" s="259"/>
      <c r="I16" s="217"/>
      <c r="J16" s="218"/>
      <c r="M16" s="65"/>
      <c r="N16" s="25"/>
      <c r="O16" s="25"/>
      <c r="P16" s="25"/>
      <c r="Q16" s="25"/>
      <c r="R16" s="25"/>
      <c r="S16" s="25"/>
      <c r="T16" s="25"/>
      <c r="U16" s="25"/>
      <c r="W16" s="256"/>
      <c r="X16" s="1"/>
      <c r="AA16" s="1"/>
    </row>
    <row r="17" ht="14.25" customHeight="1">
      <c r="A17" s="68" t="s">
        <v>22</v>
      </c>
      <c r="B17" s="118" t="s">
        <v>1030</v>
      </c>
      <c r="C17" s="8"/>
      <c r="D17" s="9"/>
      <c r="E17" s="68">
        <v>4.0</v>
      </c>
      <c r="F17" s="68">
        <v>20.0</v>
      </c>
      <c r="G17" s="68">
        <v>7.0</v>
      </c>
      <c r="H17" s="273"/>
      <c r="I17" s="118" t="s">
        <v>1031</v>
      </c>
      <c r="J17" s="9"/>
      <c r="M17" s="65"/>
      <c r="N17" s="25"/>
      <c r="O17" s="25"/>
      <c r="P17" s="25"/>
      <c r="Q17" s="25"/>
      <c r="R17" s="25"/>
      <c r="S17" s="25"/>
      <c r="T17" s="25"/>
      <c r="U17" s="25"/>
      <c r="W17" s="256"/>
      <c r="X17" s="1"/>
      <c r="AA17" s="1"/>
    </row>
    <row r="18" ht="14.25" customHeight="1">
      <c r="A18" s="68" t="s">
        <v>24</v>
      </c>
      <c r="B18" s="69" t="s">
        <v>1032</v>
      </c>
      <c r="C18" s="18"/>
      <c r="D18" s="20"/>
      <c r="E18" s="68">
        <v>4.0</v>
      </c>
      <c r="F18" s="68"/>
      <c r="G18" s="68">
        <v>7.0</v>
      </c>
      <c r="H18" s="273"/>
      <c r="I18" s="71"/>
      <c r="J18" s="9"/>
      <c r="M18" s="25"/>
      <c r="N18" s="25"/>
      <c r="O18" s="25"/>
      <c r="P18" s="25"/>
      <c r="Q18" s="25"/>
      <c r="R18" s="25"/>
      <c r="S18" s="25"/>
      <c r="T18" s="25"/>
      <c r="U18" s="25"/>
      <c r="W18" s="1"/>
      <c r="X18" s="1"/>
      <c r="AA18" s="1"/>
    </row>
    <row r="19" ht="14.25" customHeight="1">
      <c r="A19" s="109"/>
      <c r="B19" s="108" t="s">
        <v>1033</v>
      </c>
      <c r="C19" s="18"/>
      <c r="D19" s="20"/>
      <c r="E19" s="109"/>
      <c r="F19" s="109"/>
      <c r="G19" s="109"/>
      <c r="H19" s="109"/>
      <c r="I19" s="139"/>
      <c r="J19" s="9"/>
      <c r="M19" s="11" t="s">
        <v>57</v>
      </c>
      <c r="N19" s="12"/>
      <c r="O19" s="12"/>
      <c r="P19" s="12"/>
      <c r="Q19" s="12"/>
      <c r="R19" s="12"/>
      <c r="S19" s="12"/>
      <c r="T19" s="12"/>
      <c r="U19" s="13"/>
      <c r="W19" s="1"/>
      <c r="X19" s="1"/>
      <c r="AA19" s="1"/>
    </row>
    <row r="20" ht="14.25" customHeight="1">
      <c r="B20" s="26"/>
      <c r="C20" s="29"/>
      <c r="D20" s="29"/>
      <c r="M20" s="25"/>
      <c r="N20" s="28" t="s">
        <v>17</v>
      </c>
      <c r="O20" s="28" t="s">
        <v>19</v>
      </c>
      <c r="P20" s="28" t="s">
        <v>20</v>
      </c>
      <c r="Q20" s="28" t="s">
        <v>21</v>
      </c>
      <c r="R20" s="28" t="s">
        <v>22</v>
      </c>
      <c r="S20" s="28" t="s">
        <v>23</v>
      </c>
      <c r="T20" s="28" t="s">
        <v>24</v>
      </c>
      <c r="U20" s="28" t="s">
        <v>25</v>
      </c>
      <c r="W20" s="1"/>
      <c r="X20" s="1"/>
      <c r="Y20" s="1"/>
      <c r="Z20" s="1"/>
      <c r="AA20" s="1"/>
    </row>
    <row r="21" ht="14.25" customHeight="1">
      <c r="M21" s="34" t="s">
        <v>36</v>
      </c>
      <c r="N21" s="35">
        <f>SUMIF($A43:$A58,"Empuje",$E43:$E58)</f>
        <v>0</v>
      </c>
      <c r="O21" s="35">
        <f>SUMIF($A43:$A58,"Tracción",$E43:$E58)</f>
        <v>0</v>
      </c>
      <c r="P21" s="35">
        <f>SUMIF($A43:$A58,"Dom. Rodillas",$E43:$E58)</f>
        <v>3</v>
      </c>
      <c r="Q21" s="35">
        <f>SUMIF($A43:$A58,"Dom. Caderas",$E43:$E58)</f>
        <v>4</v>
      </c>
      <c r="R21" s="35">
        <f>SUMIF($A43:$A58,"A. Empuje",$E43:$E58)</f>
        <v>0</v>
      </c>
      <c r="S21" s="35">
        <f>SUMIF($A43:$A58,"A. Tracción",$E43:$E58)</f>
        <v>1</v>
      </c>
      <c r="T21" s="35">
        <f>SUMIF($A43:$A58,"A. Rodillas",$E43:$E58)</f>
        <v>1</v>
      </c>
      <c r="U21" s="35">
        <f>SUMIF($A43:$A58,"A. Cadera",$E43:$E58)</f>
        <v>0</v>
      </c>
      <c r="X21" s="1"/>
      <c r="Y21" s="1"/>
      <c r="Z21" s="1"/>
      <c r="AA21" s="1"/>
    </row>
    <row r="22" ht="14.25" customHeight="1">
      <c r="A22" s="2" t="s">
        <v>45</v>
      </c>
      <c r="B22" s="3"/>
      <c r="C22" s="4"/>
      <c r="J22" s="1"/>
      <c r="M22" s="34" t="s">
        <v>7</v>
      </c>
      <c r="N22" s="35" t="str">
        <f>AVERAGEIF($A43:$A58,"Empuje",$G43:$G58)</f>
        <v>#DIV/0!</v>
      </c>
      <c r="O22" s="35" t="str">
        <f>AVERAGEIF($A43:$A58,"Tracción",$G43:$G58)</f>
        <v>#DIV/0!</v>
      </c>
      <c r="P22" s="35">
        <f>AVERAGEIF($A43:$A58,"Dom. Rodillas",$G43:$G58)</f>
        <v>7</v>
      </c>
      <c r="Q22" s="35">
        <f>AVERAGEIF($A43:$A58,"Dom. Caderas",$G43:$G58)</f>
        <v>8</v>
      </c>
      <c r="R22" s="35" t="str">
        <f>AVERAGEIF($A43:$A58,"A. Empuje",$G43:$G58)</f>
        <v>#DIV/0!</v>
      </c>
      <c r="S22" s="35" t="str">
        <f>AVERAGEIF($A43:$A58,"A. Tracción",$G43:$G58)</f>
        <v>#DIV/0!</v>
      </c>
      <c r="T22" s="35" t="str">
        <f>AVERAGEIF($A43:$A58,"A. Rodillas",$G43:$G58)</f>
        <v>#DIV/0!</v>
      </c>
      <c r="U22" s="35" t="str">
        <f>AVERAGEIF($A43:$A58,"A. Cadera",$G43:$G58)</f>
        <v>#DIV/0!</v>
      </c>
      <c r="X22" s="1"/>
      <c r="Y22" s="1"/>
      <c r="Z22" s="1"/>
      <c r="AA22" s="1"/>
    </row>
    <row r="23" ht="14.25" customHeight="1">
      <c r="A23" s="6" t="s">
        <v>3</v>
      </c>
      <c r="B23" s="10" t="s">
        <v>4</v>
      </c>
      <c r="C23" s="8"/>
      <c r="D23" s="9"/>
      <c r="E23" s="6" t="s">
        <v>5</v>
      </c>
      <c r="F23" s="6" t="s">
        <v>6</v>
      </c>
      <c r="G23" s="6" t="s">
        <v>7</v>
      </c>
      <c r="H23" s="6" t="s">
        <v>8</v>
      </c>
      <c r="I23" s="10" t="s">
        <v>9</v>
      </c>
      <c r="J23" s="9"/>
      <c r="M23" s="25"/>
      <c r="N23" s="25"/>
      <c r="O23" s="25"/>
      <c r="P23" s="25"/>
      <c r="Q23" s="25"/>
      <c r="R23" s="25"/>
      <c r="S23" s="25"/>
      <c r="T23" s="25"/>
      <c r="U23" s="25"/>
      <c r="X23" s="1"/>
      <c r="Y23" s="1"/>
      <c r="Z23" s="1"/>
      <c r="AA23" s="1"/>
    </row>
    <row r="24" ht="14.25" customHeight="1">
      <c r="A24" s="230"/>
      <c r="B24" s="231"/>
      <c r="C24" s="18"/>
      <c r="D24" s="20"/>
      <c r="E24" s="230"/>
      <c r="F24" s="230"/>
      <c r="G24" s="230"/>
      <c r="H24" s="230"/>
      <c r="I24" s="232"/>
      <c r="J24" s="9"/>
      <c r="M24" s="11" t="s">
        <v>66</v>
      </c>
      <c r="N24" s="12"/>
      <c r="O24" s="12"/>
      <c r="P24" s="12"/>
      <c r="Q24" s="12"/>
      <c r="R24" s="12"/>
      <c r="S24" s="12"/>
      <c r="T24" s="12"/>
      <c r="U24" s="13"/>
      <c r="X24" s="1"/>
      <c r="Y24" s="1"/>
      <c r="Z24" s="1"/>
      <c r="AA24" s="1"/>
    </row>
    <row r="25" ht="14.25" customHeight="1">
      <c r="A25" s="230"/>
      <c r="B25" s="231"/>
      <c r="C25" s="18"/>
      <c r="D25" s="20"/>
      <c r="E25" s="230"/>
      <c r="F25" s="230"/>
      <c r="G25" s="230"/>
      <c r="H25" s="230"/>
      <c r="I25" s="232"/>
      <c r="J25" s="9"/>
      <c r="M25" s="25"/>
      <c r="N25" s="28" t="s">
        <v>17</v>
      </c>
      <c r="O25" s="28" t="s">
        <v>19</v>
      </c>
      <c r="P25" s="28" t="s">
        <v>20</v>
      </c>
      <c r="Q25" s="28" t="s">
        <v>21</v>
      </c>
      <c r="R25" s="28" t="s">
        <v>22</v>
      </c>
      <c r="S25" s="28" t="s">
        <v>23</v>
      </c>
      <c r="T25" s="28" t="s">
        <v>24</v>
      </c>
      <c r="U25" s="28" t="s">
        <v>25</v>
      </c>
      <c r="X25" s="1"/>
      <c r="Y25" s="1"/>
      <c r="Z25" s="1"/>
      <c r="AA25" s="1"/>
    </row>
    <row r="26" ht="14.25" customHeight="1">
      <c r="A26" s="230"/>
      <c r="B26" s="231"/>
      <c r="C26" s="18"/>
      <c r="D26" s="20"/>
      <c r="E26" s="230"/>
      <c r="F26" s="230"/>
      <c r="G26" s="230"/>
      <c r="H26" s="230"/>
      <c r="I26" s="232"/>
      <c r="J26" s="9"/>
      <c r="M26" s="34" t="s">
        <v>36</v>
      </c>
      <c r="N26" s="35">
        <f>SUMIF($A63:$A74,"Empuje",$E63:$E74)</f>
        <v>5</v>
      </c>
      <c r="O26" s="35">
        <f>SUMIF($A63:$A74,"Tracción",$E63:$E74)</f>
        <v>0</v>
      </c>
      <c r="P26" s="35">
        <f>SUMIF($A63:$A74,"Dom. Rodillas",$E63:$E74)</f>
        <v>4</v>
      </c>
      <c r="Q26" s="35">
        <f>SUMIF($A63:$A74,"Dom. Caderas",$E63:$E74)</f>
        <v>0</v>
      </c>
      <c r="R26" s="35">
        <f>SUMIF($A63:$A74,"A. Empuje",$E63:$E74)</f>
        <v>0</v>
      </c>
      <c r="S26" s="35">
        <f>SUMIF($A63:$A74,"A. Tracción",$E63:$E74)</f>
        <v>3</v>
      </c>
      <c r="T26" s="35">
        <f>SUMIF($A63:$A74,"A. Rodillas",$E63:$E74)</f>
        <v>0</v>
      </c>
      <c r="U26" s="35">
        <f>SUMIF($A63:$A74,"A. Cadera",$E63:$E74)</f>
        <v>0</v>
      </c>
    </row>
    <row r="27" ht="14.25" customHeight="1">
      <c r="A27" s="234"/>
      <c r="B27" s="237" t="s">
        <v>1034</v>
      </c>
      <c r="C27" s="18"/>
      <c r="D27" s="20"/>
      <c r="E27" s="234">
        <v>3.0</v>
      </c>
      <c r="F27" s="234">
        <v>12.0</v>
      </c>
      <c r="G27" s="234"/>
      <c r="H27" s="234"/>
      <c r="I27" s="236"/>
      <c r="J27" s="9"/>
      <c r="M27" s="34" t="s">
        <v>7</v>
      </c>
      <c r="N27" s="35">
        <f>AVERAGEIF($A63:$A74,"Empuje",$G63:$G74)</f>
        <v>8</v>
      </c>
      <c r="O27" s="35" t="str">
        <f>AVERAGEIF($A63:$A74,"Tracción",$G63:$G74)</f>
        <v>#DIV/0!</v>
      </c>
      <c r="P27" s="35">
        <f>AVERAGEIF($A63:$A74,"Dom. Rodillas",$G63:$G74)</f>
        <v>8</v>
      </c>
      <c r="Q27" s="35" t="str">
        <f>AVERAGEIF($A63:$A74,"Dom. Caderas",$G63:$G74)</f>
        <v>#DIV/0!</v>
      </c>
      <c r="R27" s="35" t="str">
        <f>AVERAGEIF($A63:$A74,"A. Empuje",$G63:$G74)</f>
        <v>#DIV/0!</v>
      </c>
      <c r="S27" s="35">
        <f>AVERAGEIF($A63:$A74,"A. Tracción",$G63:$G74)</f>
        <v>7</v>
      </c>
      <c r="T27" s="35" t="str">
        <f>AVERAGEIF($A63:$A74,"A. Rodillas",$G63:$G74)</f>
        <v>#DIV/0!</v>
      </c>
      <c r="U27" s="35" t="str">
        <f>AVERAGEIF($A63:$A74,"A. Cadera",$G63:$G74)</f>
        <v>#DIV/0!</v>
      </c>
    </row>
    <row r="28" ht="14.25" customHeight="1">
      <c r="A28" s="234"/>
      <c r="B28" s="237" t="s">
        <v>804</v>
      </c>
      <c r="C28" s="18"/>
      <c r="D28" s="20"/>
      <c r="E28" s="234">
        <v>3.0</v>
      </c>
      <c r="F28" s="234">
        <v>12.0</v>
      </c>
      <c r="G28" s="234"/>
      <c r="H28" s="234"/>
      <c r="I28" s="236"/>
      <c r="J28" s="9"/>
      <c r="M28" s="25"/>
      <c r="N28" s="25"/>
      <c r="O28" s="25"/>
      <c r="P28" s="25"/>
      <c r="Q28" s="25"/>
      <c r="R28" s="25"/>
      <c r="S28" s="25"/>
      <c r="T28" s="25"/>
      <c r="U28" s="25"/>
    </row>
    <row r="29" ht="14.25" customHeight="1">
      <c r="A29" s="234"/>
      <c r="B29" s="237" t="s">
        <v>1035</v>
      </c>
      <c r="C29" s="18"/>
      <c r="D29" s="20"/>
      <c r="E29" s="234">
        <v>3.0</v>
      </c>
      <c r="F29" s="234">
        <v>10.0</v>
      </c>
      <c r="G29" s="234"/>
      <c r="H29" s="234"/>
      <c r="I29" s="236"/>
      <c r="J29" s="9"/>
      <c r="M29" s="11" t="s">
        <v>76</v>
      </c>
      <c r="N29" s="12"/>
      <c r="O29" s="12"/>
      <c r="P29" s="12"/>
      <c r="Q29" s="12"/>
      <c r="R29" s="12"/>
      <c r="S29" s="12"/>
      <c r="T29" s="12"/>
      <c r="U29" s="13"/>
    </row>
    <row r="30" ht="14.25" customHeight="1">
      <c r="A30" s="158"/>
      <c r="B30" s="159" t="s">
        <v>888</v>
      </c>
      <c r="C30" s="18"/>
      <c r="D30" s="20"/>
      <c r="E30" s="158">
        <v>3.0</v>
      </c>
      <c r="F30" s="158">
        <v>12.0</v>
      </c>
      <c r="G30" s="158"/>
      <c r="H30" s="158"/>
      <c r="I30" s="160"/>
      <c r="J30" s="9"/>
      <c r="M30" s="34" t="s">
        <v>36</v>
      </c>
      <c r="N30" s="35">
        <f>SUMIF($A79:$A88,"Empuje",$E79:$E88)</f>
        <v>0</v>
      </c>
      <c r="O30" s="35">
        <f>SUMIF($A79:$A88,"Tracción",$E79:$E88)</f>
        <v>0</v>
      </c>
      <c r="P30" s="35">
        <f>SUMIF($A79:$A88,"Dom. Rodillas",$E79:$E88)</f>
        <v>0</v>
      </c>
      <c r="Q30" s="35">
        <f>SUMIF($A79:$A88,"Dom. Caderas",$E79:$E88)</f>
        <v>0</v>
      </c>
      <c r="R30" s="35">
        <f>SUMIF($A79:$A88,"A. Empuje",$E79:$E88)</f>
        <v>0</v>
      </c>
      <c r="S30" s="35">
        <f>SUMIF($A79:$A88,"A. Tracción",$E79:$E88)</f>
        <v>0</v>
      </c>
      <c r="T30" s="35">
        <f>SUMIF($A79:$A88,"A. Rodillas",$E79:$E88)</f>
        <v>0</v>
      </c>
      <c r="U30" s="35">
        <f>SUMIF($A79:$A88,"A. Cadera",$E79:$E88)</f>
        <v>0</v>
      </c>
    </row>
    <row r="31" ht="14.25" customHeight="1">
      <c r="A31" s="158"/>
      <c r="B31" s="168" t="s">
        <v>1036</v>
      </c>
      <c r="C31" s="8"/>
      <c r="D31" s="9"/>
      <c r="E31" s="158">
        <v>3.0</v>
      </c>
      <c r="F31" s="158" t="s">
        <v>65</v>
      </c>
      <c r="G31" s="158"/>
      <c r="H31" s="158"/>
      <c r="I31" s="169"/>
      <c r="J31" s="170"/>
      <c r="M31" s="34"/>
      <c r="N31" s="35"/>
      <c r="O31" s="35"/>
      <c r="P31" s="35"/>
      <c r="Q31" s="35"/>
      <c r="R31" s="35"/>
      <c r="S31" s="35"/>
      <c r="T31" s="35"/>
      <c r="U31" s="35"/>
    </row>
    <row r="32" ht="14.25" customHeight="1">
      <c r="A32" s="15" t="s">
        <v>17</v>
      </c>
      <c r="B32" s="61" t="s">
        <v>52</v>
      </c>
      <c r="C32" s="8"/>
      <c r="D32" s="9"/>
      <c r="E32" s="15">
        <v>5.0</v>
      </c>
      <c r="F32" s="15" t="s">
        <v>1037</v>
      </c>
      <c r="G32" s="15">
        <v>8.0</v>
      </c>
      <c r="H32" s="15"/>
      <c r="I32" s="217"/>
      <c r="J32" s="218"/>
      <c r="M32" s="34"/>
      <c r="N32" s="35"/>
      <c r="O32" s="35"/>
      <c r="P32" s="35"/>
      <c r="Q32" s="35"/>
      <c r="R32" s="35"/>
      <c r="S32" s="35"/>
      <c r="T32" s="35"/>
      <c r="U32" s="35"/>
    </row>
    <row r="33" ht="14.25" customHeight="1">
      <c r="A33" s="15" t="s">
        <v>19</v>
      </c>
      <c r="B33" s="17" t="s">
        <v>792</v>
      </c>
      <c r="C33" s="18"/>
      <c r="D33" s="20"/>
      <c r="E33" s="15">
        <v>4.0</v>
      </c>
      <c r="F33" s="15">
        <v>5.0</v>
      </c>
      <c r="G33" s="15">
        <v>8.0</v>
      </c>
      <c r="H33" s="15"/>
      <c r="I33" s="23"/>
      <c r="J33" s="9"/>
      <c r="M33" s="34" t="s">
        <v>7</v>
      </c>
      <c r="N33" s="35" t="str">
        <f>AVERAGEIF($A79:$A88,"Empuje",$G79:$G88)</f>
        <v>#DIV/0!</v>
      </c>
      <c r="O33" s="35" t="str">
        <f>AVERAGEIF($A79:$A88,"Tracción",$G79:$G88)</f>
        <v>#DIV/0!</v>
      </c>
      <c r="P33" s="35" t="str">
        <f>AVERAGEIF($A79:$A88,"Dom. Rodillas",$G79:$G88)</f>
        <v>#DIV/0!</v>
      </c>
      <c r="Q33" s="35" t="str">
        <f>AVERAGEIF($A79:$A88,"Dom. Caderas",$G79:$G88)</f>
        <v>#DIV/0!</v>
      </c>
      <c r="R33" s="35" t="str">
        <f>AVERAGEIF($A79:$A88,"A. Empuje",$G79:$G88)</f>
        <v>#DIV/0!</v>
      </c>
      <c r="S33" s="35" t="str">
        <f>AVERAGEIF($A79:$A88,"A. Tracción",$G79:$G88)</f>
        <v>#DIV/0!</v>
      </c>
      <c r="T33" s="35" t="str">
        <f>AVERAGEIF($A79:$A88,"A. Rodillas",$G79:$G88)</f>
        <v>#DIV/0!</v>
      </c>
      <c r="U33" s="35" t="str">
        <f>AVERAGEIF($A79:$A88,"A. Cadera",$G79:$G88)</f>
        <v>#DIV/0!</v>
      </c>
    </row>
    <row r="34" ht="14.25" customHeight="1">
      <c r="A34" s="83" t="s">
        <v>22</v>
      </c>
      <c r="B34" s="228" t="s">
        <v>1038</v>
      </c>
      <c r="C34" s="8"/>
      <c r="D34" s="9"/>
      <c r="E34" s="83">
        <v>4.0</v>
      </c>
      <c r="F34" s="83">
        <v>6.0</v>
      </c>
      <c r="G34" s="83"/>
      <c r="H34" s="83"/>
      <c r="I34" s="228" t="s">
        <v>1039</v>
      </c>
      <c r="J34" s="9"/>
      <c r="M34" s="65"/>
      <c r="N34" s="25"/>
      <c r="O34" s="25"/>
      <c r="P34" s="25"/>
      <c r="Q34" s="25"/>
      <c r="R34" s="25"/>
      <c r="S34" s="25"/>
      <c r="T34" s="25"/>
      <c r="U34" s="25"/>
    </row>
    <row r="35" ht="14.25" customHeight="1">
      <c r="A35" s="83" t="s">
        <v>17</v>
      </c>
      <c r="B35" s="228" t="s">
        <v>1040</v>
      </c>
      <c r="C35" s="8"/>
      <c r="D35" s="9"/>
      <c r="E35" s="83">
        <v>4.0</v>
      </c>
      <c r="F35" s="83">
        <v>5.0</v>
      </c>
      <c r="G35" s="83"/>
      <c r="H35" s="83"/>
      <c r="I35" s="229"/>
      <c r="J35" s="224"/>
      <c r="M35" s="65"/>
      <c r="N35" s="25"/>
      <c r="O35" s="25"/>
      <c r="P35" s="25"/>
      <c r="Q35" s="25"/>
      <c r="R35" s="25"/>
      <c r="S35" s="25"/>
      <c r="T35" s="25"/>
      <c r="U35" s="25"/>
    </row>
    <row r="36" ht="14.25" customHeight="1">
      <c r="A36" s="27" t="s">
        <v>19</v>
      </c>
      <c r="B36" s="60" t="s">
        <v>1041</v>
      </c>
      <c r="C36" s="8"/>
      <c r="D36" s="9"/>
      <c r="E36" s="27">
        <v>4.0</v>
      </c>
      <c r="F36" s="27" t="s">
        <v>1042</v>
      </c>
      <c r="G36" s="27"/>
      <c r="H36" s="27"/>
      <c r="I36" s="60"/>
      <c r="J36" s="9"/>
      <c r="M36" s="65"/>
      <c r="N36" s="25"/>
      <c r="O36" s="25"/>
      <c r="P36" s="25"/>
      <c r="Q36" s="25"/>
      <c r="R36" s="25"/>
      <c r="S36" s="25"/>
      <c r="T36" s="25"/>
      <c r="U36" s="25"/>
    </row>
    <row r="37" ht="14.25" customHeight="1">
      <c r="A37" s="27" t="s">
        <v>17</v>
      </c>
      <c r="B37" s="60" t="s">
        <v>1043</v>
      </c>
      <c r="C37" s="8"/>
      <c r="D37" s="9"/>
      <c r="E37" s="27">
        <v>4.0</v>
      </c>
      <c r="F37" s="27"/>
      <c r="G37" s="27"/>
      <c r="H37" s="27"/>
      <c r="I37" s="153"/>
      <c r="J37" s="154"/>
      <c r="M37" s="65"/>
      <c r="N37" s="25"/>
      <c r="O37" s="25"/>
      <c r="P37" s="25"/>
      <c r="Q37" s="25"/>
      <c r="R37" s="25"/>
      <c r="S37" s="25"/>
      <c r="T37" s="25"/>
      <c r="U37" s="25"/>
    </row>
    <row r="38" ht="14.25" customHeight="1">
      <c r="A38" s="27" t="s">
        <v>24</v>
      </c>
      <c r="B38" s="60" t="s">
        <v>1032</v>
      </c>
      <c r="C38" s="8"/>
      <c r="D38" s="9"/>
      <c r="E38" s="27">
        <v>4.0</v>
      </c>
      <c r="F38" s="27"/>
      <c r="G38" s="27"/>
      <c r="H38" s="27"/>
      <c r="I38" s="33"/>
      <c r="J38" s="9"/>
    </row>
    <row r="39" ht="14.25" customHeight="1">
      <c r="B39" s="26"/>
      <c r="C39" s="29"/>
      <c r="D39" s="29"/>
    </row>
    <row r="40" ht="14.25" customHeight="1"/>
    <row r="41" ht="14.25" customHeight="1">
      <c r="A41" s="2" t="s">
        <v>57</v>
      </c>
      <c r="B41" s="3"/>
      <c r="C41" s="4"/>
      <c r="J41" s="1"/>
    </row>
    <row r="42" ht="14.25" customHeight="1">
      <c r="A42" s="6" t="s">
        <v>3</v>
      </c>
      <c r="B42" s="10" t="s">
        <v>4</v>
      </c>
      <c r="C42" s="8"/>
      <c r="D42" s="9"/>
      <c r="E42" s="6" t="s">
        <v>5</v>
      </c>
      <c r="F42" s="6" t="s">
        <v>6</v>
      </c>
      <c r="G42" s="6" t="s">
        <v>7</v>
      </c>
      <c r="H42" s="6" t="s">
        <v>8</v>
      </c>
      <c r="I42" s="10" t="s">
        <v>9</v>
      </c>
      <c r="J42" s="9"/>
    </row>
    <row r="43" ht="14.25" customHeight="1">
      <c r="A43" s="230"/>
      <c r="B43" s="231"/>
      <c r="C43" s="18"/>
      <c r="D43" s="20"/>
      <c r="E43" s="230"/>
      <c r="F43" s="230"/>
      <c r="G43" s="230"/>
      <c r="H43" s="270"/>
      <c r="I43" s="232"/>
      <c r="J43" s="9"/>
    </row>
    <row r="44" ht="14.25" customHeight="1">
      <c r="A44" s="230"/>
      <c r="B44" s="231"/>
      <c r="C44" s="18"/>
      <c r="D44" s="20"/>
      <c r="E44" s="230"/>
      <c r="F44" s="230"/>
      <c r="G44" s="230"/>
      <c r="H44" s="270"/>
      <c r="I44" s="232"/>
      <c r="J44" s="9"/>
    </row>
    <row r="45" ht="14.25" customHeight="1">
      <c r="A45" s="230"/>
      <c r="B45" s="231"/>
      <c r="C45" s="18"/>
      <c r="D45" s="20"/>
      <c r="E45" s="230"/>
      <c r="F45" s="230"/>
      <c r="G45" s="230"/>
      <c r="H45" s="270"/>
      <c r="I45" s="232"/>
      <c r="J45" s="9"/>
    </row>
    <row r="46" ht="14.25" customHeight="1">
      <c r="A46" s="234"/>
      <c r="B46" s="237" t="s">
        <v>1046</v>
      </c>
      <c r="C46" s="18"/>
      <c r="D46" s="20"/>
      <c r="E46" s="234">
        <v>3.0</v>
      </c>
      <c r="F46" s="234" t="s">
        <v>741</v>
      </c>
      <c r="G46" s="234"/>
      <c r="H46" s="247"/>
      <c r="I46" s="236"/>
      <c r="J46" s="9"/>
    </row>
    <row r="47" ht="14.25" customHeight="1">
      <c r="A47" s="234"/>
      <c r="B47" s="237" t="s">
        <v>1047</v>
      </c>
      <c r="C47" s="18"/>
      <c r="D47" s="20"/>
      <c r="E47" s="234">
        <v>3.0</v>
      </c>
      <c r="F47" s="234" t="s">
        <v>1048</v>
      </c>
      <c r="G47" s="234"/>
      <c r="H47" s="234"/>
      <c r="I47" s="236"/>
      <c r="J47" s="9"/>
    </row>
    <row r="48" ht="14.25" customHeight="1">
      <c r="A48" s="234"/>
      <c r="B48" s="237" t="s">
        <v>1050</v>
      </c>
      <c r="C48" s="18"/>
      <c r="D48" s="20"/>
      <c r="E48" s="234">
        <v>3.0</v>
      </c>
      <c r="F48" s="234">
        <v>12.0</v>
      </c>
      <c r="G48" s="234"/>
      <c r="H48" s="234"/>
      <c r="I48" s="236"/>
      <c r="J48" s="9"/>
    </row>
    <row r="49" ht="14.25" customHeight="1">
      <c r="A49" s="158"/>
      <c r="B49" s="168" t="s">
        <v>1051</v>
      </c>
      <c r="C49" s="8"/>
      <c r="D49" s="9"/>
      <c r="E49" s="158">
        <v>3.0</v>
      </c>
      <c r="F49" s="158" t="s">
        <v>1052</v>
      </c>
      <c r="G49" s="158"/>
      <c r="H49" s="158"/>
      <c r="I49" s="168"/>
      <c r="J49" s="9"/>
    </row>
    <row r="50" ht="14.25" customHeight="1">
      <c r="A50" s="158"/>
      <c r="B50" s="168" t="s">
        <v>1053</v>
      </c>
      <c r="C50" s="8"/>
      <c r="D50" s="9"/>
      <c r="E50" s="158">
        <v>3.0</v>
      </c>
      <c r="F50" s="158">
        <v>4.0</v>
      </c>
      <c r="G50" s="158"/>
      <c r="H50" s="158"/>
      <c r="I50" s="169"/>
      <c r="J50" s="170"/>
    </row>
    <row r="51" ht="14.25" customHeight="1">
      <c r="A51" s="158"/>
      <c r="B51" s="168" t="s">
        <v>1054</v>
      </c>
      <c r="C51" s="8"/>
      <c r="D51" s="9"/>
      <c r="E51" s="158">
        <v>3.0</v>
      </c>
      <c r="F51" s="158">
        <v>12.0</v>
      </c>
      <c r="G51" s="158"/>
      <c r="H51" s="158"/>
      <c r="I51" s="169"/>
      <c r="J51" s="170"/>
    </row>
    <row r="52" ht="14.25" customHeight="1">
      <c r="A52" s="68"/>
      <c r="B52" s="118" t="s">
        <v>958</v>
      </c>
      <c r="C52" s="8"/>
      <c r="D52" s="9"/>
      <c r="E52" s="68">
        <v>4.0</v>
      </c>
      <c r="F52" s="68" t="s">
        <v>1055</v>
      </c>
      <c r="G52" s="68"/>
      <c r="H52" s="68"/>
      <c r="I52" s="118" t="s">
        <v>1056</v>
      </c>
      <c r="J52" s="9"/>
    </row>
    <row r="53" ht="14.25" customHeight="1">
      <c r="A53" s="15" t="s">
        <v>73</v>
      </c>
      <c r="B53" s="17" t="s">
        <v>701</v>
      </c>
      <c r="C53" s="18"/>
      <c r="D53" s="20"/>
      <c r="E53" s="15">
        <v>4.0</v>
      </c>
      <c r="F53" s="15">
        <v>5.0</v>
      </c>
      <c r="G53" s="15">
        <v>8.0</v>
      </c>
      <c r="H53" s="15"/>
      <c r="I53" s="23"/>
      <c r="J53" s="9"/>
    </row>
    <row r="54" ht="14.25" customHeight="1">
      <c r="A54" s="15" t="s">
        <v>47</v>
      </c>
      <c r="B54" s="17" t="s">
        <v>1057</v>
      </c>
      <c r="C54" s="18"/>
      <c r="D54" s="20"/>
      <c r="E54" s="15">
        <v>3.0</v>
      </c>
      <c r="F54" s="15">
        <v>8.0</v>
      </c>
      <c r="G54" s="15">
        <v>7.0</v>
      </c>
      <c r="H54" s="15"/>
      <c r="I54" s="23" t="s">
        <v>1058</v>
      </c>
      <c r="J54" s="9"/>
    </row>
    <row r="55" ht="14.25" customHeight="1">
      <c r="A55" s="68"/>
      <c r="B55" s="118" t="s">
        <v>1060</v>
      </c>
      <c r="C55" s="8"/>
      <c r="D55" s="9"/>
      <c r="E55" s="68">
        <v>4.0</v>
      </c>
      <c r="F55" s="68"/>
      <c r="G55" s="68"/>
      <c r="H55" s="68"/>
      <c r="I55" s="275" t="s">
        <v>1061</v>
      </c>
      <c r="J55" s="9"/>
    </row>
    <row r="56" ht="14.25" customHeight="1">
      <c r="A56" s="68" t="s">
        <v>23</v>
      </c>
      <c r="B56" s="118" t="s">
        <v>1062</v>
      </c>
      <c r="C56" s="8"/>
      <c r="D56" s="9"/>
      <c r="E56" s="68">
        <v>1.0</v>
      </c>
      <c r="F56" s="68"/>
      <c r="G56" s="68"/>
      <c r="H56" s="68"/>
      <c r="I56" s="275" t="s">
        <v>1063</v>
      </c>
      <c r="J56" s="9"/>
    </row>
    <row r="57" ht="14.25" customHeight="1">
      <c r="A57" s="68" t="s">
        <v>24</v>
      </c>
      <c r="B57" s="118" t="s">
        <v>1064</v>
      </c>
      <c r="C57" s="8"/>
      <c r="D57" s="9"/>
      <c r="E57" s="68">
        <v>1.0</v>
      </c>
      <c r="F57" s="68">
        <v>50.0</v>
      </c>
      <c r="G57" s="68"/>
      <c r="H57" s="68"/>
      <c r="I57" s="275" t="s">
        <v>1065</v>
      </c>
      <c r="J57" s="9"/>
    </row>
    <row r="58" ht="14.25" customHeight="1">
      <c r="A58" s="68"/>
      <c r="B58" s="118" t="s">
        <v>1066</v>
      </c>
      <c r="C58" s="8"/>
      <c r="D58" s="9"/>
      <c r="E58" s="68">
        <v>1.0</v>
      </c>
      <c r="F58" s="68" t="s">
        <v>1067</v>
      </c>
      <c r="G58" s="68"/>
      <c r="H58" s="68"/>
      <c r="I58" s="236" t="s">
        <v>1068</v>
      </c>
      <c r="J58" s="9"/>
    </row>
    <row r="59" ht="14.25" customHeight="1">
      <c r="B59" s="26"/>
      <c r="C59" s="29"/>
      <c r="D59" s="29"/>
    </row>
    <row r="60" ht="14.25" customHeight="1"/>
    <row r="61" ht="14.25" customHeight="1">
      <c r="A61" s="2" t="s">
        <v>66</v>
      </c>
      <c r="B61" s="3"/>
      <c r="C61" s="4"/>
      <c r="J61" s="1"/>
    </row>
    <row r="62" ht="14.25" customHeight="1">
      <c r="A62" s="6" t="s">
        <v>3</v>
      </c>
      <c r="B62" s="10" t="s">
        <v>4</v>
      </c>
      <c r="C62" s="8"/>
      <c r="D62" s="9"/>
      <c r="E62" s="6" t="s">
        <v>5</v>
      </c>
      <c r="F62" s="6" t="s">
        <v>6</v>
      </c>
      <c r="G62" s="6" t="s">
        <v>7</v>
      </c>
      <c r="H62" s="6" t="s">
        <v>8</v>
      </c>
      <c r="I62" s="10" t="s">
        <v>9</v>
      </c>
      <c r="J62" s="9"/>
    </row>
    <row r="63" ht="14.25" customHeight="1">
      <c r="A63" s="230"/>
      <c r="B63" s="231"/>
      <c r="C63" s="18"/>
      <c r="D63" s="20"/>
      <c r="E63" s="230"/>
      <c r="F63" s="230"/>
      <c r="G63" s="230"/>
      <c r="H63" s="230"/>
      <c r="I63" s="232"/>
      <c r="J63" s="9"/>
    </row>
    <row r="64" ht="14.25" customHeight="1">
      <c r="A64" s="230"/>
      <c r="B64" s="231"/>
      <c r="C64" s="18"/>
      <c r="D64" s="20"/>
      <c r="E64" s="230"/>
      <c r="F64" s="230"/>
      <c r="G64" s="230"/>
      <c r="H64" s="230"/>
      <c r="I64" s="232"/>
      <c r="J64" s="9"/>
    </row>
    <row r="65" ht="14.25" customHeight="1">
      <c r="A65" s="230"/>
      <c r="B65" s="231"/>
      <c r="C65" s="18"/>
      <c r="D65" s="20"/>
      <c r="E65" s="230"/>
      <c r="F65" s="230"/>
      <c r="G65" s="230"/>
      <c r="H65" s="230"/>
      <c r="I65" s="232"/>
      <c r="J65" s="9"/>
    </row>
    <row r="66" ht="14.25" customHeight="1">
      <c r="A66" s="234"/>
      <c r="B66" s="237" t="s">
        <v>1074</v>
      </c>
      <c r="C66" s="18"/>
      <c r="D66" s="20"/>
      <c r="E66" s="234"/>
      <c r="F66" s="234"/>
      <c r="G66" s="234"/>
      <c r="H66" s="234"/>
      <c r="I66" s="236"/>
      <c r="J66" s="9"/>
    </row>
    <row r="67" ht="14.25" customHeight="1">
      <c r="A67" s="234"/>
      <c r="B67" s="237" t="s">
        <v>944</v>
      </c>
      <c r="C67" s="18"/>
      <c r="D67" s="20"/>
      <c r="E67" s="234"/>
      <c r="F67" s="234"/>
      <c r="G67" s="234"/>
      <c r="H67" s="234"/>
      <c r="I67" s="236"/>
      <c r="J67" s="9"/>
    </row>
    <row r="68" ht="14.25" customHeight="1">
      <c r="A68" s="234"/>
      <c r="B68" s="237" t="s">
        <v>1077</v>
      </c>
      <c r="C68" s="18"/>
      <c r="D68" s="20"/>
      <c r="E68" s="234"/>
      <c r="F68" s="234"/>
      <c r="G68" s="234"/>
      <c r="H68" s="234"/>
      <c r="I68" s="236"/>
      <c r="J68" s="9"/>
    </row>
    <row r="69" ht="14.25" customHeight="1">
      <c r="A69" s="158"/>
      <c r="B69" s="159"/>
      <c r="C69" s="18"/>
      <c r="D69" s="20"/>
      <c r="E69" s="158"/>
      <c r="F69" s="158"/>
      <c r="G69" s="158"/>
      <c r="H69" s="158"/>
      <c r="I69" s="160"/>
      <c r="J69" s="9"/>
    </row>
    <row r="70" ht="14.25" customHeight="1">
      <c r="A70" s="115" t="s">
        <v>47</v>
      </c>
      <c r="B70" s="114" t="s">
        <v>908</v>
      </c>
      <c r="C70" s="18"/>
      <c r="D70" s="20"/>
      <c r="E70" s="276">
        <v>4.0</v>
      </c>
      <c r="F70" s="276">
        <v>3.0</v>
      </c>
      <c r="G70" s="276">
        <v>8.0</v>
      </c>
      <c r="H70" s="276"/>
      <c r="I70" s="277"/>
      <c r="J70" s="9"/>
    </row>
    <row r="71" ht="14.25" customHeight="1">
      <c r="A71" s="115" t="s">
        <v>17</v>
      </c>
      <c r="B71" s="250" t="s">
        <v>1078</v>
      </c>
      <c r="C71" s="8"/>
      <c r="D71" s="9"/>
      <c r="E71" s="115">
        <v>5.0</v>
      </c>
      <c r="F71" s="115" t="s">
        <v>1079</v>
      </c>
      <c r="G71" s="115">
        <v>8.0</v>
      </c>
      <c r="H71" s="115"/>
      <c r="I71" s="251"/>
      <c r="J71" s="252"/>
    </row>
    <row r="72" ht="14.25" customHeight="1">
      <c r="A72" s="15" t="s">
        <v>19</v>
      </c>
      <c r="B72" s="61" t="s">
        <v>1080</v>
      </c>
      <c r="C72" s="8"/>
      <c r="D72" s="9"/>
      <c r="E72" s="15"/>
      <c r="F72" s="15"/>
      <c r="G72" s="15"/>
      <c r="H72" s="15"/>
      <c r="I72" s="217"/>
      <c r="J72" s="218"/>
    </row>
    <row r="73" ht="14.25" customHeight="1">
      <c r="A73" s="15" t="s">
        <v>23</v>
      </c>
      <c r="B73" s="17" t="s">
        <v>745</v>
      </c>
      <c r="C73" s="18"/>
      <c r="D73" s="20"/>
      <c r="E73" s="15">
        <v>3.0</v>
      </c>
      <c r="F73" s="15" t="s">
        <v>914</v>
      </c>
      <c r="G73" s="15">
        <v>7.0</v>
      </c>
      <c r="H73" s="15"/>
      <c r="I73" s="23"/>
      <c r="J73" s="9"/>
    </row>
    <row r="74" ht="14.25" customHeight="1">
      <c r="A74" s="15"/>
      <c r="B74" s="61"/>
      <c r="C74" s="8"/>
      <c r="D74" s="9"/>
      <c r="E74" s="15"/>
      <c r="F74" s="15"/>
      <c r="G74" s="15"/>
      <c r="H74" s="15"/>
      <c r="I74" s="23"/>
      <c r="J74" s="9"/>
    </row>
    <row r="75" ht="14.25" customHeight="1">
      <c r="B75" s="26"/>
      <c r="C75" s="29"/>
      <c r="D75" s="29"/>
    </row>
    <row r="76" ht="14.25" customHeight="1"/>
    <row r="77" ht="14.25" customHeight="1">
      <c r="A77" s="2" t="s">
        <v>76</v>
      </c>
      <c r="B77" s="3"/>
      <c r="C77" s="4"/>
      <c r="J77" s="1"/>
    </row>
    <row r="78" ht="14.25" customHeight="1">
      <c r="A78" s="6" t="s">
        <v>3</v>
      </c>
      <c r="B78" s="10" t="s">
        <v>4</v>
      </c>
      <c r="C78" s="8"/>
      <c r="D78" s="9"/>
      <c r="E78" s="6" t="s">
        <v>5</v>
      </c>
      <c r="F78" s="6" t="s">
        <v>6</v>
      </c>
      <c r="G78" s="6" t="s">
        <v>7</v>
      </c>
      <c r="H78" s="6" t="s">
        <v>8</v>
      </c>
      <c r="I78" s="10" t="s">
        <v>9</v>
      </c>
      <c r="J78" s="9"/>
    </row>
    <row r="79" ht="14.25" customHeight="1">
      <c r="A79" s="230"/>
      <c r="B79" s="231"/>
      <c r="C79" s="18"/>
      <c r="D79" s="20"/>
      <c r="E79" s="230"/>
      <c r="F79" s="230"/>
      <c r="G79" s="230"/>
      <c r="H79" s="230"/>
      <c r="I79" s="232"/>
      <c r="J79" s="9"/>
    </row>
    <row r="80" ht="14.25" customHeight="1">
      <c r="A80" s="230"/>
      <c r="B80" s="231"/>
      <c r="C80" s="18"/>
      <c r="D80" s="20"/>
      <c r="E80" s="230"/>
      <c r="F80" s="230"/>
      <c r="G80" s="230"/>
      <c r="H80" s="230"/>
      <c r="I80" s="232"/>
      <c r="J80" s="9"/>
    </row>
    <row r="81" ht="14.25" customHeight="1">
      <c r="A81" s="230"/>
      <c r="B81" s="231"/>
      <c r="C81" s="18"/>
      <c r="D81" s="20"/>
      <c r="E81" s="230"/>
      <c r="F81" s="230"/>
      <c r="G81" s="230"/>
      <c r="H81" s="230"/>
      <c r="I81" s="232"/>
      <c r="J81" s="9"/>
    </row>
    <row r="82" ht="14.25" customHeight="1">
      <c r="A82" s="234"/>
      <c r="B82" s="237"/>
      <c r="C82" s="18"/>
      <c r="D82" s="20"/>
      <c r="E82" s="234"/>
      <c r="F82" s="234"/>
      <c r="G82" s="234"/>
      <c r="H82" s="234"/>
      <c r="I82" s="236"/>
      <c r="J82" s="9"/>
    </row>
    <row r="83" ht="14.25" customHeight="1">
      <c r="A83" s="234"/>
      <c r="B83" s="237"/>
      <c r="C83" s="18"/>
      <c r="D83" s="20"/>
      <c r="E83" s="234"/>
      <c r="F83" s="234"/>
      <c r="G83" s="234"/>
      <c r="H83" s="234"/>
      <c r="I83" s="236"/>
      <c r="J83" s="9"/>
    </row>
    <row r="84" ht="14.25" customHeight="1">
      <c r="A84" s="234"/>
      <c r="B84" s="237"/>
      <c r="C84" s="18"/>
      <c r="D84" s="20"/>
      <c r="E84" s="234"/>
      <c r="F84" s="234"/>
      <c r="G84" s="234"/>
      <c r="H84" s="234"/>
      <c r="I84" s="236"/>
      <c r="J84" s="9"/>
    </row>
    <row r="85" ht="14.25" customHeight="1">
      <c r="A85" s="15"/>
      <c r="B85" s="17"/>
      <c r="C85" s="18"/>
      <c r="D85" s="20"/>
      <c r="E85" s="15"/>
      <c r="F85" s="15"/>
      <c r="G85" s="15"/>
      <c r="H85" s="15"/>
      <c r="I85" s="23"/>
      <c r="J85" s="9"/>
    </row>
    <row r="86" ht="14.25" customHeight="1">
      <c r="A86" s="15"/>
      <c r="B86" s="17"/>
      <c r="C86" s="18"/>
      <c r="D86" s="20"/>
      <c r="E86" s="15"/>
      <c r="F86" s="15"/>
      <c r="G86" s="15"/>
      <c r="H86" s="15"/>
      <c r="I86" s="23"/>
      <c r="J86" s="9"/>
    </row>
    <row r="87" ht="14.25" customHeight="1">
      <c r="A87" s="15"/>
      <c r="B87" s="17"/>
      <c r="C87" s="18"/>
      <c r="D87" s="20"/>
      <c r="E87" s="15"/>
      <c r="F87" s="15"/>
      <c r="G87" s="15"/>
      <c r="H87" s="15"/>
      <c r="I87" s="23"/>
      <c r="J87" s="9"/>
    </row>
    <row r="88" ht="14.25" customHeight="1">
      <c r="A88" s="15"/>
      <c r="B88" s="61"/>
      <c r="C88" s="8"/>
      <c r="D88" s="9"/>
      <c r="E88" s="15"/>
      <c r="F88" s="15"/>
      <c r="G88" s="15"/>
      <c r="H88" s="15"/>
      <c r="I88" s="23"/>
      <c r="J88" s="9"/>
    </row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8">
    <mergeCell ref="I24:J24"/>
    <mergeCell ref="I25:J25"/>
    <mergeCell ref="B20:D20"/>
    <mergeCell ref="A22:C22"/>
    <mergeCell ref="B23:D23"/>
    <mergeCell ref="I23:J23"/>
    <mergeCell ref="B24:D24"/>
    <mergeCell ref="M24:U24"/>
    <mergeCell ref="B25:D25"/>
    <mergeCell ref="A4:C4"/>
    <mergeCell ref="B5:D5"/>
    <mergeCell ref="I5:J5"/>
    <mergeCell ref="M5:U5"/>
    <mergeCell ref="W5:Y5"/>
    <mergeCell ref="B6:D6"/>
    <mergeCell ref="B7:D7"/>
    <mergeCell ref="I10:J10"/>
    <mergeCell ref="M10:U10"/>
    <mergeCell ref="I9:J9"/>
    <mergeCell ref="I11:J11"/>
    <mergeCell ref="I6:J6"/>
    <mergeCell ref="I7:J7"/>
    <mergeCell ref="B8:D8"/>
    <mergeCell ref="I8:J8"/>
    <mergeCell ref="B9:D9"/>
    <mergeCell ref="B10:D10"/>
    <mergeCell ref="B11:D11"/>
    <mergeCell ref="B12:D12"/>
    <mergeCell ref="I12:J12"/>
    <mergeCell ref="B13:D13"/>
    <mergeCell ref="I13:J13"/>
    <mergeCell ref="B14:D14"/>
    <mergeCell ref="B15:D15"/>
    <mergeCell ref="B16:D16"/>
    <mergeCell ref="B17:D17"/>
    <mergeCell ref="I17:J17"/>
    <mergeCell ref="B18:D18"/>
    <mergeCell ref="I18:J18"/>
    <mergeCell ref="B19:D19"/>
    <mergeCell ref="I19:J19"/>
    <mergeCell ref="M19:U19"/>
    <mergeCell ref="I29:J29"/>
    <mergeCell ref="M29:U29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B59:D59"/>
    <mergeCell ref="A61:C61"/>
    <mergeCell ref="B62:D62"/>
    <mergeCell ref="B63:D63"/>
    <mergeCell ref="B64:D64"/>
    <mergeCell ref="B65:D65"/>
    <mergeCell ref="B66:D66"/>
    <mergeCell ref="B67:D67"/>
    <mergeCell ref="B68:D68"/>
    <mergeCell ref="B69:D69"/>
    <mergeCell ref="B70:D70"/>
    <mergeCell ref="B71:D71"/>
    <mergeCell ref="B72:D72"/>
    <mergeCell ref="B73:D73"/>
    <mergeCell ref="B74:D74"/>
    <mergeCell ref="B83:D83"/>
    <mergeCell ref="B84:D84"/>
    <mergeCell ref="B85:D85"/>
    <mergeCell ref="B86:D86"/>
    <mergeCell ref="B87:D87"/>
    <mergeCell ref="B88:D88"/>
    <mergeCell ref="B75:D75"/>
    <mergeCell ref="A77:C77"/>
    <mergeCell ref="B78:D78"/>
    <mergeCell ref="B79:D79"/>
    <mergeCell ref="B80:D80"/>
    <mergeCell ref="B81:D81"/>
    <mergeCell ref="B82:D82"/>
    <mergeCell ref="I81:J81"/>
    <mergeCell ref="I82:J82"/>
    <mergeCell ref="I83:J83"/>
    <mergeCell ref="I84:J84"/>
    <mergeCell ref="I85:J85"/>
    <mergeCell ref="I86:J86"/>
    <mergeCell ref="I87:J87"/>
    <mergeCell ref="I88:J88"/>
    <mergeCell ref="I69:J69"/>
    <mergeCell ref="I70:J70"/>
    <mergeCell ref="I73:J73"/>
    <mergeCell ref="I74:J74"/>
    <mergeCell ref="I78:J78"/>
    <mergeCell ref="I79:J79"/>
    <mergeCell ref="I80:J80"/>
    <mergeCell ref="B26:D26"/>
    <mergeCell ref="I26:J26"/>
    <mergeCell ref="B27:D27"/>
    <mergeCell ref="I27:J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I28:J28"/>
    <mergeCell ref="I30:J30"/>
    <mergeCell ref="I33:J33"/>
    <mergeCell ref="I34:J34"/>
    <mergeCell ref="I36:J36"/>
    <mergeCell ref="I38:J38"/>
    <mergeCell ref="I42:J42"/>
    <mergeCell ref="B38:D38"/>
    <mergeCell ref="B39:D39"/>
    <mergeCell ref="A41:C41"/>
    <mergeCell ref="B42:D42"/>
    <mergeCell ref="B43:D43"/>
    <mergeCell ref="B44:D44"/>
    <mergeCell ref="B45:D45"/>
    <mergeCell ref="I43:J43"/>
    <mergeCell ref="I44:J44"/>
    <mergeCell ref="I45:J45"/>
    <mergeCell ref="I46:J46"/>
    <mergeCell ref="I47:J47"/>
    <mergeCell ref="I48:J48"/>
    <mergeCell ref="I49:J49"/>
    <mergeCell ref="I52:J52"/>
    <mergeCell ref="I53:J53"/>
    <mergeCell ref="I54:J54"/>
    <mergeCell ref="I55:J55"/>
    <mergeCell ref="I56:J56"/>
    <mergeCell ref="I57:J57"/>
    <mergeCell ref="I58:J58"/>
    <mergeCell ref="I62:J62"/>
    <mergeCell ref="I63:J63"/>
    <mergeCell ref="I64:J64"/>
    <mergeCell ref="I65:J65"/>
    <mergeCell ref="I66:J66"/>
    <mergeCell ref="I67:J67"/>
    <mergeCell ref="I68:J68"/>
  </mergeCells>
  <dataValidations>
    <dataValidation type="list" allowBlank="1" showErrorMessage="1" sqref="J3 A6:A19 A24:A38 A43:A58 A63:A74 A79:A88">
      <formula1>Datos!$B$2:$B$12</formula1>
    </dataValidation>
    <dataValidation type="list" allowBlank="1" showErrorMessage="1" sqref="J4 J22 J41 J61 J77">
      <formula1>Datos!$D$2:$D$14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7" width="10.71"/>
  </cols>
  <sheetData>
    <row r="1" ht="14.25" customHeight="1"/>
    <row r="2" ht="14.25" customHeight="1"/>
    <row r="3" ht="14.25" customHeight="1">
      <c r="J3" s="1"/>
    </row>
    <row r="4" ht="14.25" customHeight="1">
      <c r="A4" s="2" t="s">
        <v>0</v>
      </c>
      <c r="B4" s="3"/>
      <c r="C4" s="4"/>
      <c r="J4" s="1"/>
      <c r="X4" s="1"/>
      <c r="Y4" s="1"/>
      <c r="Z4" s="1"/>
      <c r="AA4" s="1"/>
    </row>
    <row r="5" ht="14.25" customHeight="1">
      <c r="A5" s="6" t="s">
        <v>3</v>
      </c>
      <c r="B5" s="10" t="s">
        <v>4</v>
      </c>
      <c r="C5" s="8"/>
      <c r="D5" s="9"/>
      <c r="E5" s="6" t="s">
        <v>5</v>
      </c>
      <c r="F5" s="6" t="s">
        <v>6</v>
      </c>
      <c r="G5" s="6" t="s">
        <v>7</v>
      </c>
      <c r="H5" s="6" t="s">
        <v>8</v>
      </c>
      <c r="I5" s="10" t="s">
        <v>9</v>
      </c>
      <c r="J5" s="9"/>
      <c r="M5" s="11" t="s">
        <v>0</v>
      </c>
      <c r="N5" s="12"/>
      <c r="O5" s="12"/>
      <c r="P5" s="12"/>
      <c r="Q5" s="12"/>
      <c r="R5" s="12"/>
      <c r="S5" s="12"/>
      <c r="T5" s="12"/>
      <c r="U5" s="13"/>
      <c r="W5" s="14" t="s">
        <v>11</v>
      </c>
      <c r="X5" s="12"/>
      <c r="Y5" s="13"/>
      <c r="AA5" s="1"/>
    </row>
    <row r="6" ht="14.25" customHeight="1">
      <c r="A6" s="111"/>
      <c r="B6" s="140"/>
      <c r="C6" s="8"/>
      <c r="D6" s="9"/>
      <c r="E6" s="111"/>
      <c r="F6" s="111"/>
      <c r="G6" s="111"/>
      <c r="H6" s="245"/>
      <c r="I6" s="171" t="s">
        <v>961</v>
      </c>
      <c r="J6" s="9"/>
      <c r="M6" s="25"/>
      <c r="N6" s="28" t="s">
        <v>17</v>
      </c>
      <c r="O6" s="28" t="s">
        <v>19</v>
      </c>
      <c r="P6" s="28" t="s">
        <v>20</v>
      </c>
      <c r="Q6" s="28" t="s">
        <v>21</v>
      </c>
      <c r="R6" s="28" t="s">
        <v>22</v>
      </c>
      <c r="S6" s="28" t="s">
        <v>23</v>
      </c>
      <c r="T6" s="28" t="s">
        <v>24</v>
      </c>
      <c r="U6" s="28" t="s">
        <v>25</v>
      </c>
      <c r="W6" s="28" t="s">
        <v>17</v>
      </c>
      <c r="X6" s="1">
        <f>SUM(N7,N12,N21,N26,N31)</f>
        <v>0</v>
      </c>
      <c r="AA6" s="1"/>
    </row>
    <row r="7" ht="14.25" customHeight="1">
      <c r="A7" s="111"/>
      <c r="B7" s="140"/>
      <c r="C7" s="8"/>
      <c r="D7" s="9"/>
      <c r="E7" s="111"/>
      <c r="F7" s="111"/>
      <c r="G7" s="111"/>
      <c r="H7" s="245"/>
      <c r="I7" s="171"/>
      <c r="J7" s="9"/>
      <c r="M7" s="34" t="s">
        <v>36</v>
      </c>
      <c r="N7" s="35">
        <f>SUMIF(A6:A19,"Empuje",E6:E19)</f>
        <v>0</v>
      </c>
      <c r="O7" s="35">
        <f>SUMIF(A6:A19,"Tracción",E6:E19)</f>
        <v>0</v>
      </c>
      <c r="P7" s="35">
        <f>SUMIF($A6:$A19,"Dom. Rodillas",$E6:$E19)</f>
        <v>11</v>
      </c>
      <c r="Q7" s="35">
        <f>SUMIF($A6:$A19,"Dom. Caderas",$E6:$E19)</f>
        <v>0</v>
      </c>
      <c r="R7" s="35">
        <f>SUMIF($A6:$A19,"A. Empuje",$E6:$E19)</f>
        <v>6</v>
      </c>
      <c r="S7" s="36">
        <f>SUMIF(A6:A19,"A. Tracción",E6:E19)</f>
        <v>0</v>
      </c>
      <c r="T7" s="35">
        <f>SUMIF($A6:$A19,"A. Rodillas",$E6:$E19)</f>
        <v>0</v>
      </c>
      <c r="U7" s="35">
        <f>SUMIF($A6:$A19,"A. Cadera",$E6:$E19)</f>
        <v>0</v>
      </c>
      <c r="W7" s="28" t="s">
        <v>19</v>
      </c>
      <c r="X7" s="1">
        <f>SUM(O7,O12,O21,O26,O31)</f>
        <v>8</v>
      </c>
      <c r="AA7" s="1"/>
    </row>
    <row r="8" ht="14.25" customHeight="1">
      <c r="A8" s="111"/>
      <c r="B8" s="140"/>
      <c r="C8" s="8"/>
      <c r="D8" s="9"/>
      <c r="E8" s="111"/>
      <c r="F8" s="111"/>
      <c r="G8" s="111"/>
      <c r="H8" s="245"/>
      <c r="I8" s="171"/>
      <c r="J8" s="9"/>
      <c r="M8" s="34" t="s">
        <v>7</v>
      </c>
      <c r="N8" s="35" t="str">
        <f>AVERAGEIF($A6:$A19,"Empuje",$G6:$G19)</f>
        <v>#DIV/0!</v>
      </c>
      <c r="O8" s="35" t="str">
        <f>AVERAGEIF($A6:$A19,"Traccion",$G6:$G19)</f>
        <v>#DIV/0!</v>
      </c>
      <c r="P8" s="35">
        <f>AVERAGEIF($A6:$A19,"Dom. Rodillas",$G6:$G19)</f>
        <v>7.333333333</v>
      </c>
      <c r="Q8" s="35" t="str">
        <f>AVERAGEIF($A6:$A19,"Dom. Cadera",$G6:$G19)</f>
        <v>#DIV/0!</v>
      </c>
      <c r="R8" s="35">
        <f>AVERAGEIF($A6:$A19,"A. Empuje",$G6:$G19)</f>
        <v>6</v>
      </c>
      <c r="S8" s="35" t="str">
        <f>AVERAGEIF($A6:$A19,"A. Tracción",$G6:$G19)</f>
        <v>#DIV/0!</v>
      </c>
      <c r="T8" s="35" t="str">
        <f>AVERAGEIF($A6:$A19,"A. Rodillas",$G6:$G19)</f>
        <v>#DIV/0!</v>
      </c>
      <c r="U8" s="35" t="str">
        <f>AVERAGEIF($A6:$A19,"A. Cadera",$G6:$G19)</f>
        <v>#DIV/0!</v>
      </c>
      <c r="W8" s="28" t="s">
        <v>20</v>
      </c>
      <c r="X8" s="1">
        <f>SUM(P7,P12,P21,P26,P31)</f>
        <v>11</v>
      </c>
      <c r="AA8" s="1"/>
    </row>
    <row r="9" ht="14.25" customHeight="1">
      <c r="A9" s="234"/>
      <c r="B9" s="275" t="s">
        <v>1044</v>
      </c>
      <c r="C9" s="8"/>
      <c r="D9" s="9"/>
      <c r="E9" s="234"/>
      <c r="F9" s="234"/>
      <c r="G9" s="234"/>
      <c r="H9" s="247"/>
      <c r="I9" s="236"/>
      <c r="J9" s="9"/>
      <c r="M9" s="25"/>
      <c r="N9" s="25"/>
      <c r="O9" s="25"/>
      <c r="P9" s="25"/>
      <c r="Q9" s="25"/>
      <c r="R9" s="25"/>
      <c r="S9" s="25"/>
      <c r="T9" s="25"/>
      <c r="U9" s="25"/>
      <c r="W9" s="28" t="s">
        <v>21</v>
      </c>
      <c r="X9" s="1">
        <f>SUM(Q7,Q12,Q21,Q26,Q31)</f>
        <v>0</v>
      </c>
      <c r="AA9" s="1"/>
    </row>
    <row r="10" ht="14.25" customHeight="1">
      <c r="A10" s="234"/>
      <c r="B10" s="275" t="s">
        <v>1045</v>
      </c>
      <c r="C10" s="8"/>
      <c r="D10" s="9"/>
      <c r="E10" s="234"/>
      <c r="F10" s="234"/>
      <c r="G10" s="234"/>
      <c r="H10" s="247"/>
      <c r="I10" s="236"/>
      <c r="J10" s="9"/>
      <c r="M10" s="11" t="s">
        <v>45</v>
      </c>
      <c r="N10" s="12"/>
      <c r="O10" s="12"/>
      <c r="P10" s="12"/>
      <c r="Q10" s="12"/>
      <c r="R10" s="12"/>
      <c r="S10" s="12"/>
      <c r="T10" s="12"/>
      <c r="U10" s="13"/>
      <c r="W10" s="28" t="s">
        <v>22</v>
      </c>
      <c r="X10" s="1">
        <f>SUM(R7,R12,R21,R26,R31)</f>
        <v>6</v>
      </c>
      <c r="AA10" s="1"/>
    </row>
    <row r="11" ht="14.25" customHeight="1">
      <c r="A11" s="234"/>
      <c r="B11" s="275" t="s">
        <v>1049</v>
      </c>
      <c r="C11" s="8"/>
      <c r="D11" s="9"/>
      <c r="E11" s="234"/>
      <c r="F11" s="234"/>
      <c r="G11" s="234"/>
      <c r="H11" s="248"/>
      <c r="I11" s="236"/>
      <c r="J11" s="9"/>
      <c r="M11" s="25"/>
      <c r="N11" s="28" t="s">
        <v>17</v>
      </c>
      <c r="O11" s="28" t="s">
        <v>19</v>
      </c>
      <c r="P11" s="28" t="s">
        <v>20</v>
      </c>
      <c r="Q11" s="28" t="s">
        <v>21</v>
      </c>
      <c r="R11" s="28" t="s">
        <v>22</v>
      </c>
      <c r="S11" s="28" t="s">
        <v>23</v>
      </c>
      <c r="T11" s="28" t="s">
        <v>24</v>
      </c>
      <c r="U11" s="28" t="s">
        <v>25</v>
      </c>
      <c r="W11" s="28" t="s">
        <v>23</v>
      </c>
      <c r="X11" s="1">
        <f>SUM(S7,S12,S21,S26,S31)</f>
        <v>3</v>
      </c>
      <c r="AA11" s="1"/>
    </row>
    <row r="12" ht="14.25" customHeight="1">
      <c r="A12" s="234"/>
      <c r="B12" s="275"/>
      <c r="C12" s="8"/>
      <c r="D12" s="9"/>
      <c r="E12" s="234"/>
      <c r="F12" s="234"/>
      <c r="G12" s="234"/>
      <c r="H12" s="248"/>
      <c r="I12" s="236"/>
      <c r="J12" s="9"/>
      <c r="M12" s="34" t="s">
        <v>36</v>
      </c>
      <c r="N12" s="35">
        <f>SUMIF($A24:$A36,"Empuje",$E24:$E36)</f>
        <v>0</v>
      </c>
      <c r="O12" s="35">
        <f>SUMIF($A24:$A36,"Tracción",$E24:$E36)</f>
        <v>8</v>
      </c>
      <c r="P12" s="35">
        <f>SUMIF($A24:$A36,"Dom. Rodillas",$E24:$E36)</f>
        <v>0</v>
      </c>
      <c r="Q12" s="35">
        <f>SUMIF($A24:$A36,"Dom. Caderas",$E24:$E36)</f>
        <v>0</v>
      </c>
      <c r="R12" s="35">
        <f>SUMIF($A24:$A36,"A. Empuje",$E24:$E36)</f>
        <v>0</v>
      </c>
      <c r="S12" s="35">
        <f>SUMIF($A24:$A36,"A. Tracción",$E24:$E36)</f>
        <v>3</v>
      </c>
      <c r="T12" s="35">
        <f>SUMIF($A24:$A36,"A. Rodillas",$E24:$E36)</f>
        <v>0</v>
      </c>
      <c r="U12" s="35">
        <f>SUMIF($A24:$A36,"A. Cadera",$E24:$E36)</f>
        <v>0</v>
      </c>
      <c r="W12" s="28" t="s">
        <v>24</v>
      </c>
      <c r="X12" s="1">
        <f>SUM(T7,T12,T21,T26,T31)</f>
        <v>0</v>
      </c>
      <c r="AA12" s="1"/>
    </row>
    <row r="13" ht="14.25" customHeight="1">
      <c r="A13" s="158"/>
      <c r="B13" s="168" t="s">
        <v>1059</v>
      </c>
      <c r="C13" s="8"/>
      <c r="D13" s="9"/>
      <c r="E13" s="158">
        <v>3.0</v>
      </c>
      <c r="F13" s="158">
        <v>8.0</v>
      </c>
      <c r="G13" s="158"/>
      <c r="H13" s="253"/>
      <c r="I13" s="160"/>
      <c r="J13" s="9"/>
      <c r="M13" s="34" t="s">
        <v>7</v>
      </c>
      <c r="N13" s="35" t="str">
        <f>AVERAGEIF($A24:$A36,"Empuje",$G24:$G36)</f>
        <v>#DIV/0!</v>
      </c>
      <c r="O13" s="35" t="str">
        <f>AVERAGEIF($A24:$A36,"Tracción",$G24:$G36)</f>
        <v>#DIV/0!</v>
      </c>
      <c r="P13" s="35" t="str">
        <f>AVERAGEIF($A24:$A36,"Dom. Rodillas",$G24:$G36)</f>
        <v>#DIV/0!</v>
      </c>
      <c r="Q13" s="35" t="str">
        <f>AVERAGEIF($A24:$A36,"Dom.Cadera",$G24:$G36)</f>
        <v>#DIV/0!</v>
      </c>
      <c r="R13" s="35" t="str">
        <f>AVERAGEIF($A24:$A36,"A. Empuje",$G24:$G36)</f>
        <v>#DIV/0!</v>
      </c>
      <c r="S13" s="35" t="str">
        <f>AVERAGEIF($A24:$A36,"A. Tracción",$G24:$G36)</f>
        <v>#DIV/0!</v>
      </c>
      <c r="T13" s="35" t="str">
        <f>AVERAGEIF($A24:$A36,"A. Rodillas",$G24:$G36)</f>
        <v>#DIV/0!</v>
      </c>
      <c r="U13" s="35" t="str">
        <f>AVERAGEIF($A24:$A36,"A. Cadera",$G24:$G36)</f>
        <v>#DIV/0!</v>
      </c>
      <c r="W13" s="28" t="s">
        <v>25</v>
      </c>
      <c r="X13" s="1">
        <f>SUM(U7,U12,U21,U26,U31)</f>
        <v>0</v>
      </c>
      <c r="AA13" s="1"/>
    </row>
    <row r="14" ht="14.25" customHeight="1">
      <c r="A14" s="158"/>
      <c r="B14" s="168" t="s">
        <v>1069</v>
      </c>
      <c r="C14" s="8"/>
      <c r="D14" s="9"/>
      <c r="E14" s="158">
        <v>3.0</v>
      </c>
      <c r="F14" s="158">
        <v>4.0</v>
      </c>
      <c r="G14" s="158"/>
      <c r="H14" s="253"/>
      <c r="I14" s="169"/>
      <c r="J14" s="170"/>
      <c r="M14" s="65"/>
      <c r="N14" s="25"/>
      <c r="O14" s="25"/>
      <c r="P14" s="25"/>
      <c r="Q14" s="25"/>
      <c r="R14" s="25"/>
      <c r="S14" s="25"/>
      <c r="T14" s="25"/>
      <c r="U14" s="25"/>
      <c r="W14" s="256"/>
      <c r="X14" s="1"/>
      <c r="AA14" s="1"/>
    </row>
    <row r="15" ht="14.25" customHeight="1">
      <c r="A15" s="15" t="s">
        <v>47</v>
      </c>
      <c r="B15" s="61" t="s">
        <v>1070</v>
      </c>
      <c r="C15" s="8"/>
      <c r="D15" s="9"/>
      <c r="E15" s="15">
        <v>4.0</v>
      </c>
      <c r="F15" s="15" t="s">
        <v>1071</v>
      </c>
      <c r="G15" s="15">
        <v>8.0</v>
      </c>
      <c r="H15" s="259"/>
      <c r="I15" s="217"/>
      <c r="J15" s="218"/>
      <c r="M15" s="65"/>
      <c r="N15" s="25"/>
      <c r="O15" s="25"/>
      <c r="P15" s="25"/>
      <c r="Q15" s="25"/>
      <c r="R15" s="25"/>
      <c r="S15" s="25"/>
      <c r="T15" s="25"/>
      <c r="U15" s="25"/>
      <c r="W15" s="256"/>
      <c r="X15" s="1"/>
      <c r="AA15" s="1"/>
    </row>
    <row r="16" ht="14.25" customHeight="1">
      <c r="A16" s="15" t="s">
        <v>47</v>
      </c>
      <c r="B16" s="61" t="s">
        <v>1072</v>
      </c>
      <c r="C16" s="8"/>
      <c r="D16" s="9"/>
      <c r="E16" s="15">
        <v>4.0</v>
      </c>
      <c r="F16" s="15" t="s">
        <v>71</v>
      </c>
      <c r="G16" s="15">
        <v>7.0</v>
      </c>
      <c r="H16" s="259"/>
      <c r="I16" s="217"/>
      <c r="J16" s="218"/>
      <c r="M16" s="65"/>
      <c r="N16" s="25"/>
      <c r="O16" s="25"/>
      <c r="P16" s="25"/>
      <c r="Q16" s="25"/>
      <c r="R16" s="25"/>
      <c r="S16" s="25"/>
      <c r="T16" s="25"/>
      <c r="U16" s="25"/>
      <c r="W16" s="256"/>
      <c r="X16" s="1"/>
      <c r="AA16" s="1"/>
    </row>
    <row r="17" ht="14.25" customHeight="1">
      <c r="A17" s="15" t="s">
        <v>47</v>
      </c>
      <c r="B17" s="61" t="s">
        <v>1073</v>
      </c>
      <c r="C17" s="8"/>
      <c r="D17" s="9"/>
      <c r="E17" s="15">
        <v>3.0</v>
      </c>
      <c r="F17" s="15">
        <v>6.0</v>
      </c>
      <c r="G17" s="15">
        <v>7.0</v>
      </c>
      <c r="H17" s="259"/>
      <c r="I17" s="217"/>
      <c r="J17" s="218"/>
      <c r="M17" s="65"/>
      <c r="N17" s="25"/>
      <c r="O17" s="25"/>
      <c r="P17" s="25"/>
      <c r="Q17" s="25"/>
      <c r="R17" s="25"/>
      <c r="S17" s="25"/>
      <c r="T17" s="25"/>
      <c r="U17" s="25"/>
      <c r="W17" s="256"/>
      <c r="X17" s="1"/>
      <c r="AA17" s="1"/>
    </row>
    <row r="18" ht="14.25" customHeight="1">
      <c r="A18" s="109" t="s">
        <v>22</v>
      </c>
      <c r="B18" s="243" t="s">
        <v>1075</v>
      </c>
      <c r="C18" s="8"/>
      <c r="D18" s="9"/>
      <c r="E18" s="109">
        <v>3.0</v>
      </c>
      <c r="F18" s="109">
        <v>10.0</v>
      </c>
      <c r="G18" s="109">
        <v>6.0</v>
      </c>
      <c r="H18" s="264"/>
      <c r="I18" s="139"/>
      <c r="J18" s="9"/>
      <c r="M18" s="25"/>
      <c r="N18" s="25"/>
      <c r="O18" s="25"/>
      <c r="P18" s="25"/>
      <c r="Q18" s="25"/>
      <c r="R18" s="25"/>
      <c r="S18" s="25"/>
      <c r="T18" s="25"/>
      <c r="U18" s="25"/>
      <c r="W18" s="1"/>
      <c r="X18" s="1"/>
      <c r="AA18" s="1"/>
    </row>
    <row r="19" ht="14.25" customHeight="1">
      <c r="A19" s="109" t="s">
        <v>22</v>
      </c>
      <c r="B19" s="243" t="s">
        <v>1076</v>
      </c>
      <c r="C19" s="8"/>
      <c r="D19" s="9"/>
      <c r="E19" s="109">
        <v>3.0</v>
      </c>
      <c r="F19" s="109" t="s">
        <v>168</v>
      </c>
      <c r="G19" s="109">
        <v>6.0</v>
      </c>
      <c r="H19" s="109"/>
      <c r="I19" s="139"/>
      <c r="J19" s="9"/>
      <c r="M19" s="11" t="s">
        <v>57</v>
      </c>
      <c r="N19" s="12"/>
      <c r="O19" s="12"/>
      <c r="P19" s="12"/>
      <c r="Q19" s="12"/>
      <c r="R19" s="12"/>
      <c r="S19" s="12"/>
      <c r="T19" s="12"/>
      <c r="U19" s="13"/>
      <c r="W19" s="1"/>
      <c r="X19" s="1"/>
      <c r="AA19" s="1"/>
    </row>
    <row r="20" ht="14.25" customHeight="1">
      <c r="B20" s="26"/>
      <c r="C20" s="29"/>
      <c r="D20" s="29"/>
      <c r="M20" s="25"/>
      <c r="N20" s="28" t="s">
        <v>17</v>
      </c>
      <c r="O20" s="28" t="s">
        <v>19</v>
      </c>
      <c r="P20" s="28" t="s">
        <v>20</v>
      </c>
      <c r="Q20" s="28" t="s">
        <v>21</v>
      </c>
      <c r="R20" s="28" t="s">
        <v>22</v>
      </c>
      <c r="S20" s="28" t="s">
        <v>23</v>
      </c>
      <c r="T20" s="28" t="s">
        <v>24</v>
      </c>
      <c r="U20" s="28" t="s">
        <v>25</v>
      </c>
      <c r="W20" s="1"/>
      <c r="X20" s="1"/>
      <c r="Y20" s="1"/>
      <c r="Z20" s="1"/>
      <c r="AA20" s="1"/>
    </row>
    <row r="21" ht="14.25" customHeight="1">
      <c r="M21" s="34" t="s">
        <v>36</v>
      </c>
      <c r="N21" s="35">
        <f>SUMIF($A41:$A53,"Empuje",$E41:$E53)</f>
        <v>0</v>
      </c>
      <c r="O21" s="35">
        <f>SUMIF($A41:$A53,"Tracción",$E41:$E53)</f>
        <v>0</v>
      </c>
      <c r="P21" s="35">
        <f>SUMIF($A41:$A53,"Dom. Rodillas",$E41:$E53)</f>
        <v>0</v>
      </c>
      <c r="Q21" s="35">
        <f>SUMIF($A41:$A53,"Dom. Caderas",$E41:$E53)</f>
        <v>0</v>
      </c>
      <c r="R21" s="35">
        <f>SUMIF($A41:$A53,"A. Empuje",$E41:$E53)</f>
        <v>0</v>
      </c>
      <c r="S21" s="35">
        <f>SUMIF($A41:$A53,"A. Tracción",$E41:$E53)</f>
        <v>0</v>
      </c>
      <c r="T21" s="35">
        <f>SUMIF($A41:$A53,"A. Rodillas",$E41:$E53)</f>
        <v>0</v>
      </c>
      <c r="U21" s="35">
        <f>SUMIF($A41:$A53,"A. Cadera",$E41:$E53)</f>
        <v>0</v>
      </c>
      <c r="X21" s="1"/>
      <c r="Y21" s="1"/>
      <c r="Z21" s="1"/>
      <c r="AA21" s="1"/>
    </row>
    <row r="22" ht="14.25" customHeight="1">
      <c r="A22" s="2" t="s">
        <v>45</v>
      </c>
      <c r="B22" s="3"/>
      <c r="C22" s="4"/>
      <c r="J22" s="1"/>
      <c r="M22" s="34" t="s">
        <v>7</v>
      </c>
      <c r="N22" s="35" t="str">
        <f>AVERAGEIF($A41:$A53,"Empuje",$G41:$G53)</f>
        <v>#DIV/0!</v>
      </c>
      <c r="O22" s="35" t="str">
        <f>AVERAGEIF($A41:$A53,"Tracción",$G41:$G53)</f>
        <v>#DIV/0!</v>
      </c>
      <c r="P22" s="35" t="str">
        <f>AVERAGEIF($A41:$A53,"Dom. Rodillas",$G41:$G53)</f>
        <v>#DIV/0!</v>
      </c>
      <c r="Q22" s="35" t="str">
        <f>AVERAGEIF($A41:$A53,"Dom. Caderas",$G41:$G53)</f>
        <v>#DIV/0!</v>
      </c>
      <c r="R22" s="35" t="str">
        <f>AVERAGEIF($A41:$A53,"A. Empuje",$G41:$G53)</f>
        <v>#DIV/0!</v>
      </c>
      <c r="S22" s="35" t="str">
        <f>AVERAGEIF($A41:$A53,"A. Tracción",$G41:$G53)</f>
        <v>#DIV/0!</v>
      </c>
      <c r="T22" s="35" t="str">
        <f>AVERAGEIF($A41:$A53,"A. Rodillas",$G41:$G53)</f>
        <v>#DIV/0!</v>
      </c>
      <c r="U22" s="35" t="str">
        <f>AVERAGEIF($A41:$A53,"A. Cadera",$G41:$G53)</f>
        <v>#DIV/0!</v>
      </c>
      <c r="X22" s="1"/>
      <c r="Y22" s="1"/>
      <c r="Z22" s="1"/>
      <c r="AA22" s="1"/>
    </row>
    <row r="23" ht="14.25" customHeight="1">
      <c r="A23" s="6" t="s">
        <v>3</v>
      </c>
      <c r="B23" s="10" t="s">
        <v>4</v>
      </c>
      <c r="C23" s="8"/>
      <c r="D23" s="9"/>
      <c r="E23" s="6" t="s">
        <v>5</v>
      </c>
      <c r="F23" s="6" t="s">
        <v>6</v>
      </c>
      <c r="G23" s="6" t="s">
        <v>7</v>
      </c>
      <c r="H23" s="6" t="s">
        <v>8</v>
      </c>
      <c r="I23" s="10" t="s">
        <v>9</v>
      </c>
      <c r="J23" s="9"/>
      <c r="M23" s="25"/>
      <c r="N23" s="25"/>
      <c r="O23" s="25"/>
      <c r="P23" s="25"/>
      <c r="Q23" s="25"/>
      <c r="R23" s="25"/>
      <c r="S23" s="25"/>
      <c r="T23" s="25"/>
      <c r="U23" s="25"/>
      <c r="X23" s="1"/>
      <c r="Y23" s="1"/>
      <c r="Z23" s="1"/>
      <c r="AA23" s="1"/>
    </row>
    <row r="24" ht="14.25" customHeight="1">
      <c r="A24" s="230"/>
      <c r="B24" s="231"/>
      <c r="C24" s="18"/>
      <c r="D24" s="20"/>
      <c r="E24" s="230"/>
      <c r="F24" s="230"/>
      <c r="G24" s="230"/>
      <c r="H24" s="230"/>
      <c r="I24" s="232"/>
      <c r="J24" s="9"/>
      <c r="M24" s="11" t="s">
        <v>66</v>
      </c>
      <c r="N24" s="12"/>
      <c r="O24" s="12"/>
      <c r="P24" s="12"/>
      <c r="Q24" s="12"/>
      <c r="R24" s="12"/>
      <c r="S24" s="12"/>
      <c r="T24" s="12"/>
      <c r="U24" s="13"/>
      <c r="X24" s="1"/>
      <c r="Y24" s="1"/>
      <c r="Z24" s="1"/>
      <c r="AA24" s="1"/>
    </row>
    <row r="25" ht="14.25" customHeight="1">
      <c r="A25" s="230"/>
      <c r="B25" s="231"/>
      <c r="C25" s="18"/>
      <c r="D25" s="20"/>
      <c r="E25" s="230"/>
      <c r="F25" s="230"/>
      <c r="G25" s="230"/>
      <c r="H25" s="230"/>
      <c r="I25" s="232"/>
      <c r="J25" s="9"/>
      <c r="M25" s="25"/>
      <c r="N25" s="28" t="s">
        <v>17</v>
      </c>
      <c r="O25" s="28" t="s">
        <v>19</v>
      </c>
      <c r="P25" s="28" t="s">
        <v>20</v>
      </c>
      <c r="Q25" s="28" t="s">
        <v>21</v>
      </c>
      <c r="R25" s="28" t="s">
        <v>22</v>
      </c>
      <c r="S25" s="28" t="s">
        <v>23</v>
      </c>
      <c r="T25" s="28" t="s">
        <v>24</v>
      </c>
      <c r="U25" s="28" t="s">
        <v>25</v>
      </c>
      <c r="X25" s="1"/>
      <c r="Y25" s="1"/>
      <c r="Z25" s="1"/>
      <c r="AA25" s="1"/>
    </row>
    <row r="26" ht="14.25" customHeight="1">
      <c r="A26" s="230"/>
      <c r="B26" s="231"/>
      <c r="C26" s="18"/>
      <c r="D26" s="20"/>
      <c r="E26" s="230"/>
      <c r="F26" s="230"/>
      <c r="G26" s="230"/>
      <c r="H26" s="230"/>
      <c r="I26" s="232"/>
      <c r="J26" s="9"/>
      <c r="M26" s="34" t="s">
        <v>36</v>
      </c>
      <c r="N26" s="35">
        <f>SUMIF($A58:$A69,"Empuje",$E58:$E69)</f>
        <v>0</v>
      </c>
      <c r="O26" s="35">
        <f>SUMIF($A58:$A69,"Tracción",$E58:$E69)</f>
        <v>0</v>
      </c>
      <c r="P26" s="35">
        <f>SUMIF($A58:$A69,"Dom. Rodillas",$E58:$E69)</f>
        <v>0</v>
      </c>
      <c r="Q26" s="35">
        <f>SUMIF($A58:$A69,"Dom. Caderas",$E58:$E69)</f>
        <v>0</v>
      </c>
      <c r="R26" s="35">
        <f>SUMIF($A58:$A69,"A. Empuje",$E58:$E69)</f>
        <v>0</v>
      </c>
      <c r="S26" s="35">
        <f>SUMIF($A58:$A69,"A. Tracción",$E58:$E69)</f>
        <v>0</v>
      </c>
      <c r="T26" s="35">
        <f>SUMIF($A58:$A69,"A. Rodillas",$E58:$E69)</f>
        <v>0</v>
      </c>
      <c r="U26" s="35">
        <f>SUMIF($A58:$A69,"A. Cadera",$E58:$E69)</f>
        <v>0</v>
      </c>
    </row>
    <row r="27" ht="14.25" customHeight="1">
      <c r="A27" s="234"/>
      <c r="B27" s="237"/>
      <c r="C27" s="18"/>
      <c r="D27" s="20"/>
      <c r="E27" s="234"/>
      <c r="F27" s="234"/>
      <c r="G27" s="234"/>
      <c r="H27" s="234"/>
      <c r="I27" s="236"/>
      <c r="J27" s="9"/>
      <c r="M27" s="34" t="s">
        <v>7</v>
      </c>
      <c r="N27" s="35" t="str">
        <f>AVERAGEIF($A58:$A69,"Empuje",$G58:$G69)</f>
        <v>#DIV/0!</v>
      </c>
      <c r="O27" s="35" t="str">
        <f>AVERAGEIF($A58:$A69,"Tracción",$G58:$G69)</f>
        <v>#DIV/0!</v>
      </c>
      <c r="P27" s="35" t="str">
        <f>AVERAGEIF($A58:$A69,"Dom. Rodillas",$G58:$G69)</f>
        <v>#DIV/0!</v>
      </c>
      <c r="Q27" s="35" t="str">
        <f>AVERAGEIF($A58:$A69,"Dom. Caderas",$G58:$G69)</f>
        <v>#DIV/0!</v>
      </c>
      <c r="R27" s="35" t="str">
        <f>AVERAGEIF($A58:$A69,"A. Empuje",$G58:$G69)</f>
        <v>#DIV/0!</v>
      </c>
      <c r="S27" s="35" t="str">
        <f>AVERAGEIF($A58:$A69,"A. Tracción",$G58:$G69)</f>
        <v>#DIV/0!</v>
      </c>
      <c r="T27" s="35" t="str">
        <f>AVERAGEIF($A58:$A69,"A. Rodillas",$G58:$G69)</f>
        <v>#DIV/0!</v>
      </c>
      <c r="U27" s="35" t="str">
        <f>AVERAGEIF($A58:$A69,"A. Cadera",$G58:$G69)</f>
        <v>#DIV/0!</v>
      </c>
    </row>
    <row r="28" ht="14.25" customHeight="1">
      <c r="A28" s="234"/>
      <c r="B28" s="237"/>
      <c r="C28" s="18"/>
      <c r="D28" s="20"/>
      <c r="E28" s="234"/>
      <c r="F28" s="234"/>
      <c r="G28" s="234"/>
      <c r="H28" s="234"/>
      <c r="I28" s="236"/>
      <c r="J28" s="9"/>
      <c r="M28" s="25"/>
      <c r="N28" s="25"/>
      <c r="O28" s="25"/>
      <c r="P28" s="25"/>
      <c r="Q28" s="25"/>
      <c r="R28" s="25"/>
      <c r="S28" s="25"/>
      <c r="T28" s="25"/>
      <c r="U28" s="25"/>
    </row>
    <row r="29" ht="14.25" customHeight="1">
      <c r="A29" s="234"/>
      <c r="B29" s="237"/>
      <c r="C29" s="18"/>
      <c r="D29" s="20"/>
      <c r="E29" s="234"/>
      <c r="F29" s="234"/>
      <c r="G29" s="234"/>
      <c r="H29" s="234"/>
      <c r="I29" s="236"/>
      <c r="J29" s="9"/>
      <c r="M29" s="11" t="s">
        <v>76</v>
      </c>
      <c r="N29" s="12"/>
      <c r="O29" s="12"/>
      <c r="P29" s="12"/>
      <c r="Q29" s="12"/>
      <c r="R29" s="12"/>
      <c r="S29" s="12"/>
      <c r="T29" s="12"/>
      <c r="U29" s="13"/>
    </row>
    <row r="30" ht="14.25" customHeight="1">
      <c r="A30" s="234"/>
      <c r="B30" s="237"/>
      <c r="C30" s="18"/>
      <c r="D30" s="20"/>
      <c r="E30" s="234"/>
      <c r="F30" s="234"/>
      <c r="G30" s="234"/>
      <c r="H30" s="234"/>
      <c r="I30" s="236"/>
      <c r="J30" s="9"/>
      <c r="M30" s="25"/>
      <c r="N30" s="28" t="s">
        <v>17</v>
      </c>
      <c r="O30" s="28" t="s">
        <v>19</v>
      </c>
      <c r="P30" s="28" t="s">
        <v>20</v>
      </c>
      <c r="Q30" s="28" t="s">
        <v>21</v>
      </c>
      <c r="R30" s="28" t="s">
        <v>22</v>
      </c>
      <c r="S30" s="28" t="s">
        <v>23</v>
      </c>
      <c r="T30" s="28" t="s">
        <v>24</v>
      </c>
      <c r="U30" s="28" t="s">
        <v>25</v>
      </c>
    </row>
    <row r="31" ht="14.25" customHeight="1">
      <c r="A31" s="158"/>
      <c r="B31" s="159"/>
      <c r="C31" s="18"/>
      <c r="D31" s="20"/>
      <c r="E31" s="158"/>
      <c r="F31" s="158"/>
      <c r="G31" s="158"/>
      <c r="H31" s="158"/>
      <c r="I31" s="160"/>
      <c r="J31" s="9"/>
      <c r="M31" s="34" t="s">
        <v>36</v>
      </c>
      <c r="N31" s="35">
        <f>SUMIF($A74:$A83,"Empuje",$E74:$E83)</f>
        <v>0</v>
      </c>
      <c r="O31" s="35">
        <f>SUMIF($A74:$A83,"Tracción",$E74:$E83)</f>
        <v>0</v>
      </c>
      <c r="P31" s="35">
        <f>SUMIF($A74:$A83,"Dom. Rodillas",$E74:$E83)</f>
        <v>0</v>
      </c>
      <c r="Q31" s="35">
        <f>SUMIF($A74:$A83,"Dom. Caderas",$E74:$E83)</f>
        <v>0</v>
      </c>
      <c r="R31" s="35">
        <f>SUMIF($A74:$A83,"A. Empuje",$E74:$E83)</f>
        <v>0</v>
      </c>
      <c r="S31" s="35">
        <f>SUMIF($A74:$A83,"A. Tracción",$E74:$E83)</f>
        <v>0</v>
      </c>
      <c r="T31" s="35">
        <f>SUMIF($A74:$A83,"A. Rodillas",$E74:$E83)</f>
        <v>0</v>
      </c>
      <c r="U31" s="35">
        <f>SUMIF($A74:$A83,"A. Cadera",$E74:$E83)</f>
        <v>0</v>
      </c>
    </row>
    <row r="32" ht="14.25" customHeight="1">
      <c r="A32" s="158"/>
      <c r="B32" s="254"/>
      <c r="C32" s="255"/>
      <c r="D32" s="255"/>
      <c r="E32" s="158"/>
      <c r="F32" s="158"/>
      <c r="G32" s="158"/>
      <c r="H32" s="158"/>
      <c r="I32" s="169"/>
      <c r="J32" s="170"/>
      <c r="M32" s="34"/>
      <c r="N32" s="35"/>
      <c r="O32" s="35"/>
      <c r="P32" s="35"/>
      <c r="Q32" s="35"/>
      <c r="R32" s="35"/>
      <c r="S32" s="35"/>
      <c r="T32" s="35"/>
      <c r="U32" s="35"/>
    </row>
    <row r="33" ht="14.25" customHeight="1">
      <c r="A33" s="15" t="s">
        <v>19</v>
      </c>
      <c r="B33" s="61" t="s">
        <v>1081</v>
      </c>
      <c r="C33" s="8"/>
      <c r="D33" s="9"/>
      <c r="E33" s="15">
        <v>4.0</v>
      </c>
      <c r="F33" s="15">
        <v>8.0</v>
      </c>
      <c r="G33" s="15"/>
      <c r="H33" s="15"/>
      <c r="I33" s="217"/>
      <c r="J33" s="218"/>
      <c r="M33" s="34"/>
      <c r="N33" s="35"/>
      <c r="O33" s="35"/>
      <c r="P33" s="35"/>
      <c r="Q33" s="35"/>
      <c r="R33" s="35"/>
      <c r="S33" s="35"/>
      <c r="T33" s="35"/>
      <c r="U33" s="35"/>
    </row>
    <row r="34" ht="14.25" customHeight="1">
      <c r="A34" s="15" t="s">
        <v>19</v>
      </c>
      <c r="B34" s="17" t="s">
        <v>1082</v>
      </c>
      <c r="C34" s="18"/>
      <c r="D34" s="20"/>
      <c r="E34" s="15">
        <v>4.0</v>
      </c>
      <c r="F34" s="15">
        <v>10.0</v>
      </c>
      <c r="G34" s="15"/>
      <c r="H34" s="15"/>
      <c r="I34" s="23"/>
      <c r="J34" s="9"/>
      <c r="M34" s="34" t="s">
        <v>7</v>
      </c>
      <c r="N34" s="35" t="str">
        <f>AVERAGEIF($A74:$A83,"Empuje",$G74:$G83)</f>
        <v>#DIV/0!</v>
      </c>
      <c r="O34" s="35" t="str">
        <f>AVERAGEIF($A74:$A83,"Tracción",$G74:$G83)</f>
        <v>#DIV/0!</v>
      </c>
      <c r="P34" s="35" t="str">
        <f>AVERAGEIF($A74:$A83,"Dom. Rodillas",$G74:$G83)</f>
        <v>#DIV/0!</v>
      </c>
      <c r="Q34" s="35" t="str">
        <f>AVERAGEIF($A74:$A83,"Dom. Caderas",$G74:$G83)</f>
        <v>#DIV/0!</v>
      </c>
      <c r="R34" s="35" t="str">
        <f>AVERAGEIF($A74:$A83,"A. Empuje",$G74:$G83)</f>
        <v>#DIV/0!</v>
      </c>
      <c r="S34" s="35" t="str">
        <f>AVERAGEIF($A74:$A83,"A. Tracción",$G74:$G83)</f>
        <v>#DIV/0!</v>
      </c>
      <c r="T34" s="35" t="str">
        <f>AVERAGEIF($A74:$A83,"A. Rodillas",$G74:$G83)</f>
        <v>#DIV/0!</v>
      </c>
      <c r="U34" s="35" t="str">
        <f>AVERAGEIF($A74:$A83,"A. Cadera",$G74:$G83)</f>
        <v>#DIV/0!</v>
      </c>
    </row>
    <row r="35" ht="14.25" customHeight="1">
      <c r="A35" s="15" t="s">
        <v>23</v>
      </c>
      <c r="B35" s="61" t="s">
        <v>1083</v>
      </c>
      <c r="C35" s="8"/>
      <c r="D35" s="9"/>
      <c r="E35" s="15">
        <v>3.0</v>
      </c>
      <c r="F35" s="15">
        <v>12.0</v>
      </c>
      <c r="G35" s="15"/>
      <c r="H35" s="15"/>
      <c r="I35" s="217"/>
      <c r="J35" s="218"/>
      <c r="M35" s="65"/>
      <c r="N35" s="25"/>
      <c r="O35" s="25"/>
      <c r="P35" s="25"/>
      <c r="Q35" s="25"/>
      <c r="R35" s="25"/>
      <c r="S35" s="25"/>
      <c r="T35" s="25"/>
      <c r="U35" s="25"/>
    </row>
    <row r="36" ht="14.25" customHeight="1">
      <c r="A36" s="15" t="s">
        <v>23</v>
      </c>
      <c r="B36" s="61" t="s">
        <v>1084</v>
      </c>
      <c r="C36" s="8"/>
      <c r="D36" s="9"/>
      <c r="E36" s="15"/>
      <c r="F36" s="15"/>
      <c r="G36" s="15"/>
      <c r="H36" s="15"/>
      <c r="I36" s="23"/>
      <c r="J36" s="9"/>
    </row>
    <row r="37" ht="14.25" customHeight="1">
      <c r="B37" s="26"/>
      <c r="C37" s="29"/>
      <c r="D37" s="29"/>
    </row>
    <row r="38" ht="14.25" customHeight="1"/>
    <row r="39" ht="14.25" customHeight="1">
      <c r="A39" s="2" t="s">
        <v>57</v>
      </c>
      <c r="B39" s="3"/>
      <c r="C39" s="4"/>
      <c r="J39" s="1"/>
    </row>
    <row r="40" ht="14.25" customHeight="1">
      <c r="A40" s="6" t="s">
        <v>3</v>
      </c>
      <c r="B40" s="10" t="s">
        <v>4</v>
      </c>
      <c r="C40" s="8"/>
      <c r="D40" s="9"/>
      <c r="E40" s="6" t="s">
        <v>5</v>
      </c>
      <c r="F40" s="6" t="s">
        <v>6</v>
      </c>
      <c r="G40" s="6" t="s">
        <v>7</v>
      </c>
      <c r="H40" s="6" t="s">
        <v>8</v>
      </c>
      <c r="I40" s="10" t="s">
        <v>9</v>
      </c>
      <c r="J40" s="9"/>
    </row>
    <row r="41" ht="14.25" customHeight="1">
      <c r="A41" s="230"/>
      <c r="B41" s="231"/>
      <c r="C41" s="18"/>
      <c r="D41" s="20"/>
      <c r="E41" s="230"/>
      <c r="F41" s="230"/>
      <c r="G41" s="230"/>
      <c r="H41" s="270"/>
      <c r="I41" s="232"/>
      <c r="J41" s="9"/>
    </row>
    <row r="42" ht="14.25" customHeight="1">
      <c r="A42" s="230"/>
      <c r="B42" s="231"/>
      <c r="C42" s="18"/>
      <c r="D42" s="20"/>
      <c r="E42" s="230"/>
      <c r="F42" s="230"/>
      <c r="G42" s="230"/>
      <c r="H42" s="270"/>
      <c r="I42" s="232"/>
      <c r="J42" s="9"/>
    </row>
    <row r="43" ht="14.25" customHeight="1">
      <c r="A43" s="230"/>
      <c r="B43" s="231"/>
      <c r="C43" s="18"/>
      <c r="D43" s="20"/>
      <c r="E43" s="230"/>
      <c r="F43" s="230"/>
      <c r="G43" s="230"/>
      <c r="H43" s="270"/>
      <c r="I43" s="232"/>
      <c r="J43" s="9"/>
    </row>
    <row r="44" ht="14.25" customHeight="1">
      <c r="A44" s="234"/>
      <c r="B44" s="237"/>
      <c r="C44" s="18"/>
      <c r="D44" s="20"/>
      <c r="E44" s="234"/>
      <c r="F44" s="234"/>
      <c r="G44" s="234"/>
      <c r="H44" s="247"/>
      <c r="I44" s="236"/>
      <c r="J44" s="9"/>
    </row>
    <row r="45" ht="14.25" customHeight="1">
      <c r="A45" s="234"/>
      <c r="B45" s="237"/>
      <c r="C45" s="18"/>
      <c r="D45" s="20"/>
      <c r="E45" s="234"/>
      <c r="F45" s="234"/>
      <c r="G45" s="234"/>
      <c r="H45" s="234"/>
      <c r="I45" s="236"/>
      <c r="J45" s="9"/>
    </row>
    <row r="46" ht="14.25" customHeight="1">
      <c r="A46" s="234"/>
      <c r="B46" s="237"/>
      <c r="C46" s="18"/>
      <c r="D46" s="20"/>
      <c r="E46" s="234"/>
      <c r="F46" s="234"/>
      <c r="G46" s="234"/>
      <c r="H46" s="234"/>
      <c r="I46" s="236"/>
      <c r="J46" s="9"/>
    </row>
    <row r="47" ht="14.25" customHeight="1">
      <c r="A47" s="234"/>
      <c r="B47" s="237"/>
      <c r="C47" s="18"/>
      <c r="D47" s="20"/>
      <c r="E47" s="234"/>
      <c r="F47" s="234"/>
      <c r="G47" s="234"/>
      <c r="H47" s="234"/>
      <c r="I47" s="236"/>
      <c r="J47" s="9"/>
    </row>
    <row r="48" ht="14.25" customHeight="1">
      <c r="A48" s="158"/>
      <c r="B48" s="168" t="s">
        <v>1085</v>
      </c>
      <c r="C48" s="8"/>
      <c r="D48" s="9"/>
      <c r="E48" s="158">
        <v>3.0</v>
      </c>
      <c r="F48" s="158" t="s">
        <v>1086</v>
      </c>
      <c r="G48" s="158"/>
      <c r="H48" s="158"/>
      <c r="I48" s="169"/>
      <c r="J48" s="170"/>
    </row>
    <row r="49" ht="14.25" customHeight="1">
      <c r="A49" s="158"/>
      <c r="B49" s="168" t="s">
        <v>577</v>
      </c>
      <c r="C49" s="8"/>
      <c r="D49" s="9"/>
      <c r="E49" s="158">
        <v>3.0</v>
      </c>
      <c r="F49" s="158" t="s">
        <v>1087</v>
      </c>
      <c r="G49" s="158"/>
      <c r="H49" s="158"/>
      <c r="I49" s="169"/>
      <c r="J49" s="170"/>
    </row>
    <row r="50" ht="14.25" customHeight="1">
      <c r="A50" s="15"/>
      <c r="B50" s="17" t="s">
        <v>1088</v>
      </c>
      <c r="C50" s="18"/>
      <c r="D50" s="20"/>
      <c r="E50" s="15">
        <v>4.0</v>
      </c>
      <c r="F50" s="15" t="s">
        <v>1089</v>
      </c>
      <c r="G50" s="15"/>
      <c r="H50" s="15"/>
      <c r="I50" s="23"/>
      <c r="J50" s="9"/>
    </row>
    <row r="51" ht="14.25" customHeight="1">
      <c r="A51" s="15"/>
      <c r="B51" s="17" t="s">
        <v>1090</v>
      </c>
      <c r="C51" s="18"/>
      <c r="D51" s="20"/>
      <c r="E51" s="15">
        <v>3.0</v>
      </c>
      <c r="F51" s="15" t="s">
        <v>71</v>
      </c>
      <c r="G51" s="15"/>
      <c r="H51" s="15"/>
      <c r="I51" s="23"/>
      <c r="J51" s="9"/>
    </row>
    <row r="52" ht="14.25" customHeight="1">
      <c r="A52" s="15"/>
      <c r="B52" s="61" t="s">
        <v>1091</v>
      </c>
      <c r="C52" s="8"/>
      <c r="D52" s="9"/>
      <c r="E52" s="15"/>
      <c r="F52" s="15"/>
      <c r="G52" s="15"/>
      <c r="H52" s="15"/>
      <c r="I52" s="217"/>
      <c r="J52" s="218"/>
    </row>
    <row r="53" ht="14.25" customHeight="1">
      <c r="A53" s="15"/>
      <c r="B53" s="61" t="s">
        <v>1092</v>
      </c>
      <c r="C53" s="8"/>
      <c r="D53" s="9"/>
      <c r="E53" s="15"/>
      <c r="F53" s="15"/>
      <c r="G53" s="15"/>
      <c r="H53" s="15"/>
      <c r="I53" s="23"/>
      <c r="J53" s="9"/>
    </row>
    <row r="54" ht="14.25" customHeight="1">
      <c r="B54" s="26"/>
      <c r="C54" s="29"/>
      <c r="D54" s="29"/>
    </row>
    <row r="55" ht="14.25" customHeight="1"/>
    <row r="56" ht="14.25" customHeight="1">
      <c r="A56" s="2" t="s">
        <v>66</v>
      </c>
      <c r="B56" s="3"/>
      <c r="C56" s="4"/>
      <c r="J56" s="1"/>
    </row>
    <row r="57" ht="14.25" customHeight="1">
      <c r="A57" s="6" t="s">
        <v>3</v>
      </c>
      <c r="B57" s="10" t="s">
        <v>4</v>
      </c>
      <c r="C57" s="8"/>
      <c r="D57" s="9"/>
      <c r="E57" s="6" t="s">
        <v>5</v>
      </c>
      <c r="F57" s="6" t="s">
        <v>6</v>
      </c>
      <c r="G57" s="6" t="s">
        <v>7</v>
      </c>
      <c r="H57" s="6" t="s">
        <v>8</v>
      </c>
      <c r="I57" s="10" t="s">
        <v>9</v>
      </c>
      <c r="J57" s="9"/>
    </row>
    <row r="58" ht="14.25" customHeight="1">
      <c r="A58" s="230"/>
      <c r="B58" s="231"/>
      <c r="C58" s="18"/>
      <c r="D58" s="20"/>
      <c r="E58" s="230"/>
      <c r="F58" s="230"/>
      <c r="G58" s="230"/>
      <c r="H58" s="230"/>
      <c r="I58" s="232"/>
      <c r="J58" s="9"/>
    </row>
    <row r="59" ht="14.25" customHeight="1">
      <c r="A59" s="230"/>
      <c r="B59" s="231"/>
      <c r="C59" s="18"/>
      <c r="D59" s="20"/>
      <c r="E59" s="230"/>
      <c r="F59" s="230"/>
      <c r="G59" s="230"/>
      <c r="H59" s="230"/>
      <c r="I59" s="232"/>
      <c r="J59" s="9"/>
    </row>
    <row r="60" ht="14.25" customHeight="1">
      <c r="A60" s="230"/>
      <c r="B60" s="231"/>
      <c r="C60" s="18"/>
      <c r="D60" s="20"/>
      <c r="E60" s="230"/>
      <c r="F60" s="230"/>
      <c r="G60" s="230"/>
      <c r="H60" s="230"/>
      <c r="I60" s="232"/>
      <c r="J60" s="9"/>
    </row>
    <row r="61" ht="14.25" customHeight="1">
      <c r="A61" s="234"/>
      <c r="B61" s="237"/>
      <c r="C61" s="18"/>
      <c r="D61" s="20"/>
      <c r="E61" s="234"/>
      <c r="F61" s="234"/>
      <c r="G61" s="234"/>
      <c r="H61" s="234"/>
      <c r="I61" s="236"/>
      <c r="J61" s="9"/>
    </row>
    <row r="62" ht="14.25" customHeight="1">
      <c r="A62" s="234"/>
      <c r="B62" s="237"/>
      <c r="C62" s="18"/>
      <c r="D62" s="20"/>
      <c r="E62" s="234"/>
      <c r="F62" s="234"/>
      <c r="G62" s="234"/>
      <c r="H62" s="234"/>
      <c r="I62" s="236"/>
      <c r="J62" s="9"/>
    </row>
    <row r="63" ht="14.25" customHeight="1">
      <c r="A63" s="234"/>
      <c r="B63" s="237"/>
      <c r="C63" s="18"/>
      <c r="D63" s="20"/>
      <c r="E63" s="234"/>
      <c r="F63" s="234"/>
      <c r="G63" s="234"/>
      <c r="H63" s="234"/>
      <c r="I63" s="236"/>
      <c r="J63" s="9"/>
    </row>
    <row r="64" ht="14.25" customHeight="1">
      <c r="A64" s="158"/>
      <c r="B64" s="159"/>
      <c r="C64" s="18"/>
      <c r="D64" s="20"/>
      <c r="E64" s="158"/>
      <c r="F64" s="158"/>
      <c r="G64" s="158"/>
      <c r="H64" s="158"/>
      <c r="I64" s="160"/>
      <c r="J64" s="9"/>
    </row>
    <row r="65" ht="14.25" customHeight="1">
      <c r="A65" s="158"/>
      <c r="B65" s="159"/>
      <c r="C65" s="18"/>
      <c r="D65" s="20"/>
      <c r="E65" s="158"/>
      <c r="F65" s="158"/>
      <c r="G65" s="158"/>
      <c r="H65" s="158"/>
      <c r="I65" s="160"/>
      <c r="J65" s="9"/>
    </row>
    <row r="66" ht="14.25" customHeight="1">
      <c r="A66" s="49"/>
      <c r="B66" s="271"/>
      <c r="C66" s="272"/>
      <c r="D66" s="272"/>
      <c r="E66" s="49"/>
      <c r="F66" s="49"/>
      <c r="G66" s="49"/>
      <c r="H66" s="49"/>
      <c r="I66" s="63"/>
      <c r="J66" s="64"/>
    </row>
    <row r="67" ht="14.25" customHeight="1">
      <c r="A67" s="49"/>
      <c r="B67" s="271"/>
      <c r="C67" s="272"/>
      <c r="D67" s="272"/>
      <c r="E67" s="49"/>
      <c r="F67" s="49"/>
      <c r="G67" s="49"/>
      <c r="H67" s="49"/>
      <c r="I67" s="63"/>
      <c r="J67" s="64"/>
    </row>
    <row r="68" ht="14.25" customHeight="1">
      <c r="A68" s="15"/>
      <c r="B68" s="17"/>
      <c r="C68" s="18"/>
      <c r="D68" s="20"/>
      <c r="E68" s="15"/>
      <c r="F68" s="15"/>
      <c r="G68" s="15"/>
      <c r="H68" s="15"/>
      <c r="I68" s="23"/>
      <c r="J68" s="9"/>
    </row>
    <row r="69" ht="14.25" customHeight="1">
      <c r="A69" s="15"/>
      <c r="B69" s="61"/>
      <c r="C69" s="8"/>
      <c r="D69" s="9"/>
      <c r="E69" s="15"/>
      <c r="F69" s="15"/>
      <c r="G69" s="15"/>
      <c r="H69" s="15"/>
      <c r="I69" s="23"/>
      <c r="J69" s="9"/>
    </row>
    <row r="70" ht="14.25" customHeight="1">
      <c r="B70" s="26"/>
      <c r="C70" s="29"/>
      <c r="D70" s="29"/>
    </row>
    <row r="71" ht="14.25" customHeight="1"/>
    <row r="72" ht="14.25" customHeight="1">
      <c r="A72" s="2" t="s">
        <v>76</v>
      </c>
      <c r="B72" s="3"/>
      <c r="C72" s="4"/>
      <c r="J72" s="1"/>
    </row>
    <row r="73" ht="14.25" customHeight="1">
      <c r="A73" s="6" t="s">
        <v>3</v>
      </c>
      <c r="B73" s="10" t="s">
        <v>4</v>
      </c>
      <c r="C73" s="8"/>
      <c r="D73" s="9"/>
      <c r="E73" s="6" t="s">
        <v>5</v>
      </c>
      <c r="F73" s="6" t="s">
        <v>6</v>
      </c>
      <c r="G73" s="6" t="s">
        <v>7</v>
      </c>
      <c r="H73" s="6" t="s">
        <v>8</v>
      </c>
      <c r="I73" s="10" t="s">
        <v>9</v>
      </c>
      <c r="J73" s="9"/>
    </row>
    <row r="74" ht="14.25" customHeight="1">
      <c r="A74" s="230"/>
      <c r="B74" s="231"/>
      <c r="C74" s="18"/>
      <c r="D74" s="20"/>
      <c r="E74" s="230"/>
      <c r="F74" s="230"/>
      <c r="G74" s="230"/>
      <c r="H74" s="230"/>
      <c r="I74" s="232"/>
      <c r="J74" s="9"/>
    </row>
    <row r="75" ht="14.25" customHeight="1">
      <c r="A75" s="230"/>
      <c r="B75" s="231"/>
      <c r="C75" s="18"/>
      <c r="D75" s="20"/>
      <c r="E75" s="230"/>
      <c r="F75" s="230"/>
      <c r="G75" s="230"/>
      <c r="H75" s="230"/>
      <c r="I75" s="232"/>
      <c r="J75" s="9"/>
    </row>
    <row r="76" ht="14.25" customHeight="1">
      <c r="A76" s="230"/>
      <c r="B76" s="231"/>
      <c r="C76" s="18"/>
      <c r="D76" s="20"/>
      <c r="E76" s="230"/>
      <c r="F76" s="230"/>
      <c r="G76" s="230"/>
      <c r="H76" s="230"/>
      <c r="I76" s="232"/>
      <c r="J76" s="9"/>
    </row>
    <row r="77" ht="14.25" customHeight="1">
      <c r="A77" s="234"/>
      <c r="B77" s="237"/>
      <c r="C77" s="18"/>
      <c r="D77" s="20"/>
      <c r="E77" s="234"/>
      <c r="F77" s="234"/>
      <c r="G77" s="234"/>
      <c r="H77" s="234"/>
      <c r="I77" s="236"/>
      <c r="J77" s="9"/>
    </row>
    <row r="78" ht="14.25" customHeight="1">
      <c r="A78" s="234"/>
      <c r="B78" s="237"/>
      <c r="C78" s="18"/>
      <c r="D78" s="20"/>
      <c r="E78" s="234"/>
      <c r="F78" s="234"/>
      <c r="G78" s="234"/>
      <c r="H78" s="234"/>
      <c r="I78" s="236"/>
      <c r="J78" s="9"/>
    </row>
    <row r="79" ht="14.25" customHeight="1">
      <c r="A79" s="234"/>
      <c r="B79" s="237"/>
      <c r="C79" s="18"/>
      <c r="D79" s="20"/>
      <c r="E79" s="234"/>
      <c r="F79" s="234"/>
      <c r="G79" s="234"/>
      <c r="H79" s="234"/>
      <c r="I79" s="236"/>
      <c r="J79" s="9"/>
    </row>
    <row r="80" ht="14.25" customHeight="1">
      <c r="A80" s="15"/>
      <c r="B80" s="17"/>
      <c r="C80" s="18"/>
      <c r="D80" s="20"/>
      <c r="E80" s="15"/>
      <c r="F80" s="15"/>
      <c r="G80" s="15"/>
      <c r="H80" s="15"/>
      <c r="I80" s="23"/>
      <c r="J80" s="9"/>
    </row>
    <row r="81" ht="14.25" customHeight="1">
      <c r="A81" s="15"/>
      <c r="B81" s="17"/>
      <c r="C81" s="18"/>
      <c r="D81" s="20"/>
      <c r="E81" s="15"/>
      <c r="F81" s="15"/>
      <c r="G81" s="15"/>
      <c r="H81" s="15"/>
      <c r="I81" s="23"/>
      <c r="J81" s="9"/>
    </row>
    <row r="82" ht="14.25" customHeight="1">
      <c r="A82" s="15"/>
      <c r="B82" s="17"/>
      <c r="C82" s="18"/>
      <c r="D82" s="20"/>
      <c r="E82" s="15"/>
      <c r="F82" s="15"/>
      <c r="G82" s="15"/>
      <c r="H82" s="15"/>
      <c r="I82" s="23"/>
      <c r="J82" s="9"/>
    </row>
    <row r="83" ht="14.25" customHeight="1">
      <c r="A83" s="15"/>
      <c r="B83" s="61"/>
      <c r="C83" s="8"/>
      <c r="D83" s="9"/>
      <c r="E83" s="15"/>
      <c r="F83" s="15"/>
      <c r="G83" s="15"/>
      <c r="H83" s="15"/>
      <c r="I83" s="23"/>
      <c r="J83" s="9"/>
    </row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4">
    <mergeCell ref="A4:C4"/>
    <mergeCell ref="B5:D5"/>
    <mergeCell ref="I5:J5"/>
    <mergeCell ref="M5:U5"/>
    <mergeCell ref="W5:Y5"/>
    <mergeCell ref="B6:D6"/>
    <mergeCell ref="B7:D7"/>
    <mergeCell ref="I10:J10"/>
    <mergeCell ref="M10:U10"/>
    <mergeCell ref="I9:J9"/>
    <mergeCell ref="I11:J11"/>
    <mergeCell ref="I6:J6"/>
    <mergeCell ref="I7:J7"/>
    <mergeCell ref="B8:D8"/>
    <mergeCell ref="I8:J8"/>
    <mergeCell ref="B9:D9"/>
    <mergeCell ref="B10:D10"/>
    <mergeCell ref="B11:D11"/>
    <mergeCell ref="B12:D12"/>
    <mergeCell ref="I12:J12"/>
    <mergeCell ref="B13:D13"/>
    <mergeCell ref="I13:J13"/>
    <mergeCell ref="B14:D14"/>
    <mergeCell ref="B15:D15"/>
    <mergeCell ref="B16:D16"/>
    <mergeCell ref="B17:D17"/>
    <mergeCell ref="B18:D18"/>
    <mergeCell ref="I18:J18"/>
    <mergeCell ref="B19:D19"/>
    <mergeCell ref="I19:J19"/>
    <mergeCell ref="M19:U19"/>
    <mergeCell ref="B20:D20"/>
    <mergeCell ref="A22:C22"/>
    <mergeCell ref="B23:D23"/>
    <mergeCell ref="I23:J23"/>
    <mergeCell ref="B24:D24"/>
    <mergeCell ref="I24:J24"/>
    <mergeCell ref="M24:U24"/>
    <mergeCell ref="I25:J25"/>
    <mergeCell ref="I28:J28"/>
    <mergeCell ref="I29:J29"/>
    <mergeCell ref="M29:U29"/>
    <mergeCell ref="B25:D25"/>
    <mergeCell ref="B26:D26"/>
    <mergeCell ref="I26:J26"/>
    <mergeCell ref="B27:D27"/>
    <mergeCell ref="I27:J27"/>
    <mergeCell ref="B28:D28"/>
    <mergeCell ref="B29:D29"/>
    <mergeCell ref="B30:D30"/>
    <mergeCell ref="I30:J30"/>
    <mergeCell ref="B31:D31"/>
    <mergeCell ref="I31:J31"/>
    <mergeCell ref="B33:D33"/>
    <mergeCell ref="B34:D34"/>
    <mergeCell ref="I34:J34"/>
    <mergeCell ref="I40:J40"/>
    <mergeCell ref="I41:J41"/>
    <mergeCell ref="B35:D35"/>
    <mergeCell ref="B36:D36"/>
    <mergeCell ref="I36:J36"/>
    <mergeCell ref="B37:D37"/>
    <mergeCell ref="A39:C39"/>
    <mergeCell ref="B40:D40"/>
    <mergeCell ref="B41:D41"/>
    <mergeCell ref="I46:J46"/>
    <mergeCell ref="I47:J47"/>
    <mergeCell ref="I50:J50"/>
    <mergeCell ref="I51:J51"/>
    <mergeCell ref="I53:J53"/>
    <mergeCell ref="B42:D42"/>
    <mergeCell ref="I42:J42"/>
    <mergeCell ref="B43:D43"/>
    <mergeCell ref="I43:J43"/>
    <mergeCell ref="B44:D44"/>
    <mergeCell ref="I44:J44"/>
    <mergeCell ref="I45:J45"/>
    <mergeCell ref="B82:D82"/>
    <mergeCell ref="B83:D83"/>
    <mergeCell ref="B75:D75"/>
    <mergeCell ref="B76:D76"/>
    <mergeCell ref="B77:D77"/>
    <mergeCell ref="B78:D78"/>
    <mergeCell ref="B79:D79"/>
    <mergeCell ref="B80:D80"/>
    <mergeCell ref="B81:D81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6:C56"/>
    <mergeCell ref="B57:D57"/>
    <mergeCell ref="I57:J57"/>
    <mergeCell ref="I58:J58"/>
    <mergeCell ref="B58:D58"/>
    <mergeCell ref="B59:D59"/>
    <mergeCell ref="B60:D60"/>
    <mergeCell ref="B61:D61"/>
    <mergeCell ref="B62:D62"/>
    <mergeCell ref="B63:D63"/>
    <mergeCell ref="B64:D64"/>
    <mergeCell ref="I59:J59"/>
    <mergeCell ref="I60:J60"/>
    <mergeCell ref="I61:J61"/>
    <mergeCell ref="I62:J62"/>
    <mergeCell ref="I63:J63"/>
    <mergeCell ref="I64:J64"/>
    <mergeCell ref="I65:J65"/>
    <mergeCell ref="B65:D65"/>
    <mergeCell ref="B68:D68"/>
    <mergeCell ref="B69:D69"/>
    <mergeCell ref="B70:D70"/>
    <mergeCell ref="A72:C72"/>
    <mergeCell ref="B73:D73"/>
    <mergeCell ref="B74:D74"/>
    <mergeCell ref="I78:J78"/>
    <mergeCell ref="I79:J79"/>
    <mergeCell ref="I80:J80"/>
    <mergeCell ref="I81:J81"/>
    <mergeCell ref="I82:J82"/>
    <mergeCell ref="I83:J83"/>
    <mergeCell ref="I68:J68"/>
    <mergeCell ref="I69:J69"/>
    <mergeCell ref="I73:J73"/>
    <mergeCell ref="I74:J74"/>
    <mergeCell ref="I75:J75"/>
    <mergeCell ref="I76:J76"/>
    <mergeCell ref="I77:J77"/>
  </mergeCells>
  <dataValidations>
    <dataValidation type="list" allowBlank="1" showErrorMessage="1" sqref="J3 A6:A19 A24:A36 A41:A53 A58:A69 A74:A83">
      <formula1>Datos!$B$2:$B$12</formula1>
    </dataValidation>
    <dataValidation type="list" allowBlank="1" showErrorMessage="1" sqref="J4 J22 J39 J56 J72">
      <formula1>Datos!$D$2:$D$14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1.86"/>
    <col customWidth="1" min="2" max="2" width="33.29"/>
  </cols>
  <sheetData>
    <row r="1">
      <c r="A1" s="82" t="str">
        <f>IFERROR(__xludf.DUMMYFUNCTION("UNIQUE(
  FILTER(
    VSTACK(
      'PABLO SALAS  (2)'!A2:D1000,
      'Rutina por Patrones 1'!A2:D1000,
      'PREP FISICA'!A2:D1000,
      Hoja1!A2:D1000,
      Hoja2!A2:D1000,
      Hoja3!A2:D1000,
      'Rutina por Patrones 2'!A2:D1000,
      'ERIC B "&amp;"(PATRONES 5D)'!A2:D1000,
      'Rutina por Patrones 4 (2)'!A2:D1000,
      Hoja4!A2:D1000,
      'Rutina por Patrones 4'!A2:D1000,
      cintia!A2:D1000,
      DIEGOTE!A2:D1000,
      'ROCIO R'!A2:D1000,
      'ROCIO R (2)'!A2:D1000,
      'ROCIO R (3)'!A"&amp;"2:D1000,
      'ROCIO R (4)'!A2:D1000,
      'ROCIO R (5)prep fisica'!A2:D1000,
      NANO!A2:D1000,
      Hoja5!A2:D1000,
      'sole,clau,olga'!A2:D1000,
      'sole,clau,olga (2)'!A2:D1000,
      'sole,clau,olga (3)'!A2:D1000,
      'sole,clau,olga (4)"&amp;"'!A2:D1000,
      'PLAN hombre  x3'!A2:D1000,
      'PLAN hombre  x3 (2)'!A2:D1000,
      'PLAN MUJER X3 B'!A2:D1000,
      'sole,clau,olga (5)'!A2:D1000,
      'PREP FISICA ALBERTO (2)'!A2:D1000,
      Hoja6!A2:D1000,
      'Agus boscatto'!A2:D1000,
    "&amp;"  'RO R (5)prep fisica (2)'!A2:D1000,
      'PREP FISICA ALBERTO'!A2:D1000,
      GONZA!A2:D1000,
      'GONZA (2)'!A2:D1000,
      'PREP FISICA ALBERTO (3)'!A2:D1000,
      'PREP FISICA ALBERT 2026'!A2:D1000,
      'PABLO SALAS'!A2:D1000,
      'ALBERTO "&amp;"2026'!A2:D1000,
      'PABLO SALAS  (3)'!A2:D1000,
      'ROCIO R (5)'!A2:D1000,
      kuki!A2:D1000,
      'borrador PREP FISICA'!A2:D1000,
      'Rutina por Patrones 4 (3)'!A2:D1000,
      'vicki 2026'!A2:D1000,
      NAN!A2:D1000,
      'Rutina por Pat"&amp;"rones 4 (4)'!A2:D1000
    ),
    INDEX(
      VSTACK(
        'PABLO SALAS  (2)'!A2:D1000,
        'Rutina por Patrones 1'!A2:D1000,
        'PREP FISICA'!A2:D1000,
        Hoja1!A2:D1000,
        Hoja2!A2:D1000,
        Hoja3!A2:D1000,
        'Rutina po"&amp;"r Patrones 2'!A2:D1000,
        'ERIC B (PATRONES 5D)'!A2:D1000,
        'Rutina por Patrones 4 (2)'!A2:D1000,
        Hoja4!A2:D1000,
        'Rutina por Patrones 4'!A2:D1000,
        cintia!A2:D1000,
        DIEGOTE!A2:D1000,
        'ROCIO R'!A2:D1000,"&amp;"
        'ROCIO R (2)'!A2:D1000,
        'ROCIO R (3)'!A2:D1000,
        'ROCIO R (4)'!A2:D1000,
        'ROCIO R (5)prep fisica'!A2:D1000,
        NANO!A2:D1000,
        Hoja5!A2:D1000,
        'sole,clau,olga'!A2:D1000,
        'sole,clau,olga (2)'!A2:D"&amp;"1000,
        'sole,clau,olga (3)'!A2:D1000,
        'sole,clau,olga (4)'!A2:D1000,
        'PLAN hombre  x3'!A2:D1000,
        'PLAN hombre  x3 (2)'!A2:D1000,
        'PLAN MUJER X3 B'!A2:D1000,
        'sole,clau,olga (5)'!A2:D1000,
        'PREP FISICA"&amp;" ALBERTO (2)'!A2:D1000,
        Hoja6!A2:D1000,
        'Agus boscatto'!A2:D1000,
        'RO R (5)prep fisica (2)'!A2:D1000,
        'PREP FISICA ALBERTO'!A2:D1000,
        GONZA!A2:D1000,
        'GONZA (2)'!A2:D1000,
        'PREP FISICA ALBERTO (3)'!A"&amp;"2:D1000,
        'PREP FISICA ALBERT 2026'!A2:D1000,
        'PABLO SALAS'!A2:D1000,
        'ALBERTO 2026'!A2:D1000,
        'PABLO SALAS  (3)'!A2:D1000,
        'ROCIO R (5)'!A2:D1000,
        kuki!A2:D1000,
        'borrador PREP FISICA'!A2:D1000,
    "&amp;"    'Rutina por Patrones 4 (3)'!A2:D1000,
        'vicki 2026'!A2:D1000,
        NAN!A2:D1000,
        'Rutina por Patrones 4 (4)'!A2:D1000
      ),
      0, 1
    ) &lt;&gt; """"
  )
)"),"Día 1 FUERZA TREN SUP")</f>
        <v>Día 1 FUERZA TREN SUP</v>
      </c>
      <c r="B1" s="82"/>
      <c r="C1" s="82"/>
      <c r="D1" s="82"/>
    </row>
    <row r="2">
      <c r="A2" s="82" t="str">
        <f>IFERROR(__xludf.DUMMYFUNCTION("""COMPUTED_VALUE"""),"Músculo")</f>
        <v>Músculo</v>
      </c>
      <c r="B2" s="82" t="str">
        <f>IFERROR(__xludf.DUMMYFUNCTION("""COMPUTED_VALUE"""),"Ejercicio")</f>
        <v>Ejercicio</v>
      </c>
      <c r="C2" s="82"/>
      <c r="D2" s="82"/>
    </row>
    <row r="3">
      <c r="A3" s="82" t="str">
        <f>IFERROR(__xludf.DUMMYFUNCTION("""COMPUTED_VALUE"""),"Otros")</f>
        <v>Otros</v>
      </c>
      <c r="B3" s="82" t="str">
        <f>IFERROR(__xludf.DUMMYFUNCTION("""COMPUTED_VALUE"""),"MOVILIDAD GENERAL")</f>
        <v>MOVILIDAD GENERAL</v>
      </c>
      <c r="C3" s="82"/>
      <c r="D3" s="82"/>
    </row>
    <row r="4">
      <c r="A4" s="82" t="str">
        <f>IFERROR(__xludf.DUMMYFUNCTION("""COMPUTED_VALUE"""),"Otros")</f>
        <v>Otros</v>
      </c>
      <c r="B4" s="82" t="str">
        <f>IFERROR(__xludf.DUMMYFUNCTION("""COMPUTED_VALUE"""),"plancha con pasaje + escalador")</f>
        <v>plancha con pasaje + escalador</v>
      </c>
      <c r="C4" s="82"/>
      <c r="D4" s="82"/>
    </row>
    <row r="5">
      <c r="A5" s="82" t="str">
        <f>IFERROR(__xludf.DUMMYFUNCTION("""COMPUTED_VALUE"""),"Otros")</f>
        <v>Otros</v>
      </c>
      <c r="B5" s="82" t="str">
        <f>IFERROR(__xludf.DUMMYFUNCTION("""COMPUTED_VALUE"""),"BICEP + PRESS")</f>
        <v>BICEP + PRESS</v>
      </c>
      <c r="C5" s="82"/>
      <c r="D5" s="82"/>
    </row>
    <row r="6">
      <c r="A6" s="82" t="str">
        <f>IFERROR(__xludf.DUMMYFUNCTION("""COMPUTED_VALUE"""),"Pecho")</f>
        <v>Pecho</v>
      </c>
      <c r="B6" s="82" t="str">
        <f>IFERROR(__xludf.DUMMYFUNCTION("""COMPUTED_VALUE"""),"PRESS PLANO ")</f>
        <v>PRESS PLANO </v>
      </c>
      <c r="C6" s="82"/>
      <c r="D6" s="82"/>
    </row>
    <row r="7">
      <c r="A7" s="82" t="str">
        <f>IFERROR(__xludf.DUMMYFUNCTION("""COMPUTED_VALUE"""),"Hombros")</f>
        <v>Hombros</v>
      </c>
      <c r="B7" s="82" t="str">
        <f>IFERROR(__xludf.DUMMYFUNCTION("""COMPUTED_VALUE"""),"PRESS INCLINADO ")</f>
        <v>PRESS INCLINADO </v>
      </c>
      <c r="C7" s="82"/>
      <c r="D7" s="82"/>
    </row>
    <row r="8">
      <c r="A8" s="82" t="str">
        <f>IFERROR(__xludf.DUMMYFUNCTION("""COMPUTED_VALUE"""),"Hombros")</f>
        <v>Hombros</v>
      </c>
      <c r="B8" s="82" t="str">
        <f>IFERROR(__xludf.DUMMYFUNCTION("""COMPUTED_VALUE"""),"PUSH PRESS CON MANCUERNA ")</f>
        <v>PUSH PRESS CON MANCUERNA </v>
      </c>
      <c r="C8" s="82"/>
      <c r="D8" s="82"/>
    </row>
    <row r="9">
      <c r="A9" s="82" t="str">
        <f>IFERROR(__xludf.DUMMYFUNCTION("""COMPUTED_VALUE"""),"Cuádriceps")</f>
        <v>Cuádriceps</v>
      </c>
      <c r="B9" s="82" t="str">
        <f>IFERROR(__xludf.DUMMYFUNCTION("""COMPUTED_VALUE"""),"SUBIDAS AL CAJON ")</f>
        <v>SUBIDAS AL CAJON </v>
      </c>
      <c r="C9" s="82"/>
      <c r="D9" s="82"/>
    </row>
    <row r="10">
      <c r="A10" s="82" t="str">
        <f>IFERROR(__xludf.DUMMYFUNCTION("""COMPUTED_VALUE"""),"Cuádriceps")</f>
        <v>Cuádriceps</v>
      </c>
      <c r="B10" s="82" t="str">
        <f>IFERROR(__xludf.DUMMYFUNCTION("""COMPUTED_VALUE"""),"ESTOCADAS CON SALTO ")</f>
        <v>ESTOCADAS CON SALTO </v>
      </c>
      <c r="C10" s="82"/>
      <c r="D10" s="82"/>
    </row>
    <row r="11">
      <c r="A11" s="82" t="str">
        <f>IFERROR(__xludf.DUMMYFUNCTION("""COMPUTED_VALUE"""),"Cuádriceps")</f>
        <v>Cuádriceps</v>
      </c>
      <c r="B11" s="82" t="str">
        <f>IFERROR(__xludf.DUMMYFUNCTION("""COMPUTED_VALUE"""),"PRENSA 45 ")</f>
        <v>PRENSA 45 </v>
      </c>
      <c r="C11" s="82"/>
      <c r="D11" s="82"/>
    </row>
    <row r="12">
      <c r="A12" s="82" t="str">
        <f>IFERROR(__xludf.DUMMYFUNCTION("""COMPUTED_VALUE"""),"Bíceps")</f>
        <v>Bíceps</v>
      </c>
      <c r="B12" s="82" t="str">
        <f>IFERROR(__xludf.DUMMYFUNCTION("""COMPUTED_VALUE"""),"BICEP BARRA W")</f>
        <v>BICEP BARRA W</v>
      </c>
      <c r="C12" s="82"/>
      <c r="D12" s="82"/>
    </row>
    <row r="13">
      <c r="A13" s="82" t="str">
        <f>IFERROR(__xludf.DUMMYFUNCTION("""COMPUTED_VALUE"""),"Tríceps")</f>
        <v>Tríceps</v>
      </c>
      <c r="B13" s="82" t="str">
        <f>IFERROR(__xludf.DUMMYFUNCTION("""COMPUTED_VALUE"""),"PRESS FRANCES CON MANC ")</f>
        <v>PRESS FRANCES CON MANC </v>
      </c>
      <c r="C13" s="82"/>
      <c r="D13" s="82"/>
    </row>
    <row r="14">
      <c r="A14" s="82" t="str">
        <f>IFERROR(__xludf.DUMMYFUNCTION("""COMPUTED_VALUE"""),"Día 2 FUERZA Y POTENCIA INF ")</f>
        <v>Día 2 FUERZA Y POTENCIA INF </v>
      </c>
      <c r="B14" s="82"/>
      <c r="C14" s="82"/>
      <c r="D14" s="82"/>
    </row>
    <row r="15">
      <c r="A15" s="82" t="str">
        <f>IFERROR(__xludf.DUMMYFUNCTION("""COMPUTED_VALUE"""),"Otros")</f>
        <v>Otros</v>
      </c>
      <c r="B15" s="82" t="str">
        <f>IFERROR(__xludf.DUMMYFUNCTION("""COMPUTED_VALUE"""),"90/90 + PSOAS")</f>
        <v>90/90 + PSOAS</v>
      </c>
      <c r="C15" s="82"/>
      <c r="D15" s="82"/>
    </row>
    <row r="16">
      <c r="A16" s="82" t="str">
        <f>IFERROR(__xludf.DUMMYFUNCTION("""COMPUTED_VALUE"""),"Otros")</f>
        <v>Otros</v>
      </c>
      <c r="B16" s="82" t="str">
        <f>IFERROR(__xludf.DUMMYFUNCTION("""COMPUTED_VALUE"""),"PLANCHA CON ROTACION")</f>
        <v>PLANCHA CON ROTACION</v>
      </c>
      <c r="C16" s="82"/>
      <c r="D16" s="82"/>
    </row>
    <row r="17">
      <c r="A17" s="82" t="str">
        <f>IFERROR(__xludf.DUMMYFUNCTION("""COMPUTED_VALUE"""),"Otros")</f>
        <v>Otros</v>
      </c>
      <c r="B17" s="82" t="str">
        <f>IFERROR(__xludf.DUMMYFUNCTION("""COMPUTED_VALUE"""),"BICHO MUERTO +ESTOCADA FIJA")</f>
        <v>BICHO MUERTO +ESTOCADA FIJA</v>
      </c>
      <c r="C17" s="82"/>
      <c r="D17" s="82"/>
    </row>
    <row r="18">
      <c r="A18" s="82" t="str">
        <f>IFERROR(__xludf.DUMMYFUNCTION("""COMPUTED_VALUE"""),"Cuádriceps")</f>
        <v>Cuádriceps</v>
      </c>
      <c r="B18" s="82" t="str">
        <f>IFERROR(__xludf.DUMMYFUNCTION("""COMPUTED_VALUE"""),"SENTADILLA ")</f>
        <v>SENTADILLA </v>
      </c>
      <c r="C18" s="82"/>
      <c r="D18" s="82"/>
    </row>
    <row r="19">
      <c r="A19" s="82" t="str">
        <f>IFERROR(__xludf.DUMMYFUNCTION("""COMPUTED_VALUE"""),"Cuádriceps")</f>
        <v>Cuádriceps</v>
      </c>
      <c r="B19" s="82" t="str">
        <f>IFERROR(__xludf.DUMMYFUNCTION("""COMPUTED_VALUE"""),"ESTOCADAS CON DESPLAZAMIENTO ")</f>
        <v>ESTOCADAS CON DESPLAZAMIENTO </v>
      </c>
      <c r="C19" s="82"/>
      <c r="D19" s="82"/>
    </row>
    <row r="20">
      <c r="A20" s="82" t="str">
        <f>IFERROR(__xludf.DUMMYFUNCTION("""COMPUTED_VALUE"""),"Glúteos")</f>
        <v>Glúteos</v>
      </c>
      <c r="B20" s="82" t="str">
        <f>IFERROR(__xludf.DUMMYFUNCTION("""COMPUTED_VALUE"""),"HIP THRUST")</f>
        <v>HIP THRUST</v>
      </c>
      <c r="C20" s="82"/>
      <c r="D20" s="82"/>
    </row>
    <row r="21">
      <c r="A21" s="82" t="str">
        <f>IFERROR(__xludf.DUMMYFUNCTION("""COMPUTED_VALUE"""),"Cuádriceps")</f>
        <v>Cuádriceps</v>
      </c>
      <c r="B21" s="82" t="str">
        <f>IFERROR(__xludf.DUMMYFUNCTION("""COMPUTED_VALUE"""),"SENTADILLA CON SALTO ")</f>
        <v>SENTADILLA CON SALTO </v>
      </c>
      <c r="C21" s="82"/>
      <c r="D21" s="82"/>
    </row>
    <row r="22">
      <c r="A22" s="82" t="str">
        <f>IFERROR(__xludf.DUMMYFUNCTION("""COMPUTED_VALUE"""),"Glúteos")</f>
        <v>Glúteos</v>
      </c>
      <c r="B22" s="82" t="str">
        <f>IFERROR(__xludf.DUMMYFUNCTION("""COMPUTED_VALUE"""),"REBOTES EN STEP ")</f>
        <v>REBOTES EN STEP </v>
      </c>
      <c r="C22" s="82"/>
      <c r="D22" s="82"/>
    </row>
    <row r="23">
      <c r="A23" s="82" t="str">
        <f>IFERROR(__xludf.DUMMYFUNCTION("""COMPUTED_VALUE"""),"Glúteos")</f>
        <v>Glúteos</v>
      </c>
      <c r="B23" s="82" t="str">
        <f>IFERROR(__xludf.DUMMYFUNCTION("""COMPUTED_VALUE"""),"PUENTE GLUTEO EXPLOSIVO  1P")</f>
        <v>PUENTE GLUTEO EXPLOSIVO  1P</v>
      </c>
      <c r="C23" s="82"/>
      <c r="D23" s="82"/>
    </row>
    <row r="24">
      <c r="A24" s="82" t="str">
        <f>IFERROR(__xludf.DUMMYFUNCTION("""COMPUTED_VALUE"""),"otros")</f>
        <v>otros</v>
      </c>
      <c r="B24" s="274" t="str">
        <f>IFERROR(__xludf.DUMMYFUNCTION("""COMPUTED_VALUE"""),"ARRANQUE DE POTENCIA CN MANC")</f>
        <v>ARRANQUE DE POTENCIA CN MANC</v>
      </c>
      <c r="C24" s="82"/>
      <c r="D24" s="82"/>
    </row>
    <row r="25">
      <c r="A25" s="82" t="str">
        <f>IFERROR(__xludf.DUMMYFUNCTION("""COMPUTED_VALUE"""),"otros")</f>
        <v>otros</v>
      </c>
      <c r="B25" s="82" t="str">
        <f>IFERROR(__xludf.DUMMYFUNCTION("""COMPUTED_VALUE"""),"SPRINT 10MTS/ASAULT BIKE 30""")</f>
        <v>SPRINT 10MTS/ASAULT BIKE 30"</v>
      </c>
      <c r="C25" s="82"/>
      <c r="D25" s="82"/>
    </row>
    <row r="26">
      <c r="A26" s="82" t="str">
        <f>IFERROR(__xludf.DUMMYFUNCTION("""COMPUTED_VALUE"""),"Día 3 ESTRUCTURA")</f>
        <v>Día 3 ESTRUCTURA</v>
      </c>
      <c r="B26" s="82"/>
      <c r="C26" s="82"/>
      <c r="D26" s="82"/>
    </row>
    <row r="27">
      <c r="A27" s="82" t="str">
        <f>IFERROR(__xludf.DUMMYFUNCTION("""COMPUTED_VALUE"""),"Otros")</f>
        <v>Otros</v>
      </c>
      <c r="B27" s="82" t="str">
        <f>IFERROR(__xludf.DUMMYFUNCTION("""COMPUTED_VALUE"""),"PLANCHA +REMO ")</f>
        <v>PLANCHA +REMO </v>
      </c>
      <c r="C27" s="82"/>
      <c r="D27" s="82"/>
    </row>
    <row r="28">
      <c r="A28" s="82" t="str">
        <f>IFERROR(__xludf.DUMMYFUNCTION("""COMPUTED_VALUE"""),"Otros")</f>
        <v>Otros</v>
      </c>
      <c r="B28" s="82" t="str">
        <f>IFERROR(__xludf.DUMMYFUNCTION("""COMPUTED_VALUE"""),"press pallof anti rotacion +ISO")</f>
        <v>press pallof anti rotacion +ISO</v>
      </c>
      <c r="C28" s="82"/>
      <c r="D28" s="82"/>
    </row>
    <row r="29">
      <c r="A29" s="82" t="str">
        <f>IFERROR(__xludf.DUMMYFUNCTION("""COMPUTED_VALUE"""),"Isquios")</f>
        <v>Isquios</v>
      </c>
      <c r="B29" s="82" t="str">
        <f>IFERROR(__xludf.DUMMYFUNCTION("""COMPUTED_VALUE"""),"PRENSA APOYO SUPERIOR ")</f>
        <v>PRENSA APOYO SUPERIOR </v>
      </c>
      <c r="C29" s="82"/>
      <c r="D29" s="82"/>
    </row>
    <row r="30">
      <c r="A30" s="82" t="str">
        <f>IFERROR(__xludf.DUMMYFUNCTION("""COMPUTED_VALUE"""),"Espalda")</f>
        <v>Espalda</v>
      </c>
      <c r="B30" s="82" t="str">
        <f>IFERROR(__xludf.DUMMYFUNCTION("""COMPUTED_VALUE"""),"REMO CON BARRA")</f>
        <v>REMO CON BARRA</v>
      </c>
      <c r="C30" s="82"/>
      <c r="D30" s="82"/>
    </row>
    <row r="31">
      <c r="A31" s="82" t="str">
        <f>IFERROR(__xludf.DUMMYFUNCTION("""COMPUTED_VALUE"""),"Isquios")</f>
        <v>Isquios</v>
      </c>
      <c r="B31" s="82" t="str">
        <f>IFERROR(__xludf.DUMMYFUNCTION("""COMPUTED_VALUE"""),"CAMILLA ISQUIOS ")</f>
        <v>CAMILLA ISQUIOS </v>
      </c>
      <c r="C31" s="82"/>
      <c r="D31" s="82"/>
    </row>
    <row r="32">
      <c r="A32" s="82" t="str">
        <f>IFERROR(__xludf.DUMMYFUNCTION("""COMPUTED_VALUE"""),"Espalda")</f>
        <v>Espalda</v>
      </c>
      <c r="B32" s="82" t="str">
        <f>IFERROR(__xludf.DUMMYFUNCTION("""COMPUTED_VALUE"""),"POLEA DORSAL ")</f>
        <v>POLEA DORSAL </v>
      </c>
      <c r="C32" s="82"/>
      <c r="D32" s="82"/>
    </row>
    <row r="33">
      <c r="A33" s="82" t="str">
        <f>IFERROR(__xludf.DUMMYFUNCTION("""COMPUTED_VALUE"""),"otros")</f>
        <v>otros</v>
      </c>
      <c r="B33" s="82" t="str">
        <f>IFERROR(__xludf.DUMMYFUNCTION("""COMPUTED_VALUE"""),"FLEXIONES DE BRAZO\REMO TRX")</f>
        <v>FLEXIONES DE BRAZO\REMO TRX</v>
      </c>
      <c r="C33" s="82"/>
      <c r="D33" s="82"/>
    </row>
    <row r="34">
      <c r="A34" s="82" t="str">
        <f>IFERROR(__xludf.DUMMYFUNCTION("""COMPUTED_VALUE"""),"otros")</f>
        <v>otros</v>
      </c>
      <c r="B34" s="82" t="str">
        <f>IFERROR(__xludf.DUMMYFUNCTION("""COMPUTED_VALUE"""),"ESTOCADA +ROTACION ")</f>
        <v>ESTOCADA +ROTACION </v>
      </c>
      <c r="C34" s="82"/>
      <c r="D34" s="82"/>
    </row>
    <row r="35">
      <c r="A35" s="82" t="str">
        <f>IFERROR(__xludf.DUMMYFUNCTION("""COMPUTED_VALUE"""),"otros")</f>
        <v>otros</v>
      </c>
      <c r="B35" s="82" t="str">
        <f>IFERROR(__xludf.DUMMYFUNCTION("""COMPUTED_VALUE"""),"DESPLAZAMIENTO LATERAL ")</f>
        <v>DESPLAZAMIENTO LATERAL </v>
      </c>
      <c r="C35" s="82"/>
      <c r="D35" s="82"/>
    </row>
    <row r="36">
      <c r="A36" s="82" t="str">
        <f>IFERROR(__xludf.DUMMYFUNCTION("""COMPUTED_VALUE"""),"Día 4 FUERZA GRAL +PLIO")</f>
        <v>Día 4 FUERZA GRAL +PLIO</v>
      </c>
      <c r="B36" s="82"/>
      <c r="C36" s="82"/>
      <c r="D36" s="82"/>
    </row>
    <row r="37">
      <c r="A37" s="82" t="str">
        <f>IFERROR(__xludf.DUMMYFUNCTION("""COMPUTED_VALUE"""),"otros")</f>
        <v>otros</v>
      </c>
      <c r="B37" s="82" t="str">
        <f>IFERROR(__xludf.DUMMYFUNCTION("""COMPUTED_VALUE"""),"mov hombros + cadera")</f>
        <v>mov hombros + cadera</v>
      </c>
      <c r="C37" s="82"/>
      <c r="D37" s="82"/>
    </row>
    <row r="38">
      <c r="A38" s="82" t="str">
        <f>IFERROR(__xludf.DUMMYFUNCTION("""COMPUTED_VALUE"""),"otros")</f>
        <v>otros</v>
      </c>
      <c r="B38" s="82" t="str">
        <f>IFERROR(__xludf.DUMMYFUNCTION("""COMPUTED_VALUE"""),"Crunch sobre pelota + PLANCHA LAT")</f>
        <v>Crunch sobre pelota + PLANCHA LAT</v>
      </c>
      <c r="C38" s="82"/>
      <c r="D38" s="82"/>
    </row>
    <row r="39">
      <c r="A39" s="82" t="str">
        <f>IFERROR(__xludf.DUMMYFUNCTION("""COMPUTED_VALUE"""),"Otros")</f>
        <v>Otros</v>
      </c>
      <c r="B39" s="82" t="str">
        <f>IFERROR(__xludf.DUMMYFUNCTION("""COMPUTED_VALUE"""),"REMO MENTON")</f>
        <v>REMO MENTON</v>
      </c>
      <c r="C39" s="82"/>
      <c r="D39" s="82"/>
    </row>
    <row r="40">
      <c r="A40" s="82" t="str">
        <f>IFERROR(__xludf.DUMMYFUNCTION("""COMPUTED_VALUE"""),"Pecho")</f>
        <v>Pecho</v>
      </c>
      <c r="B40" s="82" t="str">
        <f>IFERROR(__xludf.DUMMYFUNCTION("""COMPUTED_VALUE"""),"PRESS PLANO MANC +APERTURA ")</f>
        <v>PRESS PLANO MANC +APERTURA </v>
      </c>
      <c r="C40" s="82"/>
      <c r="D40" s="82"/>
    </row>
    <row r="41">
      <c r="A41" s="82" t="str">
        <f>IFERROR(__xludf.DUMMYFUNCTION("""COMPUTED_VALUE"""),"Espalda")</f>
        <v>Espalda</v>
      </c>
      <c r="B41" s="82" t="str">
        <f>IFERROR(__xludf.DUMMYFUNCTION("""COMPUTED_VALUE"""),"REMO AG AMPLIO")</f>
        <v>REMO AG AMPLIO</v>
      </c>
      <c r="C41" s="82"/>
      <c r="D41" s="82"/>
    </row>
    <row r="42">
      <c r="A42" s="82" t="str">
        <f>IFERROR(__xludf.DUMMYFUNCTION("""COMPUTED_VALUE"""),"Cuádriceps")</f>
        <v>Cuádriceps</v>
      </c>
      <c r="B42" s="82" t="str">
        <f>IFERROR(__xludf.DUMMYFUNCTION("""COMPUTED_VALUE"""),"SENTADILLA +PRESS")</f>
        <v>SENTADILLA +PRESS</v>
      </c>
      <c r="C42" s="82"/>
      <c r="D42" s="82"/>
    </row>
    <row r="43">
      <c r="A43" s="82" t="str">
        <f>IFERROR(__xludf.DUMMYFUNCTION("""COMPUTED_VALUE"""),"Glúteos")</f>
        <v>Glúteos</v>
      </c>
      <c r="B43" s="82" t="str">
        <f>IFERROR(__xludf.DUMMYFUNCTION("""COMPUTED_VALUE"""),"PUENTE GLUTEO CON MANC")</f>
        <v>PUENTE GLUTEO CON MANC</v>
      </c>
      <c r="C43" s="82"/>
      <c r="D43" s="82"/>
    </row>
    <row r="44">
      <c r="A44" s="82" t="str">
        <f>IFERROR(__xludf.DUMMYFUNCTION("""COMPUTED_VALUE"""),"Cuádriceps")</f>
        <v>Cuádriceps</v>
      </c>
      <c r="B44" s="82" t="str">
        <f>IFERROR(__xludf.DUMMYFUNCTION("""COMPUTED_VALUE"""),"SPLIT JERK CON MANCUERNA ")</f>
        <v>SPLIT JERK CON MANCUERNA </v>
      </c>
      <c r="C44" s="82"/>
      <c r="D44" s="82"/>
    </row>
    <row r="45">
      <c r="A45" s="82" t="str">
        <f>IFERROR(__xludf.DUMMYFUNCTION("""COMPUTED_VALUE"""),"Isquios")</f>
        <v>Isquios</v>
      </c>
      <c r="B45" s="82" t="str">
        <f>IFERROR(__xludf.DUMMYFUNCTION("""COMPUTED_VALUE"""),"SUICIDAS +SALTO ")</f>
        <v>SUICIDAS +SALTO </v>
      </c>
      <c r="C45" s="82"/>
      <c r="D45" s="82"/>
    </row>
    <row r="46">
      <c r="A46" s="82" t="str">
        <f>IFERROR(__xludf.DUMMYFUNCTION("""COMPUTED_VALUE"""),"Pantorrillas")</f>
        <v>Pantorrillas</v>
      </c>
      <c r="B46" s="82" t="str">
        <f>IFERROR(__xludf.DUMMYFUNCTION("""COMPUTED_VALUE"""),"CAIDA DESDE CAJON (ESTABILIZAR)")</f>
        <v>CAIDA DESDE CAJON (ESTABILIZAR)</v>
      </c>
      <c r="C46" s="82"/>
      <c r="D46" s="82"/>
    </row>
    <row r="47">
      <c r="A47" s="82" t="str">
        <f>IFERROR(__xludf.DUMMYFUNCTION("""COMPUTED_VALUE"""),"Día 5/FUERZA GRAL Y VELOCIDAD")</f>
        <v>Día 5/FUERZA GRAL Y VELOCIDAD</v>
      </c>
      <c r="B47" s="82"/>
      <c r="C47" s="82"/>
      <c r="D47" s="82" t="str">
        <f>IFERROR(__xludf.DUMMYFUNCTION("""COMPUTED_VALUE"""),"Trabajar con menos cargas y con movimientos mas dinamicos ")</f>
        <v>Trabajar con menos cargas y con movimientos mas dinamicos </v>
      </c>
    </row>
    <row r="48">
      <c r="A48" s="82" t="str">
        <f>IFERROR(__xludf.DUMMYFUNCTION("""COMPUTED_VALUE"""),"otros")</f>
        <v>otros</v>
      </c>
      <c r="B48" s="82" t="str">
        <f>IFERROR(__xludf.DUMMYFUNCTION("""COMPUTED_VALUE"""),"BISAGRA CADERA+ 90/90")</f>
        <v>BISAGRA CADERA+ 90/90</v>
      </c>
      <c r="C48" s="82"/>
      <c r="D48" s="82"/>
    </row>
    <row r="49">
      <c r="A49" s="82" t="str">
        <f>IFERROR(__xludf.DUMMYFUNCTION("""COMPUTED_VALUE"""),"otros")</f>
        <v>otros</v>
      </c>
      <c r="B49" s="82" t="str">
        <f>IFERROR(__xludf.DUMMYFUNCTION("""COMPUTED_VALUE"""),"PLANCHA SOBRE PELOTA")</f>
        <v>PLANCHA SOBRE PELOTA</v>
      </c>
      <c r="C49" s="82"/>
      <c r="D49" s="82"/>
    </row>
    <row r="50">
      <c r="A50" s="82" t="str">
        <f>IFERROR(__xludf.DUMMYFUNCTION("""COMPUTED_VALUE"""),"otros")</f>
        <v>otros</v>
      </c>
      <c r="B50" s="82" t="str">
        <f>IFERROR(__xludf.DUMMYFUNCTION("""COMPUTED_VALUE"""),"DRILL ACELERACION EN PARED ")</f>
        <v>DRILL ACELERACION EN PARED </v>
      </c>
      <c r="C50" s="82"/>
      <c r="D50" s="82"/>
    </row>
    <row r="51">
      <c r="A51" s="82" t="str">
        <f>IFERROR(__xludf.DUMMYFUNCTION("""COMPUTED_VALUE"""),"Isquios")</f>
        <v>Isquios</v>
      </c>
      <c r="B51" s="82" t="str">
        <f>IFERROR(__xludf.DUMMYFUNCTION("""COMPUTED_VALUE"""),"PESO MUERTO BARRA")</f>
        <v>PESO MUERTO BARRA</v>
      </c>
      <c r="C51" s="82"/>
      <c r="D51" s="82"/>
    </row>
    <row r="52">
      <c r="A52" s="82" t="str">
        <f>IFERROR(__xludf.DUMMYFUNCTION("""COMPUTED_VALUE"""),"Isquios")</f>
        <v>Isquios</v>
      </c>
      <c r="B52" s="82" t="str">
        <f>IFERROR(__xludf.DUMMYFUNCTION("""COMPUTED_VALUE"""),"SALTOS CON CAIDA")</f>
        <v>SALTOS CON CAIDA</v>
      </c>
      <c r="C52" s="82"/>
      <c r="D52" s="82"/>
    </row>
    <row r="53">
      <c r="A53" s="82" t="str">
        <f>IFERROR(__xludf.DUMMYFUNCTION("""COMPUTED_VALUE"""),"Pecho")</f>
        <v>Pecho</v>
      </c>
      <c r="B53" s="82" t="str">
        <f>IFERROR(__xludf.DUMMYFUNCTION("""COMPUTED_VALUE"""),"PRESS PLANO BARRA")</f>
        <v>PRESS PLANO BARRA</v>
      </c>
      <c r="C53" s="82"/>
      <c r="D53" s="82"/>
    </row>
    <row r="54">
      <c r="A54" s="82" t="str">
        <f>IFERROR(__xludf.DUMMYFUNCTION("""COMPUTED_VALUE"""),"Pecho")</f>
        <v>Pecho</v>
      </c>
      <c r="B54" s="82" t="str">
        <f>IFERROR(__xludf.DUMMYFUNCTION("""COMPUTED_VALUE"""),"LANZO BM FRONTAL/FLEXIONES ")</f>
        <v>LANZO BM FRONTAL/FLEXIONES </v>
      </c>
      <c r="C54" s="82"/>
      <c r="D54" s="82"/>
    </row>
    <row r="55">
      <c r="A55" s="82" t="str">
        <f>IFERROR(__xludf.DUMMYFUNCTION("""COMPUTED_VALUE"""),"Bíceps")</f>
        <v>Bíceps</v>
      </c>
      <c r="B55" s="82" t="str">
        <f>IFERROR(__xludf.DUMMYFUNCTION("""COMPUTED_VALUE"""),"BICEP EN POLEA ")</f>
        <v>BICEP EN POLEA </v>
      </c>
      <c r="C55" s="82"/>
      <c r="D55" s="82"/>
    </row>
    <row r="56">
      <c r="A56" s="82" t="str">
        <f>IFERROR(__xludf.DUMMYFUNCTION("""COMPUTED_VALUE"""),"Pantorrillas")</f>
        <v>Pantorrillas</v>
      </c>
      <c r="B56" s="82" t="str">
        <f>IFERROR(__xludf.DUMMYFUNCTION("""COMPUTED_VALUE"""),"GEMELOS EN PRENSA")</f>
        <v>GEMELOS EN PRENSA</v>
      </c>
      <c r="C56" s="82"/>
      <c r="D56" s="82"/>
    </row>
    <row r="57">
      <c r="A57" s="82" t="str">
        <f>IFERROR(__xludf.DUMMYFUNCTION("""COMPUTED_VALUE"""),"Glúteos")</f>
        <v>Glúteos</v>
      </c>
      <c r="B57" s="82" t="str">
        <f>IFERROR(__xludf.DUMMYFUNCTION("""COMPUTED_VALUE"""),"PUENTE GLUTEO 1P")</f>
        <v>PUENTE GLUTEO 1P</v>
      </c>
      <c r="C57" s="82"/>
      <c r="D57" s="82"/>
    </row>
    <row r="58">
      <c r="A58" s="82" t="str">
        <f>IFERROR(__xludf.DUMMYFUNCTION("""COMPUTED_VALUE"""),"Día 1")</f>
        <v>Día 1</v>
      </c>
      <c r="B58" s="82"/>
      <c r="C58" s="82"/>
      <c r="D58" s="82"/>
    </row>
    <row r="59">
      <c r="A59" s="82" t="str">
        <f>IFERROR(__xludf.DUMMYFUNCTION("""COMPUTED_VALUE"""),"Patrón")</f>
        <v>Patrón</v>
      </c>
      <c r="B59" s="82" t="str">
        <f>IFERROR(__xludf.DUMMYFUNCTION("""COMPUTED_VALUE"""),"Ejercicio")</f>
        <v>Ejercicio</v>
      </c>
      <c r="C59" s="82"/>
      <c r="D59" s="82"/>
    </row>
    <row r="60">
      <c r="A60" s="82" t="str">
        <f>IFERROR(__xludf.DUMMYFUNCTION("""COMPUTED_VALUE"""),"Empuje")</f>
        <v>Empuje</v>
      </c>
      <c r="B60" s="82" t="str">
        <f>IFERROR(__xludf.DUMMYFUNCTION("""COMPUTED_VALUE"""),"press plano con barra")</f>
        <v>press plano con barra</v>
      </c>
      <c r="C60" s="82"/>
      <c r="D60" s="82"/>
    </row>
    <row r="61">
      <c r="A61" s="82" t="str">
        <f>IFERROR(__xludf.DUMMYFUNCTION("""COMPUTED_VALUE"""),"Empuje")</f>
        <v>Empuje</v>
      </c>
      <c r="B61" s="82" t="str">
        <f>IFERROR(__xludf.DUMMYFUNCTION("""COMPUTED_VALUE"""),"press inclinado mancuerna")</f>
        <v>press inclinado mancuerna</v>
      </c>
      <c r="C61" s="82"/>
      <c r="D61" s="82"/>
    </row>
    <row r="62">
      <c r="A62" s="82" t="str">
        <f>IFERROR(__xludf.DUMMYFUNCTION("""COMPUTED_VALUE"""),"Dom. Rodillas")</f>
        <v>Dom. Rodillas</v>
      </c>
      <c r="B62" s="82" t="str">
        <f>IFERROR(__xludf.DUMMYFUNCTION("""COMPUTED_VALUE"""),"Sentadillas sumo")</f>
        <v>Sentadillas sumo</v>
      </c>
      <c r="C62" s="82"/>
      <c r="D62" s="82"/>
    </row>
    <row r="63">
      <c r="A63" s="82" t="str">
        <f>IFERROR(__xludf.DUMMYFUNCTION("""COMPUTED_VALUE"""),"A. Tracción")</f>
        <v>A. Tracción</v>
      </c>
      <c r="B63" s="82" t="str">
        <f>IFERROR(__xludf.DUMMYFUNCTION("""COMPUTED_VALUE"""),"Vuelos laterales en polea")</f>
        <v>Vuelos laterales en polea</v>
      </c>
      <c r="C63" s="82"/>
      <c r="D63" s="82"/>
    </row>
    <row r="64">
      <c r="A64" s="82" t="str">
        <f>IFERROR(__xludf.DUMMYFUNCTION("""COMPUTED_VALUE"""),"Dom. Rodillas")</f>
        <v>Dom. Rodillas</v>
      </c>
      <c r="B64" s="82" t="str">
        <f>IFERROR(__xludf.DUMMYFUNCTION("""COMPUTED_VALUE"""),"Estocadas bulgaras")</f>
        <v>Estocadas bulgaras</v>
      </c>
      <c r="C64" s="82"/>
      <c r="D64" s="82"/>
    </row>
    <row r="65">
      <c r="A65" s="82" t="str">
        <f>IFERROR(__xludf.DUMMYFUNCTION("""COMPUTED_VALUE"""),"A. Empuje")</f>
        <v>A. Empuje</v>
      </c>
      <c r="B65" s="82" t="str">
        <f>IFERROR(__xludf.DUMMYFUNCTION("""COMPUTED_VALUE"""),"mariposa")</f>
        <v>mariposa</v>
      </c>
      <c r="C65" s="82"/>
      <c r="D65" s="82"/>
    </row>
    <row r="66">
      <c r="A66" s="82" t="str">
        <f>IFERROR(__xludf.DUMMYFUNCTION("""COMPUTED_VALUE"""),"A. Empuje")</f>
        <v>A. Empuje</v>
      </c>
      <c r="B66" s="82" t="str">
        <f>IFERROR(__xludf.DUMMYFUNCTION("""COMPUTED_VALUE"""),"Press Frances barra")</f>
        <v>Press Frances barra</v>
      </c>
      <c r="C66" s="82"/>
      <c r="D66" s="82"/>
    </row>
    <row r="67">
      <c r="A67" s="82" t="str">
        <f>IFERROR(__xludf.DUMMYFUNCTION("""COMPUTED_VALUE"""),"Día 2")</f>
        <v>Día 2</v>
      </c>
      <c r="B67" s="82"/>
      <c r="C67" s="82"/>
      <c r="D67" s="82"/>
    </row>
    <row r="68">
      <c r="A68" s="82" t="str">
        <f>IFERROR(__xludf.DUMMYFUNCTION("""COMPUTED_VALUE"""),"Dom. Caderas")</f>
        <v>Dom. Caderas</v>
      </c>
      <c r="B68" s="82" t="str">
        <f>IFERROR(__xludf.DUMMYFUNCTION("""COMPUTED_VALUE"""),"peso muerto")</f>
        <v>peso muerto</v>
      </c>
      <c r="C68" s="82"/>
      <c r="D68" s="82"/>
    </row>
    <row r="69">
      <c r="A69" s="82" t="str">
        <f>IFERROR(__xludf.DUMMYFUNCTION("""COMPUTED_VALUE"""),"Dom. Caderas")</f>
        <v>Dom. Caderas</v>
      </c>
      <c r="B69" s="82" t="str">
        <f>IFERROR(__xludf.DUMMYFUNCTION("""COMPUTED_VALUE"""),"hip thurst")</f>
        <v>hip thurst</v>
      </c>
      <c r="C69" s="82"/>
      <c r="D69" s="82"/>
    </row>
    <row r="70">
      <c r="A70" s="82" t="str">
        <f>IFERROR(__xludf.DUMMYFUNCTION("""COMPUTED_VALUE"""),"Tracción")</f>
        <v>Tracción</v>
      </c>
      <c r="B70" s="82" t="str">
        <f>IFERROR(__xludf.DUMMYFUNCTION("""COMPUTED_VALUE"""),"Remo con mancuerna simultaneo")</f>
        <v>Remo con mancuerna simultaneo</v>
      </c>
      <c r="C70" s="82"/>
      <c r="D70" s="82"/>
    </row>
    <row r="71">
      <c r="A71" s="82" t="str">
        <f>IFERROR(__xludf.DUMMYFUNCTION("""COMPUTED_VALUE"""),"Tracción")</f>
        <v>Tracción</v>
      </c>
      <c r="B71" s="82" t="str">
        <f>IFERROR(__xludf.DUMMYFUNCTION("""COMPUTED_VALUE"""),"Remo maquina 1B")</f>
        <v>Remo maquina 1B</v>
      </c>
      <c r="C71" s="82"/>
      <c r="D71" s="82"/>
    </row>
    <row r="72">
      <c r="A72" s="82" t="str">
        <f>IFERROR(__xludf.DUMMYFUNCTION("""COMPUTED_VALUE"""),"Tracción")</f>
        <v>Tracción</v>
      </c>
      <c r="B72" s="82" t="str">
        <f>IFERROR(__xludf.DUMMYFUNCTION("""COMPUTED_VALUE"""),"Remo con barra")</f>
        <v>Remo con barra</v>
      </c>
      <c r="C72" s="82"/>
      <c r="D72" s="82"/>
    </row>
    <row r="73">
      <c r="A73" s="82" t="str">
        <f>IFERROR(__xludf.DUMMYFUNCTION("""COMPUTED_VALUE"""),"A. Cadera")</f>
        <v>A. Cadera</v>
      </c>
      <c r="B73" s="82" t="str">
        <f>IFERROR(__xludf.DUMMYFUNCTION("""COMPUTED_VALUE"""),"Prensa 45 apoyo sup")</f>
        <v>Prensa 45 apoyo sup</v>
      </c>
      <c r="C73" s="82"/>
      <c r="D73" s="82"/>
    </row>
    <row r="74">
      <c r="A74" s="82" t="str">
        <f>IFERROR(__xludf.DUMMYFUNCTION("""COMPUTED_VALUE"""),"A. Tracción")</f>
        <v>A. Tracción</v>
      </c>
      <c r="B74" s="82" t="str">
        <f>IFERROR(__xludf.DUMMYFUNCTION("""COMPUTED_VALUE"""),"Biceps con barra recta")</f>
        <v>Biceps con barra recta</v>
      </c>
      <c r="C74" s="82"/>
      <c r="D74" s="82"/>
    </row>
    <row r="75">
      <c r="A75" s="82" t="str">
        <f>IFERROR(__xludf.DUMMYFUNCTION("""COMPUTED_VALUE"""),"Día 3")</f>
        <v>Día 3</v>
      </c>
      <c r="B75" s="82"/>
      <c r="C75" s="82"/>
      <c r="D75" s="82"/>
    </row>
    <row r="76">
      <c r="A76" s="82" t="str">
        <f>IFERROR(__xludf.DUMMYFUNCTION("""COMPUTED_VALUE"""),"A. Empuje")</f>
        <v>A. Empuje</v>
      </c>
      <c r="B76" s="82" t="str">
        <f>IFERROR(__xludf.DUMMYFUNCTION("""COMPUTED_VALUE"""),"Press militar barra ")</f>
        <v>Press militar barra </v>
      </c>
      <c r="C76" s="82"/>
      <c r="D76" s="82"/>
    </row>
    <row r="77">
      <c r="A77" s="82" t="str">
        <f>IFERROR(__xludf.DUMMYFUNCTION("""COMPUTED_VALUE"""),"Empuje")</f>
        <v>Empuje</v>
      </c>
      <c r="B77" s="82" t="str">
        <f>IFERROR(__xludf.DUMMYFUNCTION("""COMPUTED_VALUE"""),"Press inclinado smith (60grados)")</f>
        <v>Press inclinado smith (60grados)</v>
      </c>
      <c r="C77" s="82"/>
      <c r="D77" s="82"/>
    </row>
    <row r="78">
      <c r="A78" s="82" t="str">
        <f>IFERROR(__xludf.DUMMYFUNCTION("""COMPUTED_VALUE"""),"Tracción")</f>
        <v>Tracción</v>
      </c>
      <c r="B78" s="82" t="str">
        <f>IFERROR(__xludf.DUMMYFUNCTION("""COMPUTED_VALUE"""),"Polea dorsal supina")</f>
        <v>Polea dorsal supina</v>
      </c>
      <c r="C78" s="82"/>
      <c r="D78" s="82"/>
    </row>
    <row r="79">
      <c r="A79" s="82" t="str">
        <f>IFERROR(__xludf.DUMMYFUNCTION("""COMPUTED_VALUE"""),"A. Tracción")</f>
        <v>A. Tracción</v>
      </c>
      <c r="B79" s="82" t="str">
        <f>IFERROR(__xludf.DUMMYFUNCTION("""COMPUTED_VALUE"""),"Remo un brazo ")</f>
        <v>Remo un brazo </v>
      </c>
      <c r="C79" s="82"/>
      <c r="D79" s="82"/>
    </row>
    <row r="80">
      <c r="A80" s="82" t="str">
        <f>IFERROR(__xludf.DUMMYFUNCTION("""COMPUTED_VALUE"""),"Dom. Rodillas")</f>
        <v>Dom. Rodillas</v>
      </c>
      <c r="B80" s="82" t="str">
        <f>IFERROR(__xludf.DUMMYFUNCTION("""COMPUTED_VALUE"""),"Sentadilla smith ")</f>
        <v>Sentadilla smith </v>
      </c>
      <c r="C80" s="82"/>
      <c r="D80" s="82"/>
    </row>
    <row r="81">
      <c r="A81" s="82" t="str">
        <f>IFERROR(__xludf.DUMMYFUNCTION("""COMPUTED_VALUE"""),"A. Cadera")</f>
        <v>A. Cadera</v>
      </c>
      <c r="B81" s="82" t="str">
        <f>IFERROR(__xludf.DUMMYFUNCTION("""COMPUTED_VALUE"""),"Silla cuadriceps")</f>
        <v>Silla cuadriceps</v>
      </c>
      <c r="C81" s="82"/>
      <c r="D81" s="82"/>
    </row>
    <row r="82">
      <c r="A82" s="82" t="str">
        <f>IFERROR(__xludf.DUMMYFUNCTION("""COMPUTED_VALUE"""),"A. Tracción")</f>
        <v>A. Tracción</v>
      </c>
      <c r="B82" s="82" t="str">
        <f>IFERROR(__xludf.DUMMYFUNCTION("""COMPUTED_VALUE"""),"Bicep B w en scott")</f>
        <v>Bicep B w en scott</v>
      </c>
      <c r="C82" s="82"/>
      <c r="D82" s="82"/>
    </row>
    <row r="83">
      <c r="A83" s="82" t="str">
        <f>IFERROR(__xludf.DUMMYFUNCTION("""COMPUTED_VALUE"""),"Día 4")</f>
        <v>Día 4</v>
      </c>
      <c r="B83" s="82"/>
      <c r="C83" s="82"/>
      <c r="D83" s="82"/>
    </row>
    <row r="84">
      <c r="A84" s="82" t="str">
        <f>IFERROR(__xludf.DUMMYFUNCTION("""COMPUTED_VALUE"""),"Día 5")</f>
        <v>Día 5</v>
      </c>
      <c r="B84" s="82"/>
      <c r="C84" s="82"/>
      <c r="D84" s="82"/>
    </row>
    <row r="85">
      <c r="A85" s="82" t="str">
        <f>IFERROR(__xludf.DUMMYFUNCTION("""COMPUTED_VALUE"""),"Empuje")</f>
        <v>Empuje</v>
      </c>
      <c r="B85" s="82" t="str">
        <f>IFERROR(__xludf.DUMMYFUNCTION("""COMPUTED_VALUE"""),"Lanzo BM frontal")</f>
        <v>Lanzo BM frontal</v>
      </c>
      <c r="C85" s="82"/>
      <c r="D85" s="82"/>
    </row>
    <row r="86">
      <c r="A86" s="82" t="str">
        <f>IFERROR(__xludf.DUMMYFUNCTION("""COMPUTED_VALUE"""),"A. Empuje")</f>
        <v>A. Empuje</v>
      </c>
      <c r="B86" s="82" t="str">
        <f>IFERROR(__xludf.DUMMYFUNCTION("""COMPUTED_VALUE"""),"Press militar barra+ESTOCADA LAT")</f>
        <v>Press militar barra+ESTOCADA LAT</v>
      </c>
      <c r="C86" s="82"/>
      <c r="D86" s="82"/>
    </row>
    <row r="87">
      <c r="A87" s="82" t="str">
        <f>IFERROR(__xludf.DUMMYFUNCTION("""COMPUTED_VALUE"""),"A. Empuje")</f>
        <v>A. Empuje</v>
      </c>
      <c r="B87" s="82" t="str">
        <f>IFERROR(__xludf.DUMMYFUNCTION("""COMPUTED_VALUE"""),"Flexiones explosivas ")</f>
        <v>Flexiones explosivas </v>
      </c>
      <c r="C87" s="82"/>
      <c r="D87" s="82"/>
    </row>
    <row r="88">
      <c r="A88" s="82" t="str">
        <f>IFERROR(__xludf.DUMMYFUNCTION("""COMPUTED_VALUE"""),"A. Empuje")</f>
        <v>A. Empuje</v>
      </c>
      <c r="B88" s="82" t="str">
        <f>IFERROR(__xludf.DUMMYFUNCTION("""COMPUTED_VALUE"""),"Saltos al cajon+ RUEDA ABS")</f>
        <v>Saltos al cajon+ RUEDA ABS</v>
      </c>
      <c r="C88" s="82"/>
      <c r="D88" s="82"/>
    </row>
    <row r="89">
      <c r="A89" s="82" t="str">
        <f>IFERROR(__xludf.DUMMYFUNCTION("""COMPUTED_VALUE"""),"Día 1 EMPUJES + dom rodilla")</f>
        <v>Día 1 EMPUJES + dom rodilla</v>
      </c>
      <c r="B89" s="82"/>
      <c r="C89" s="82"/>
      <c r="D89" s="82"/>
    </row>
    <row r="90">
      <c r="A90" s="82" t="str">
        <f>IFERROR(__xludf.DUMMYFUNCTION("""COMPUTED_VALUE"""),"Empuje")</f>
        <v>Empuje</v>
      </c>
      <c r="B90" s="82" t="str">
        <f>IFERROR(__xludf.DUMMYFUNCTION("""COMPUTED_VALUE"""),"Press plano con barra")</f>
        <v>Press plano con barra</v>
      </c>
      <c r="C90" s="82"/>
      <c r="D90" s="82"/>
    </row>
    <row r="91">
      <c r="A91" s="82" t="str">
        <f>IFERROR(__xludf.DUMMYFUNCTION("""COMPUTED_VALUE"""),"Empuje")</f>
        <v>Empuje</v>
      </c>
      <c r="B91" s="82" t="str">
        <f>IFERROR(__xludf.DUMMYFUNCTION("""COMPUTED_VALUE"""),"Press inclinado")</f>
        <v>Press inclinado</v>
      </c>
      <c r="C91" s="82"/>
      <c r="D91" s="82"/>
    </row>
    <row r="92">
      <c r="A92" s="82" t="str">
        <f>IFERROR(__xludf.DUMMYFUNCTION("""COMPUTED_VALUE"""),"Dom. Rodillas")</f>
        <v>Dom. Rodillas</v>
      </c>
      <c r="B92" s="82" t="str">
        <f>IFERROR(__xludf.DUMMYFUNCTION("""COMPUTED_VALUE"""),"Estocadas atrás")</f>
        <v>Estocadas atrás</v>
      </c>
      <c r="C92" s="82"/>
      <c r="D92" s="82"/>
    </row>
    <row r="93">
      <c r="A93" s="82" t="str">
        <f>IFERROR(__xludf.DUMMYFUNCTION("""COMPUTED_VALUE"""),"Empuje")</f>
        <v>Empuje</v>
      </c>
      <c r="B93" s="82" t="str">
        <f>IFERROR(__xludf.DUMMYFUNCTION("""COMPUTED_VALUE"""),"Press militar con mancuerna")</f>
        <v>Press militar con mancuerna</v>
      </c>
      <c r="C93" s="82"/>
      <c r="D93" s="82"/>
    </row>
    <row r="94">
      <c r="A94" s="82" t="str">
        <f>IFERROR(__xludf.DUMMYFUNCTION("""COMPUTED_VALUE"""),"Dom. Rodillas")</f>
        <v>Dom. Rodillas</v>
      </c>
      <c r="B94" s="82" t="str">
        <f>IFERROR(__xludf.DUMMYFUNCTION("""COMPUTED_VALUE"""),"Silla cuadriceps")</f>
        <v>Silla cuadriceps</v>
      </c>
      <c r="C94" s="82"/>
      <c r="D94" s="82"/>
    </row>
    <row r="95">
      <c r="A95" s="82" t="str">
        <f>IFERROR(__xludf.DUMMYFUNCTION("""COMPUTED_VALUE"""),"Empuje")</f>
        <v>Empuje</v>
      </c>
      <c r="B95" s="82" t="str">
        <f>IFERROR(__xludf.DUMMYFUNCTION("""COMPUTED_VALUE"""),"Vuelos laterales ")</f>
        <v>Vuelos laterales </v>
      </c>
      <c r="C95" s="82"/>
      <c r="D95" s="82"/>
    </row>
    <row r="96">
      <c r="A96" s="82" t="str">
        <f>IFERROR(__xludf.DUMMYFUNCTION("""COMPUTED_VALUE"""),"A. Empuje")</f>
        <v>A. Empuje</v>
      </c>
      <c r="B96" s="82" t="str">
        <f>IFERROR(__xludf.DUMMYFUNCTION("""COMPUTED_VALUE"""),"Press frances con W")</f>
        <v>Press frances con W</v>
      </c>
      <c r="C96" s="82"/>
      <c r="D96" s="82"/>
    </row>
    <row r="97">
      <c r="A97" s="82" t="str">
        <f>IFERROR(__xludf.DUMMYFUNCTION("""COMPUTED_VALUE"""),"A. Empuje")</f>
        <v>A. Empuje</v>
      </c>
      <c r="B97" s="82" t="str">
        <f>IFERROR(__xludf.DUMMYFUNCTION("""COMPUTED_VALUE"""),"Mariposa maquina")</f>
        <v>Mariposa maquina</v>
      </c>
      <c r="C97" s="82"/>
      <c r="D97" s="82"/>
    </row>
    <row r="98">
      <c r="A98" s="82" t="str">
        <f>IFERROR(__xludf.DUMMYFUNCTION("""COMPUTED_VALUE"""),"Día 2 TRACCIONES+ Dom cadera")</f>
        <v>Día 2 TRACCIONES+ Dom cadera</v>
      </c>
      <c r="B98" s="82"/>
      <c r="C98" s="82"/>
      <c r="D98" s="82"/>
    </row>
    <row r="99">
      <c r="A99" s="82" t="str">
        <f>IFERROR(__xludf.DUMMYFUNCTION("""COMPUTED_VALUE"""),"Tracción")</f>
        <v>Tracción</v>
      </c>
      <c r="B99" s="82" t="str">
        <f>IFERROR(__xludf.DUMMYFUNCTION("""COMPUTED_VALUE"""),"Polea dorsal prona")</f>
        <v>Polea dorsal prona</v>
      </c>
      <c r="C99" s="82"/>
      <c r="D99" s="82"/>
    </row>
    <row r="100">
      <c r="A100" s="82" t="str">
        <f>IFERROR(__xludf.DUMMYFUNCTION("""COMPUTED_VALUE"""),"Dom. Caderas")</f>
        <v>Dom. Caderas</v>
      </c>
      <c r="B100" s="82" t="str">
        <f>IFERROR(__xludf.DUMMYFUNCTION("""COMPUTED_VALUE"""),"Camilla de isquios ")</f>
        <v>Camilla de isquios </v>
      </c>
      <c r="C100" s="82"/>
      <c r="D100" s="82"/>
    </row>
    <row r="101">
      <c r="A101" s="82" t="str">
        <f>IFERROR(__xludf.DUMMYFUNCTION("""COMPUTED_VALUE"""),"Tracción")</f>
        <v>Tracción</v>
      </c>
      <c r="B101" s="82" t="str">
        <f>IFERROR(__xludf.DUMMYFUNCTION("""COMPUTED_VALUE"""),"Remo a un brazo mancuerna")</f>
        <v>Remo a un brazo mancuerna</v>
      </c>
      <c r="C101" s="82"/>
      <c r="D101" s="82"/>
    </row>
    <row r="102">
      <c r="A102" s="82" t="str">
        <f>IFERROR(__xludf.DUMMYFUNCTION("""COMPUTED_VALUE"""),"Dom. Caderas")</f>
        <v>Dom. Caderas</v>
      </c>
      <c r="B102" s="82" t="str">
        <f>IFERROR(__xludf.DUMMYFUNCTION("""COMPUTED_VALUE"""),"Peso muerto mancuerna")</f>
        <v>Peso muerto mancuerna</v>
      </c>
      <c r="C102" s="82"/>
      <c r="D102" s="82"/>
    </row>
    <row r="103">
      <c r="A103" s="82" t="str">
        <f>IFERROR(__xludf.DUMMYFUNCTION("""COMPUTED_VALUE"""),"A. Tracción")</f>
        <v>A. Tracción</v>
      </c>
      <c r="B103" s="82" t="str">
        <f>IFERROR(__xludf.DUMMYFUNCTION("""COMPUTED_VALUE"""),"Vuelos posterior en mariposa")</f>
        <v>Vuelos posterior en mariposa</v>
      </c>
      <c r="C103" s="82"/>
      <c r="D103" s="82"/>
    </row>
    <row r="104">
      <c r="A104" s="82" t="str">
        <f>IFERROR(__xludf.DUMMYFUNCTION("""COMPUTED_VALUE"""),"A. Tracción")</f>
        <v>A. Tracción</v>
      </c>
      <c r="B104" s="82" t="str">
        <f>IFERROR(__xludf.DUMMYFUNCTION("""COMPUTED_VALUE"""),"Bicep alterno en banco 45 ")</f>
        <v>Bicep alterno en banco 45 </v>
      </c>
      <c r="C104" s="82"/>
      <c r="D104" s="82"/>
    </row>
    <row r="105">
      <c r="A105" s="82" t="str">
        <f>IFERROR(__xludf.DUMMYFUNCTION("""COMPUTED_VALUE"""),"A. Tracción")</f>
        <v>A. Tracción</v>
      </c>
      <c r="B105" s="82" t="str">
        <f>IFERROR(__xludf.DUMMYFUNCTION("""COMPUTED_VALUE"""),"Curl 21 con barra W")</f>
        <v>Curl 21 con barra W</v>
      </c>
      <c r="C105" s="82"/>
      <c r="D105" s="82"/>
    </row>
    <row r="106">
      <c r="A106" s="82" t="str">
        <f>IFERROR(__xludf.DUMMYFUNCTION("""COMPUTED_VALUE"""),"Día 3 DOM DE RODILLAS + empuje")</f>
        <v>Día 3 DOM DE RODILLAS + empuje</v>
      </c>
      <c r="B106" s="82"/>
      <c r="C106" s="82"/>
      <c r="D106" s="82"/>
    </row>
    <row r="107">
      <c r="A107" s="82" t="str">
        <f>IFERROR(__xludf.DUMMYFUNCTION("""COMPUTED_VALUE"""),"Dom. Rodillas")</f>
        <v>Dom. Rodillas</v>
      </c>
      <c r="B107" s="82" t="str">
        <f>IFERROR(__xludf.DUMMYFUNCTION("""COMPUTED_VALUE"""),"Sentadilla en smith")</f>
        <v>Sentadilla en smith</v>
      </c>
      <c r="C107" s="82"/>
      <c r="D107" s="82"/>
    </row>
    <row r="108">
      <c r="A108" s="82" t="str">
        <f>IFERROR(__xludf.DUMMYFUNCTION("""COMPUTED_VALUE"""),"A. Empuje")</f>
        <v>A. Empuje</v>
      </c>
      <c r="B108" s="82" t="str">
        <f>IFERROR(__xludf.DUMMYFUNCTION("""COMPUTED_VALUE"""),"Press declinado ")</f>
        <v>Press declinado </v>
      </c>
      <c r="C108" s="82"/>
      <c r="D108" s="82"/>
    </row>
    <row r="109">
      <c r="A109" s="82" t="str">
        <f>IFERROR(__xludf.DUMMYFUNCTION("""COMPUTED_VALUE"""),"Dom. Rodillas")</f>
        <v>Dom. Rodillas</v>
      </c>
      <c r="B109" s="82" t="str">
        <f>IFERROR(__xludf.DUMMYFUNCTION("""COMPUTED_VALUE"""),"Estocadas con desplazamiento")</f>
        <v>Estocadas con desplazamiento</v>
      </c>
      <c r="C109" s="82"/>
      <c r="D109" s="82"/>
    </row>
    <row r="110">
      <c r="A110" s="82" t="str">
        <f>IFERROR(__xludf.DUMMYFUNCTION("""COMPUTED_VALUE"""),"A. Empuje")</f>
        <v>A. Empuje</v>
      </c>
      <c r="B110" s="82" t="str">
        <f>IFERROR(__xludf.DUMMYFUNCTION("""COMPUTED_VALUE"""),"Press arnold")</f>
        <v>Press arnold</v>
      </c>
      <c r="C110" s="82"/>
      <c r="D110" s="82"/>
    </row>
    <row r="111">
      <c r="A111" s="82" t="str">
        <f>IFERROR(__xludf.DUMMYFUNCTION("""COMPUTED_VALUE"""),"Dom. Rodillas")</f>
        <v>Dom. Rodillas</v>
      </c>
      <c r="B111" s="82" t="str">
        <f>IFERROR(__xludf.DUMMYFUNCTION("""COMPUTED_VALUE"""),"Prensa 45")</f>
        <v>Prensa 45</v>
      </c>
      <c r="C111" s="82"/>
      <c r="D111" s="82"/>
    </row>
    <row r="112">
      <c r="A112" s="82" t="str">
        <f>IFERROR(__xludf.DUMMYFUNCTION("""COMPUTED_VALUE"""),"A. Empuje")</f>
        <v>A. Empuje</v>
      </c>
      <c r="B112" s="82" t="str">
        <f>IFERROR(__xludf.DUMMYFUNCTION("""COMPUTED_VALUE"""),"Tricep trasnuca en polea")</f>
        <v>Tricep trasnuca en polea</v>
      </c>
      <c r="C112" s="82"/>
      <c r="D112" s="82"/>
    </row>
    <row r="113">
      <c r="A113" s="82" t="str">
        <f>IFERROR(__xludf.DUMMYFUNCTION("""COMPUTED_VALUE"""),"Día 4 ACCESORIOS ")</f>
        <v>Día 4 ACCESORIOS </v>
      </c>
      <c r="B113" s="82"/>
      <c r="C113" s="82"/>
      <c r="D113" s="82"/>
    </row>
    <row r="114">
      <c r="A114" s="82" t="str">
        <f>IFERROR(__xludf.DUMMYFUNCTION("""COMPUTED_VALUE"""),"A. Tracción")</f>
        <v>A. Tracción</v>
      </c>
      <c r="B114" s="82" t="str">
        <f>IFERROR(__xludf.DUMMYFUNCTION("""COMPUTED_VALUE"""),"Press plano con mancuerna")</f>
        <v>Press plano con mancuerna</v>
      </c>
      <c r="C114" s="82"/>
      <c r="D114" s="82"/>
    </row>
    <row r="115">
      <c r="A115" s="82" t="str">
        <f>IFERROR(__xludf.DUMMYFUNCTION("""COMPUTED_VALUE"""),"A. Tracción")</f>
        <v>A. Tracción</v>
      </c>
      <c r="B115" s="82" t="str">
        <f>IFERROR(__xludf.DUMMYFUNCTION("""COMPUTED_VALUE"""),"Biceps simultaneo con manc")</f>
        <v>Biceps simultaneo con manc</v>
      </c>
      <c r="C115" s="82"/>
      <c r="D115" s="82"/>
    </row>
    <row r="116">
      <c r="A116" s="82" t="str">
        <f>IFERROR(__xludf.DUMMYFUNCTION("""COMPUTED_VALUE"""),"A. Empuje")</f>
        <v>A. Empuje</v>
      </c>
      <c r="B116" s="82" t="str">
        <f>IFERROR(__xludf.DUMMYFUNCTION("""COMPUTED_VALUE"""),"Triceps 1 mano en polea")</f>
        <v>Triceps 1 mano en polea</v>
      </c>
      <c r="C116" s="82"/>
      <c r="D116" s="82"/>
    </row>
    <row r="117">
      <c r="A117" s="82" t="str">
        <f>IFERROR(__xludf.DUMMYFUNCTION("""COMPUTED_VALUE"""),"A. Tracción")</f>
        <v>A. Tracción</v>
      </c>
      <c r="B117" s="82" t="str">
        <f>IFERROR(__xludf.DUMMYFUNCTION("""COMPUTED_VALUE"""),"Que me importa con mancuerna")</f>
        <v>Que me importa con mancuerna</v>
      </c>
      <c r="C117" s="82"/>
      <c r="D117" s="82"/>
    </row>
    <row r="118">
      <c r="A118" s="82" t="str">
        <f>IFERROR(__xludf.DUMMYFUNCTION("""COMPUTED_VALUE"""),"A. Empuje")</f>
        <v>A. Empuje</v>
      </c>
      <c r="B118" s="82" t="str">
        <f>IFERROR(__xludf.DUMMYFUNCTION("""COMPUTED_VALUE"""),"Press frances en copa ")</f>
        <v>Press frances en copa </v>
      </c>
      <c r="C118" s="82"/>
      <c r="D118" s="82"/>
    </row>
    <row r="119">
      <c r="A119" s="82" t="str">
        <f>IFERROR(__xludf.DUMMYFUNCTION("""COMPUTED_VALUE"""),"A. Tracción")</f>
        <v>A. Tracción</v>
      </c>
      <c r="B119" s="82" t="str">
        <f>IFERROR(__xludf.DUMMYFUNCTION("""COMPUTED_VALUE"""),"Jalon a un brazo en polea dorsal")</f>
        <v>Jalon a un brazo en polea dorsal</v>
      </c>
      <c r="C119" s="82"/>
      <c r="D119" s="82"/>
    </row>
    <row r="120">
      <c r="A120" s="82" t="str">
        <f>IFERROR(__xludf.DUMMYFUNCTION("""COMPUTED_VALUE"""),"A. Tracción")</f>
        <v>A. Tracción</v>
      </c>
      <c r="B120" s="82" t="str">
        <f>IFERROR(__xludf.DUMMYFUNCTION("""COMPUTED_VALUE"""),"Polea dorsal supina")</f>
        <v>Polea dorsal supina</v>
      </c>
      <c r="C120" s="82"/>
      <c r="D120" s="82"/>
    </row>
    <row r="121">
      <c r="A121" s="82" t="str">
        <f>IFERROR(__xludf.DUMMYFUNCTION("""COMPUTED_VALUE"""),"A. Tracción")</f>
        <v>A. Tracción</v>
      </c>
      <c r="B121" s="82" t="str">
        <f>IFERROR(__xludf.DUMMYFUNCTION("""COMPUTED_VALUE"""),"Biceps 1 brazo en scott")</f>
        <v>Biceps 1 brazo en scott</v>
      </c>
      <c r="C121" s="82"/>
      <c r="D121" s="82"/>
    </row>
    <row r="122">
      <c r="A122" s="82" t="str">
        <f>IFERROR(__xludf.DUMMYFUNCTION("""COMPUTED_VALUE"""),"Día 5 DOM CADERA + traccion")</f>
        <v>Día 5 DOM CADERA + traccion</v>
      </c>
      <c r="B122" s="82"/>
      <c r="C122" s="82"/>
      <c r="D122" s="82"/>
    </row>
    <row r="123">
      <c r="A123" s="82" t="str">
        <f>IFERROR(__xludf.DUMMYFUNCTION("""COMPUTED_VALUE"""),"Dom. Caderas")</f>
        <v>Dom. Caderas</v>
      </c>
      <c r="B123" s="82" t="str">
        <f>IFERROR(__xludf.DUMMYFUNCTION("""COMPUTED_VALUE"""),"Peso muerto con barra")</f>
        <v>Peso muerto con barra</v>
      </c>
      <c r="C123" s="82"/>
      <c r="D123" s="82"/>
    </row>
    <row r="124">
      <c r="A124" s="82" t="str">
        <f>IFERROR(__xludf.DUMMYFUNCTION("""COMPUTED_VALUE"""),"A. Tracción")</f>
        <v>A. Tracción</v>
      </c>
      <c r="B124" s="82" t="str">
        <f>IFERROR(__xludf.DUMMYFUNCTION("""COMPUTED_VALUE"""),"Polea dorsal neutra")</f>
        <v>Polea dorsal neutra</v>
      </c>
      <c r="C124" s="82"/>
      <c r="D124" s="82"/>
    </row>
    <row r="125">
      <c r="A125" s="82" t="str">
        <f>IFERROR(__xludf.DUMMYFUNCTION("""COMPUTED_VALUE"""),"Dom. Caderas")</f>
        <v>Dom. Caderas</v>
      </c>
      <c r="B125" s="82" t="str">
        <f>IFERROR(__xludf.DUMMYFUNCTION("""COMPUTED_VALUE"""),"Hip thrust")</f>
        <v>Hip thrust</v>
      </c>
      <c r="C125" s="82"/>
      <c r="D125" s="82"/>
    </row>
    <row r="126">
      <c r="A126" s="82" t="str">
        <f>IFERROR(__xludf.DUMMYFUNCTION("""COMPUTED_VALUE"""),"A. Tracción")</f>
        <v>A. Tracción</v>
      </c>
      <c r="B126" s="82" t="str">
        <f>IFERROR(__xludf.DUMMYFUNCTION("""COMPUTED_VALUE"""),"Remo al menton")</f>
        <v>Remo al menton</v>
      </c>
      <c r="C126" s="82"/>
      <c r="D126" s="82"/>
    </row>
    <row r="127">
      <c r="A127" s="82" t="str">
        <f>IFERROR(__xludf.DUMMYFUNCTION("""COMPUTED_VALUE"""),"Dom. Caderas")</f>
        <v>Dom. Caderas</v>
      </c>
      <c r="B127" s="82" t="str">
        <f>IFERROR(__xludf.DUMMYFUNCTION("""COMPUTED_VALUE"""),"Bulgaras ")</f>
        <v>Bulgaras </v>
      </c>
      <c r="C127" s="82"/>
      <c r="D127" s="82"/>
    </row>
    <row r="128">
      <c r="A128" s="82" t="str">
        <f>IFERROR(__xludf.DUMMYFUNCTION("""COMPUTED_VALUE"""),"A. Tracción")</f>
        <v>A. Tracción</v>
      </c>
      <c r="B128" s="82" t="str">
        <f>IFERROR(__xludf.DUMMYFUNCTION("""COMPUTED_VALUE"""),"Remo barra T")</f>
        <v>Remo barra T</v>
      </c>
      <c r="C128" s="82"/>
      <c r="D128" s="82"/>
    </row>
    <row r="129">
      <c r="A129" s="82" t="str">
        <f>IFERROR(__xludf.DUMMYFUNCTION("""COMPUTED_VALUE"""),"A. Rodillas")</f>
        <v>A. Rodillas</v>
      </c>
      <c r="B129" s="82" t="str">
        <f>IFERROR(__xludf.DUMMYFUNCTION("""COMPUTED_VALUE"""),"Gemelos parado")</f>
        <v>Gemelos parado</v>
      </c>
      <c r="C129" s="82"/>
      <c r="D129" s="82"/>
    </row>
    <row r="130">
      <c r="A130" s="82" t="str">
        <f>IFERROR(__xludf.DUMMYFUNCTION("""COMPUTED_VALUE"""),"Dom. Caderas")</f>
        <v>Dom. Caderas</v>
      </c>
      <c r="B130" s="82" t="str">
        <f>IFERROR(__xludf.DUMMYFUNCTION("""COMPUTED_VALUE"""),"Aductores en maquina ")</f>
        <v>Aductores en maquina </v>
      </c>
      <c r="C130" s="82"/>
      <c r="D130" s="82"/>
    </row>
    <row r="131">
      <c r="A131" s="82" t="str">
        <f>IFERROR(__xludf.DUMMYFUNCTION("""COMPUTED_VALUE"""),"A. Empuje")</f>
        <v>A. Empuje</v>
      </c>
      <c r="B131" s="82" t="str">
        <f>IFERROR(__xludf.DUMMYFUNCTION("""COMPUTED_VALUE"""),"Flexiones + plancha toco hombro")</f>
        <v>Flexiones + plancha toco hombro</v>
      </c>
      <c r="C131" s="82"/>
      <c r="D131" s="82"/>
    </row>
    <row r="132">
      <c r="A132" s="82" t="str">
        <f>IFERROR(__xludf.DUMMYFUNCTION("""COMPUTED_VALUE"""),"A. Empuje")</f>
        <v>A. Empuje</v>
      </c>
      <c r="B132" s="82" t="str">
        <f>IFERROR(__xludf.DUMMYFUNCTION("""COMPUTED_VALUE"""),"Vuelos laterales + frontales")</f>
        <v>Vuelos laterales + frontales</v>
      </c>
      <c r="C132" s="82"/>
      <c r="D132" s="82"/>
    </row>
    <row r="133">
      <c r="A133" s="82" t="str">
        <f>IFERROR(__xludf.DUMMYFUNCTION("""COMPUTED_VALUE"""),"Empuje")</f>
        <v>Empuje</v>
      </c>
      <c r="B133" s="82" t="str">
        <f>IFERROR(__xludf.DUMMYFUNCTION("""COMPUTED_VALUE"""),"PRESS PLANO")</f>
        <v>PRESS PLANO</v>
      </c>
      <c r="C133" s="82"/>
      <c r="D133" s="82"/>
    </row>
    <row r="134">
      <c r="A134" s="82" t="str">
        <f>IFERROR(__xludf.DUMMYFUNCTION("""COMPUTED_VALUE"""),"Empuje")</f>
        <v>Empuje</v>
      </c>
      <c r="B134" s="82" t="str">
        <f>IFERROR(__xludf.DUMMYFUNCTION("""COMPUTED_VALUE"""),"PRESS INCLINADO MANC")</f>
        <v>PRESS INCLINADO MANC</v>
      </c>
      <c r="C134" s="82"/>
      <c r="D134" s="82"/>
    </row>
    <row r="135">
      <c r="A135" s="82" t="str">
        <f>IFERROR(__xludf.DUMMYFUNCTION("""COMPUTED_VALUE"""),"Dom. Rodillas")</f>
        <v>Dom. Rodillas</v>
      </c>
      <c r="B135" s="82" t="str">
        <f>IFERROR(__xludf.DUMMYFUNCTION("""COMPUTED_VALUE"""),"SILLA CUADRICEPS")</f>
        <v>SILLA CUADRICEPS</v>
      </c>
      <c r="C135" s="82"/>
      <c r="D135" s="82"/>
    </row>
    <row r="136">
      <c r="A136" s="82" t="str">
        <f>IFERROR(__xludf.DUMMYFUNCTION("""COMPUTED_VALUE"""),"A. Empuje")</f>
        <v>A. Empuje</v>
      </c>
      <c r="B136" s="82" t="str">
        <f>IFERROR(__xludf.DUMMYFUNCTION("""COMPUTED_VALUE"""),"PRESS MILITAR ")</f>
        <v>PRESS MILITAR </v>
      </c>
      <c r="C136" s="82"/>
      <c r="D136" s="82"/>
    </row>
    <row r="137">
      <c r="A137" s="82" t="str">
        <f>IFERROR(__xludf.DUMMYFUNCTION("""COMPUTED_VALUE"""),"A. Empuje")</f>
        <v>A. Empuje</v>
      </c>
      <c r="B137" s="82" t="str">
        <f>IFERROR(__xludf.DUMMYFUNCTION("""COMPUTED_VALUE"""),"PRESS FRANCES CON W")</f>
        <v>PRESS FRANCES CON W</v>
      </c>
      <c r="C137" s="82"/>
      <c r="D137" s="82"/>
    </row>
    <row r="138">
      <c r="A138" s="82" t="str">
        <f>IFERROR(__xludf.DUMMYFUNCTION("""COMPUTED_VALUE"""),"Dom. Rodillas")</f>
        <v>Dom. Rodillas</v>
      </c>
      <c r="B138" s="82" t="str">
        <f>IFERROR(__xludf.DUMMYFUNCTION("""COMPUTED_VALUE"""),"PRENSA 45")</f>
        <v>PRENSA 45</v>
      </c>
      <c r="C138" s="82"/>
      <c r="D138" s="82"/>
    </row>
    <row r="139">
      <c r="A139" s="82" t="str">
        <f>IFERROR(__xludf.DUMMYFUNCTION("""COMPUTED_VALUE"""),"A. Empuje")</f>
        <v>A. Empuje</v>
      </c>
      <c r="B139" s="82" t="str">
        <f>IFERROR(__xludf.DUMMYFUNCTION("""COMPUTED_VALUE"""),"MARIPOSA (REST PAUSE)")</f>
        <v>MARIPOSA (REST PAUSE)</v>
      </c>
      <c r="C139" s="82"/>
      <c r="D139" s="82"/>
    </row>
    <row r="140">
      <c r="A140" s="82" t="str">
        <f>IFERROR(__xludf.DUMMYFUNCTION("""COMPUTED_VALUE"""),"A. Empuje")</f>
        <v>A. Empuje</v>
      </c>
      <c r="B140" s="82" t="str">
        <f>IFERROR(__xludf.DUMMYFUNCTION("""COMPUTED_VALUE"""),"Vuelos en polea")</f>
        <v>Vuelos en polea</v>
      </c>
      <c r="C140" s="82"/>
      <c r="D140" s="82"/>
    </row>
    <row r="141">
      <c r="A141" s="82" t="str">
        <f>IFERROR(__xludf.DUMMYFUNCTION("""COMPUTED_VALUE"""),"Tracción")</f>
        <v>Tracción</v>
      </c>
      <c r="B141" s="82" t="str">
        <f>IFERROR(__xludf.DUMMYFUNCTION("""COMPUTED_VALUE"""),"REMO EN BARRA T")</f>
        <v>REMO EN BARRA T</v>
      </c>
      <c r="C141" s="82"/>
      <c r="D141" s="82"/>
    </row>
    <row r="142">
      <c r="A142" s="82" t="str">
        <f>IFERROR(__xludf.DUMMYFUNCTION("""COMPUTED_VALUE"""),"Tracción")</f>
        <v>Tracción</v>
      </c>
      <c r="B142" s="82" t="str">
        <f>IFERROR(__xludf.DUMMYFUNCTION("""COMPUTED_VALUE"""),"POLEA DORSAL PRONA ")</f>
        <v>POLEA DORSAL PRONA </v>
      </c>
      <c r="C142" s="82"/>
      <c r="D142" s="82"/>
    </row>
    <row r="143">
      <c r="A143" s="82" t="str">
        <f>IFERROR(__xludf.DUMMYFUNCTION("""COMPUTED_VALUE"""),"A. Tracción")</f>
        <v>A. Tracción</v>
      </c>
      <c r="B143" s="82" t="str">
        <f>IFERROR(__xludf.DUMMYFUNCTION("""COMPUTED_VALUE"""),"REMO A UN BRAZO")</f>
        <v>REMO A UN BRAZO</v>
      </c>
      <c r="C143" s="82"/>
      <c r="D143" s="82"/>
    </row>
    <row r="144">
      <c r="A144" s="82" t="str">
        <f>IFERROR(__xludf.DUMMYFUNCTION("""COMPUTED_VALUE"""),"Dom. Caderas")</f>
        <v>Dom. Caderas</v>
      </c>
      <c r="B144" s="82" t="str">
        <f>IFERROR(__xludf.DUMMYFUNCTION("""COMPUTED_VALUE"""),"CAMILLA ISQUIOS")</f>
        <v>CAMILLA ISQUIOS</v>
      </c>
      <c r="C144" s="82"/>
      <c r="D144" s="82"/>
    </row>
    <row r="145">
      <c r="A145" s="82" t="str">
        <f>IFERROR(__xludf.DUMMYFUNCTION("""COMPUTED_VALUE"""),"A. Tracción")</f>
        <v>A. Tracción</v>
      </c>
      <c r="B145" s="82" t="str">
        <f>IFERROR(__xludf.DUMMYFUNCTION("""COMPUTED_VALUE"""),"BICEPS BARRA W")</f>
        <v>BICEPS BARRA W</v>
      </c>
      <c r="C145" s="82"/>
      <c r="D145" s="82"/>
    </row>
    <row r="146">
      <c r="A146" s="82" t="str">
        <f>IFERROR(__xludf.DUMMYFUNCTION("""COMPUTED_VALUE"""),"A. Tracción")</f>
        <v>A. Tracción</v>
      </c>
      <c r="B146" s="82" t="str">
        <f>IFERROR(__xludf.DUMMYFUNCTION("""COMPUTED_VALUE"""),"REMO AL MENTON CON W")</f>
        <v>REMO AL MENTON CON W</v>
      </c>
      <c r="C146" s="82"/>
      <c r="D146" s="82"/>
    </row>
    <row r="147">
      <c r="A147" s="82" t="str">
        <f>IFERROR(__xludf.DUMMYFUNCTION("""COMPUTED_VALUE"""),"Dom. Caderas")</f>
        <v>Dom. Caderas</v>
      </c>
      <c r="B147" s="82" t="str">
        <f>IFERROR(__xludf.DUMMYFUNCTION("""COMPUTED_VALUE"""),"PESO MUERTO MANC")</f>
        <v>PESO MUERTO MANC</v>
      </c>
      <c r="C147" s="82"/>
      <c r="D147" s="82"/>
    </row>
    <row r="148">
      <c r="A148" s="82" t="str">
        <f>IFERROR(__xludf.DUMMYFUNCTION("""COMPUTED_VALUE"""),"A. Tracción")</f>
        <v>A. Tracción</v>
      </c>
      <c r="B148" s="82" t="str">
        <f>IFERROR(__xludf.DUMMYFUNCTION("""COMPUTED_VALUE"""),"REMO AGARRE AMPLIO MAQUINA")</f>
        <v>REMO AGARRE AMPLIO MAQUINA</v>
      </c>
      <c r="C148" s="82"/>
      <c r="D148" s="82"/>
    </row>
    <row r="149">
      <c r="A149" s="82" t="str">
        <f>IFERROR(__xludf.DUMMYFUNCTION("""COMPUTED_VALUE"""),"Dom. Caderas")</f>
        <v>Dom. Caderas</v>
      </c>
      <c r="B149" s="82" t="str">
        <f>IFERROR(__xludf.DUMMYFUNCTION("""COMPUTED_VALUE"""),"PRENSA APOYO SUPERIOR")</f>
        <v>PRENSA APOYO SUPERIOR</v>
      </c>
      <c r="C149" s="82"/>
      <c r="D149" s="82"/>
    </row>
    <row r="150">
      <c r="A150" s="82" t="str">
        <f>IFERROR(__xludf.DUMMYFUNCTION("""COMPUTED_VALUE"""),"Dom. Rodillas")</f>
        <v>Dom. Rodillas</v>
      </c>
      <c r="B150" s="82" t="str">
        <f>IFERROR(__xludf.DUMMYFUNCTION("""COMPUTED_VALUE"""),"SENTADILLA EN SMITH")</f>
        <v>SENTADILLA EN SMITH</v>
      </c>
      <c r="C150" s="82"/>
      <c r="D150" s="82"/>
    </row>
    <row r="151">
      <c r="A151" s="82" t="str">
        <f>IFERROR(__xludf.DUMMYFUNCTION("""COMPUTED_VALUE"""),"Empuje")</f>
        <v>Empuje</v>
      </c>
      <c r="B151" s="82" t="str">
        <f>IFERROR(__xludf.DUMMYFUNCTION("""COMPUTED_VALUE"""),"PRESS PLANO MANC")</f>
        <v>PRESS PLANO MANC</v>
      </c>
      <c r="C151" s="82"/>
      <c r="D151" s="82"/>
    </row>
    <row r="152">
      <c r="A152" s="82" t="str">
        <f>IFERROR(__xludf.DUMMYFUNCTION("""COMPUTED_VALUE"""),"Dom. Rodillas")</f>
        <v>Dom. Rodillas</v>
      </c>
      <c r="B152" s="82" t="str">
        <f>IFERROR(__xludf.DUMMYFUNCTION("""COMPUTED_VALUE"""),"ESTOCADAS FIJAS")</f>
        <v>ESTOCADAS FIJAS</v>
      </c>
      <c r="C152" s="82"/>
      <c r="D152" s="82"/>
    </row>
    <row r="153">
      <c r="A153" s="82" t="str">
        <f>IFERROR(__xludf.DUMMYFUNCTION("""COMPUTED_VALUE"""),"Tracción")</f>
        <v>Tracción</v>
      </c>
      <c r="B153" s="82" t="str">
        <f>IFERROR(__xludf.DUMMYFUNCTION("""COMPUTED_VALUE"""),"REMO CON BARRA")</f>
        <v>REMO CON BARRA</v>
      </c>
      <c r="C153" s="82"/>
      <c r="D153" s="82"/>
    </row>
    <row r="154">
      <c r="A154" s="82" t="str">
        <f>IFERROR(__xludf.DUMMYFUNCTION("""COMPUTED_VALUE"""),"A. Empuje")</f>
        <v>A. Empuje</v>
      </c>
      <c r="B154" s="82" t="str">
        <f>IFERROR(__xludf.DUMMYFUNCTION("""COMPUTED_VALUE"""),"TRICEP EN POLEA CON BARRA")</f>
        <v>TRICEP EN POLEA CON BARRA</v>
      </c>
      <c r="C154" s="82"/>
      <c r="D154" s="82"/>
    </row>
    <row r="155">
      <c r="A155" s="82" t="str">
        <f>IFERROR(__xludf.DUMMYFUNCTION("""COMPUTED_VALUE"""),"A. Cadera")</f>
        <v>A. Cadera</v>
      </c>
      <c r="B155" s="82" t="str">
        <f>IFERROR(__xludf.DUMMYFUNCTION("""COMPUTED_VALUE"""),"CAMILLA ISQUIOS + GEMELOS")</f>
        <v>CAMILLA ISQUIOS + GEMELOS</v>
      </c>
      <c r="C155" s="82"/>
      <c r="D155" s="82"/>
    </row>
    <row r="156">
      <c r="A156" s="82" t="str">
        <f>IFERROR(__xludf.DUMMYFUNCTION("""COMPUTED_VALUE"""),"A. Tracción")</f>
        <v>A. Tracción</v>
      </c>
      <c r="B156" s="82" t="str">
        <f>IFERROR(__xludf.DUMMYFUNCTION("""COMPUTED_VALUE"""),"BICEP EN BANCO 45")</f>
        <v>BICEP EN BANCO 45</v>
      </c>
      <c r="C156" s="82"/>
      <c r="D156" s="82"/>
    </row>
    <row r="157">
      <c r="A157" s="82" t="str">
        <f>IFERROR(__xludf.DUMMYFUNCTION("""COMPUTED_VALUE"""),"A. Empuje")</f>
        <v>A. Empuje</v>
      </c>
      <c r="B157" s="82" t="str">
        <f>IFERROR(__xludf.DUMMYFUNCTION("""COMPUTED_VALUE"""),"PRESS ARNOLD ")</f>
        <v>PRESS ARNOLD </v>
      </c>
      <c r="C157" s="82"/>
      <c r="D157" s="82"/>
    </row>
    <row r="158">
      <c r="A158" s="82" t="str">
        <f>IFERROR(__xludf.DUMMYFUNCTION("""COMPUTED_VALUE"""),"Otros")</f>
        <v>Otros</v>
      </c>
      <c r="B158" s="82" t="str">
        <f>IFERROR(__xludf.DUMMYFUNCTION("""COMPUTED_VALUE"""),"BISAGRA CADERA")</f>
        <v>BISAGRA CADERA</v>
      </c>
      <c r="C158" s="82"/>
      <c r="D158" s="82"/>
    </row>
    <row r="159">
      <c r="A159" s="82" t="str">
        <f>IFERROR(__xludf.DUMMYFUNCTION("""COMPUTED_VALUE"""),"Otros")</f>
        <v>Otros</v>
      </c>
      <c r="B159" s="82" t="str">
        <f>IFERROR(__xludf.DUMMYFUNCTION("""COMPUTED_VALUE"""),"Puente gluteo 1pierna +abduccion")</f>
        <v>Puente gluteo 1pierna +abduccion</v>
      </c>
      <c r="C159" s="82"/>
      <c r="D159" s="82"/>
    </row>
    <row r="160">
      <c r="A160" s="82" t="str">
        <f>IFERROR(__xludf.DUMMYFUNCTION("""COMPUTED_VALUE"""),"Otros")</f>
        <v>Otros</v>
      </c>
      <c r="B160" s="82" t="str">
        <f>IFERROR(__xludf.DUMMYFUNCTION("""COMPUTED_VALUE"""),"Puente gluteo con manc+oblicuos")</f>
        <v>Puente gluteo con manc+oblicuos</v>
      </c>
      <c r="C160" s="82"/>
      <c r="D160" s="82"/>
    </row>
    <row r="161">
      <c r="A161" s="82" t="str">
        <f>IFERROR(__xludf.DUMMYFUNCTION("""COMPUTED_VALUE"""),"Glúteos")</f>
        <v>Glúteos</v>
      </c>
      <c r="B161" s="82" t="str">
        <f>IFERROR(__xludf.DUMMYFUNCTION("""COMPUTED_VALUE"""),"Hip thurst")</f>
        <v>Hip thurst</v>
      </c>
      <c r="C161" s="82"/>
      <c r="D161" s="82"/>
    </row>
    <row r="162">
      <c r="A162" s="82" t="str">
        <f>IFERROR(__xludf.DUMMYFUNCTION("""COMPUTED_VALUE"""),"Glúteos")</f>
        <v>Glúteos</v>
      </c>
      <c r="B162" s="82" t="str">
        <f>IFERROR(__xludf.DUMMYFUNCTION("""COMPUTED_VALUE"""),"Bulgaras con manc")</f>
        <v>Bulgaras con manc</v>
      </c>
      <c r="C162" s="82"/>
      <c r="D162" s="82"/>
    </row>
    <row r="163">
      <c r="A163" s="82" t="str">
        <f>IFERROR(__xludf.DUMMYFUNCTION("""COMPUTED_VALUE"""),"Espalda")</f>
        <v>Espalda</v>
      </c>
      <c r="B163" s="82" t="str">
        <f>IFERROR(__xludf.DUMMYFUNCTION("""COMPUTED_VALUE"""),"Polea dorsal prona+ plancha 3 ap")</f>
        <v>Polea dorsal prona+ plancha 3 ap</v>
      </c>
      <c r="C163" s="82"/>
      <c r="D163" s="82"/>
    </row>
    <row r="164">
      <c r="A164" s="82" t="str">
        <f>IFERROR(__xludf.DUMMYFUNCTION("""COMPUTED_VALUE"""),"Isquios")</f>
        <v>Isquios</v>
      </c>
      <c r="B164" s="82" t="str">
        <f>IFERROR(__xludf.DUMMYFUNCTION("""COMPUTED_VALUE"""),"Abducciones en polea")</f>
        <v>Abducciones en polea</v>
      </c>
      <c r="C164" s="82"/>
      <c r="D164" s="82"/>
    </row>
    <row r="165">
      <c r="A165" s="82" t="str">
        <f>IFERROR(__xludf.DUMMYFUNCTION("""COMPUTED_VALUE"""),"Cuádriceps")</f>
        <v>Cuádriceps</v>
      </c>
      <c r="B165" s="82" t="str">
        <f>IFERROR(__xludf.DUMMYFUNCTION("""COMPUTED_VALUE"""),"Sentadilla sumo")</f>
        <v>Sentadilla sumo</v>
      </c>
      <c r="C165" s="82"/>
      <c r="D165" s="82"/>
    </row>
    <row r="166">
      <c r="A166" s="82" t="str">
        <f>IFERROR(__xludf.DUMMYFUNCTION("""COMPUTED_VALUE"""),"Espalda")</f>
        <v>Espalda</v>
      </c>
      <c r="B166" s="82" t="str">
        <f>IFERROR(__xludf.DUMMYFUNCTION("""COMPUTED_VALUE"""),"Patada de gluteo ext ")</f>
        <v>Patada de gluteo ext </v>
      </c>
      <c r="C166" s="82"/>
      <c r="D166" s="82"/>
    </row>
    <row r="167">
      <c r="A167" s="82" t="str">
        <f>IFERROR(__xludf.DUMMYFUNCTION("""COMPUTED_VALUE"""),"Otros")</f>
        <v>Otros</v>
      </c>
      <c r="B167" s="82" t="str">
        <f>IFERROR(__xludf.DUMMYFUNCTION("""COMPUTED_VALUE"""),"Remo maquina +  aductores maqui")</f>
        <v>Remo maquina +  aductores maqui</v>
      </c>
      <c r="C167" s="82"/>
      <c r="D167" s="82"/>
    </row>
    <row r="168">
      <c r="A168" s="82" t="str">
        <f>IFERROR(__xludf.DUMMYFUNCTION("""COMPUTED_VALUE"""),"Otros")</f>
        <v>Otros</v>
      </c>
      <c r="B168" s="82" t="str">
        <f>IFERROR(__xludf.DUMMYFUNCTION("""COMPUTED_VALUE"""),"Flex/ext rodillas ")</f>
        <v>Flex/ext rodillas </v>
      </c>
      <c r="C168" s="82"/>
      <c r="D168" s="82"/>
    </row>
    <row r="169">
      <c r="A169" s="82" t="str">
        <f>IFERROR(__xludf.DUMMYFUNCTION("""COMPUTED_VALUE"""),"Otros")</f>
        <v>Otros</v>
      </c>
      <c r="B169" s="82" t="str">
        <f>IFERROR(__xludf.DUMMYFUNCTION("""COMPUTED_VALUE"""),"Plancha + Plancha lat")</f>
        <v>Plancha + Plancha lat</v>
      </c>
      <c r="C169" s="82"/>
      <c r="D169" s="82"/>
    </row>
    <row r="170">
      <c r="A170" s="82" t="str">
        <f>IFERROR(__xludf.DUMMYFUNCTION("""COMPUTED_VALUE"""),"Otros")</f>
        <v>Otros</v>
      </c>
      <c r="B170" s="82" t="str">
        <f>IFERROR(__xludf.DUMMYFUNCTION("""COMPUTED_VALUE"""),"Escalador+ estocadas ")</f>
        <v>Escalador+ estocadas </v>
      </c>
      <c r="C170" s="82"/>
      <c r="D170" s="82"/>
    </row>
    <row r="171">
      <c r="A171" s="82" t="str">
        <f>IFERROR(__xludf.DUMMYFUNCTION("""COMPUTED_VALUE"""),"Isquios")</f>
        <v>Isquios</v>
      </c>
      <c r="B171" s="82" t="str">
        <f>IFERROR(__xludf.DUMMYFUNCTION("""COMPUTED_VALUE"""),"Camilla isquios")</f>
        <v>Camilla isquios</v>
      </c>
      <c r="C171" s="82"/>
      <c r="D171" s="82"/>
    </row>
    <row r="172">
      <c r="A172" s="82" t="str">
        <f>IFERROR(__xludf.DUMMYFUNCTION("""COMPUTED_VALUE"""),"Cuádriceps")</f>
        <v>Cuádriceps</v>
      </c>
      <c r="B172" s="82" t="str">
        <f>IFERROR(__xludf.DUMMYFUNCTION("""COMPUTED_VALUE"""),"Peso muerto 1pierna")</f>
        <v>Peso muerto 1pierna</v>
      </c>
      <c r="C172" s="82"/>
      <c r="D172" s="82"/>
    </row>
    <row r="173">
      <c r="A173" s="82" t="str">
        <f>IFERROR(__xludf.DUMMYFUNCTION("""COMPUTED_VALUE"""),"Tríceps")</f>
        <v>Tríceps</v>
      </c>
      <c r="B173" s="82" t="str">
        <f>IFERROR(__xludf.DUMMYFUNCTION("""COMPUTED_VALUE"""),"Triceps en polea")</f>
        <v>Triceps en polea</v>
      </c>
      <c r="C173" s="82"/>
      <c r="D173" s="82"/>
    </row>
    <row r="174">
      <c r="A174" s="82" t="str">
        <f>IFERROR(__xludf.DUMMYFUNCTION("""COMPUTED_VALUE"""),"Pecho")</f>
        <v>Pecho</v>
      </c>
      <c r="B174" s="82" t="str">
        <f>IFERROR(__xludf.DUMMYFUNCTION("""COMPUTED_VALUE"""),"Sentadilla sumo (landmine)")</f>
        <v>Sentadilla sumo (landmine)</v>
      </c>
      <c r="C174" s="82"/>
      <c r="D174" s="82"/>
    </row>
    <row r="175">
      <c r="A175" s="82" t="str">
        <f>IFERROR(__xludf.DUMMYFUNCTION("""COMPUTED_VALUE"""),"Hombros")</f>
        <v>Hombros</v>
      </c>
      <c r="B175" s="82" t="str">
        <f>IFERROR(__xludf.DUMMYFUNCTION("""COMPUTED_VALUE"""),"Press militar maquina")</f>
        <v>Press militar maquina</v>
      </c>
      <c r="C175" s="82"/>
      <c r="D175" s="82"/>
    </row>
    <row r="176">
      <c r="A176" s="82" t="str">
        <f>IFERROR(__xludf.DUMMYFUNCTION("""COMPUTED_VALUE"""),"Hombros")</f>
        <v>Hombros</v>
      </c>
      <c r="B176" s="82" t="str">
        <f>IFERROR(__xludf.DUMMYFUNCTION("""COMPUTED_VALUE"""),"Subidas al cajon+ aductores")</f>
        <v>Subidas al cajon+ aductores</v>
      </c>
      <c r="C176" s="82"/>
      <c r="D176" s="82"/>
    </row>
    <row r="177">
      <c r="A177" s="82" t="str">
        <f>IFERROR(__xludf.DUMMYFUNCTION("""COMPUTED_VALUE"""),"Cuádriceps")</f>
        <v>Cuádriceps</v>
      </c>
      <c r="B177" s="82" t="str">
        <f>IFERROR(__xludf.DUMMYFUNCTION("""COMPUTED_VALUE"""),"Prensa 45 apoyo sup")</f>
        <v>Prensa 45 apoyo sup</v>
      </c>
      <c r="C177" s="82"/>
      <c r="D177" s="82"/>
    </row>
    <row r="178">
      <c r="A178" s="82" t="str">
        <f>IFERROR(__xludf.DUMMYFUNCTION("""COMPUTED_VALUE"""),"Glúteos")</f>
        <v>Glúteos</v>
      </c>
      <c r="B178" s="82"/>
      <c r="C178" s="82" t="str">
        <f>IFERROR(__xludf.DUMMYFUNCTION("""COMPUTED_VALUE"""),"Pat..gluteo")</f>
        <v>Pat..gluteo</v>
      </c>
      <c r="D178" s="82" t="str">
        <f>IFERROR(__xludf.DUMMYFUNCTION("""COMPUTED_VALUE"""),"en polea")</f>
        <v>en polea</v>
      </c>
    </row>
    <row r="179">
      <c r="A179" s="82" t="str">
        <f>IFERROR(__xludf.DUMMYFUNCTION("""COMPUTED_VALUE"""),"Otros")</f>
        <v>Otros</v>
      </c>
      <c r="B179" s="82" t="str">
        <f>IFERROR(__xludf.DUMMYFUNCTION("""COMPUTED_VALUE"""),"Movilidad dorsal ")</f>
        <v>Movilidad dorsal </v>
      </c>
      <c r="C179" s="82"/>
      <c r="D179" s="82"/>
    </row>
    <row r="180">
      <c r="A180" s="82" t="str">
        <f>IFERROR(__xludf.DUMMYFUNCTION("""COMPUTED_VALUE"""),"Otros")</f>
        <v>Otros</v>
      </c>
      <c r="B180" s="82" t="str">
        <f>IFERROR(__xludf.DUMMYFUNCTION("""COMPUTED_VALUE"""),"Placha lateral + puente gluteo")</f>
        <v>Placha lateral + puente gluteo</v>
      </c>
      <c r="C180" s="82"/>
      <c r="D180" s="82"/>
    </row>
    <row r="181">
      <c r="A181" s="82" t="str">
        <f>IFERROR(__xludf.DUMMYFUNCTION("""COMPUTED_VALUE"""),"Otros")</f>
        <v>Otros</v>
      </c>
      <c r="B181" s="82" t="str">
        <f>IFERROR(__xludf.DUMMYFUNCTION("""COMPUTED_VALUE"""),"Bisagra con pelota + Oblicuos")</f>
        <v>Bisagra con pelota + Oblicuos</v>
      </c>
      <c r="C181" s="82"/>
      <c r="D181" s="82"/>
    </row>
    <row r="182">
      <c r="A182" s="82" t="str">
        <f>IFERROR(__xludf.DUMMYFUNCTION("""COMPUTED_VALUE"""),"Cuádriceps")</f>
        <v>Cuádriceps</v>
      </c>
      <c r="B182" s="82" t="str">
        <f>IFERROR(__xludf.DUMMYFUNCTION("""COMPUTED_VALUE"""),"silla de cuadriceps")</f>
        <v>silla de cuadriceps</v>
      </c>
      <c r="C182" s="82"/>
      <c r="D182" s="82"/>
    </row>
    <row r="183">
      <c r="A183" s="82" t="str">
        <f>IFERROR(__xludf.DUMMYFUNCTION("""COMPUTED_VALUE"""),"Cuádriceps")</f>
        <v>Cuádriceps</v>
      </c>
      <c r="B183" s="82" t="str">
        <f>IFERROR(__xludf.DUMMYFUNCTION("""COMPUTED_VALUE"""),"Sentadilla  profunda en smith")</f>
        <v>Sentadilla  profunda en smith</v>
      </c>
      <c r="C183" s="82"/>
      <c r="D183" s="82"/>
    </row>
    <row r="184">
      <c r="A184" s="82" t="str">
        <f>IFERROR(__xludf.DUMMYFUNCTION("""COMPUTED_VALUE"""),"Isquios")</f>
        <v>Isquios</v>
      </c>
      <c r="B184" s="82" t="str">
        <f>IFERROR(__xludf.DUMMYFUNCTION("""COMPUTED_VALUE"""),"Peso muerto con manc")</f>
        <v>Peso muerto con manc</v>
      </c>
      <c r="C184" s="82"/>
      <c r="D184" s="82"/>
    </row>
    <row r="185">
      <c r="A185" s="82" t="str">
        <f>IFERROR(__xludf.DUMMYFUNCTION("""COMPUTED_VALUE"""),"Pecho")</f>
        <v>Pecho</v>
      </c>
      <c r="B185" s="82" t="str">
        <f>IFERROR(__xludf.DUMMYFUNCTION("""COMPUTED_VALUE"""),"Mariposa +tricep trasnuca")</f>
        <v>Mariposa +tricep trasnuca</v>
      </c>
      <c r="C185" s="82"/>
      <c r="D185" s="82"/>
    </row>
    <row r="186">
      <c r="A186" s="82" t="str">
        <f>IFERROR(__xludf.DUMMYFUNCTION("""COMPUTED_VALUE"""),"Pecho")</f>
        <v>Pecho</v>
      </c>
      <c r="B186" s="82" t="str">
        <f>IFERROR(__xludf.DUMMYFUNCTION("""COMPUTED_VALUE"""),"press 45 maquina")</f>
        <v>press 45 maquina</v>
      </c>
      <c r="C186" s="82"/>
      <c r="D186" s="82"/>
    </row>
    <row r="187">
      <c r="A187" s="82" t="str">
        <f>IFERROR(__xludf.DUMMYFUNCTION("""COMPUTED_VALUE"""),"Glúteos")</f>
        <v>Glúteos</v>
      </c>
      <c r="B187" s="82" t="str">
        <f>IFERROR(__xludf.DUMMYFUNCTION("""COMPUTED_VALUE"""),"Patada gluteo 90")</f>
        <v>Patada gluteo 90</v>
      </c>
      <c r="C187" s="82"/>
      <c r="D187" s="82"/>
    </row>
    <row r="188">
      <c r="A188" s="82" t="str">
        <f>IFERROR(__xludf.DUMMYFUNCTION("""COMPUTED_VALUE"""),"Glúteos")</f>
        <v>Glúteos</v>
      </c>
      <c r="B188" s="82" t="str">
        <f>IFERROR(__xludf.DUMMYFUNCTION("""COMPUTED_VALUE"""),"Hip thurst 1P + abduccion maquina")</f>
        <v>Hip thurst 1P + abduccion maquina</v>
      </c>
      <c r="C188" s="82"/>
      <c r="D188" s="82"/>
    </row>
    <row r="189">
      <c r="A189" s="82" t="str">
        <f>IFERROR(__xludf.DUMMYFUNCTION("""COMPUTED_VALUE"""),"Otros")</f>
        <v>Otros</v>
      </c>
      <c r="B189" s="82" t="str">
        <f>IFERROR(__xludf.DUMMYFUNCTION("""COMPUTED_VALUE"""),"2 de abs")</f>
        <v>2 de abs</v>
      </c>
      <c r="C189" s="82"/>
      <c r="D189" s="82"/>
    </row>
    <row r="190">
      <c r="A190" s="82" t="str">
        <f>IFERROR(__xludf.DUMMYFUNCTION("""COMPUTED_VALUE"""),"Isquios")</f>
        <v>Isquios</v>
      </c>
      <c r="B190" s="82" t="str">
        <f>IFERROR(__xludf.DUMMYFUNCTION("""COMPUTED_VALUE"""),"peso m manc")</f>
        <v>peso m manc</v>
      </c>
      <c r="C190" s="82"/>
      <c r="D190" s="82"/>
    </row>
    <row r="191">
      <c r="A191" s="82" t="str">
        <f>IFERROR(__xludf.DUMMYFUNCTION("""COMPUTED_VALUE"""),"Glúteos")</f>
        <v>Glúteos</v>
      </c>
      <c r="B191" s="82" t="str">
        <f>IFERROR(__xludf.DUMMYFUNCTION("""COMPUTED_VALUE"""),"hi thurs")</f>
        <v>hi thurs</v>
      </c>
      <c r="C191" s="82"/>
      <c r="D191" s="82"/>
    </row>
    <row r="192">
      <c r="A192" s="82" t="str">
        <f>IFERROR(__xludf.DUMMYFUNCTION("""COMPUTED_VALUE"""),"Espalda")</f>
        <v>Espalda</v>
      </c>
      <c r="B192" s="82" t="str">
        <f>IFERROR(__xludf.DUMMYFUNCTION("""COMPUTED_VALUE"""),"remo 1 brazo")</f>
        <v>remo 1 brazo</v>
      </c>
      <c r="C192" s="82"/>
      <c r="D192" s="82"/>
    </row>
    <row r="193">
      <c r="A193" s="82" t="str">
        <f>IFERROR(__xludf.DUMMYFUNCTION("""COMPUTED_VALUE"""),"Glúteos")</f>
        <v>Glúteos</v>
      </c>
      <c r="B193" s="82" t="str">
        <f>IFERROR(__xludf.DUMMYFUNCTION("""COMPUTED_VALUE"""),"subida al cajon")</f>
        <v>subida al cajon</v>
      </c>
      <c r="C193" s="82"/>
      <c r="D193" s="82"/>
    </row>
    <row r="194">
      <c r="A194" s="82" t="str">
        <f>IFERROR(__xludf.DUMMYFUNCTION("""COMPUTED_VALUE"""),"Espalda")</f>
        <v>Espalda</v>
      </c>
      <c r="B194" s="82" t="str">
        <f>IFERROR(__xludf.DUMMYFUNCTION("""COMPUTED_VALUE"""),"pul over")</f>
        <v>pul over</v>
      </c>
      <c r="C194" s="82"/>
      <c r="D194" s="82"/>
    </row>
    <row r="195">
      <c r="A195" s="82" t="str">
        <f>IFERROR(__xludf.DUMMYFUNCTION("""COMPUTED_VALUE"""),"Bíceps")</f>
        <v>Bíceps</v>
      </c>
      <c r="B195" s="82" t="str">
        <f>IFERROR(__xludf.DUMMYFUNCTION("""COMPUTED_VALUE"""),"curl 21")</f>
        <v>curl 21</v>
      </c>
      <c r="C195" s="82"/>
      <c r="D195" s="82"/>
    </row>
    <row r="196">
      <c r="A196" s="82" t="str">
        <f>IFERROR(__xludf.DUMMYFUNCTION("""COMPUTED_VALUE"""),"Pantorrillas")</f>
        <v>Pantorrillas</v>
      </c>
      <c r="B196" s="82" t="str">
        <f>IFERROR(__xludf.DUMMYFUNCTION("""COMPUTED_VALUE"""),"parado")</f>
        <v>parado</v>
      </c>
      <c r="C196" s="82"/>
      <c r="D196" s="82"/>
    </row>
    <row r="197">
      <c r="A197" s="82" t="str">
        <f>IFERROR(__xludf.DUMMYFUNCTION("""COMPUTED_VALUE"""),"Otros")</f>
        <v>Otros</v>
      </c>
      <c r="B197" s="82" t="str">
        <f>IFERROR(__xludf.DUMMYFUNCTION("""COMPUTED_VALUE"""),"Movilidad Hombro/ Psoas")</f>
        <v>Movilidad Hombro/ Psoas</v>
      </c>
      <c r="C197" s="82"/>
      <c r="D197" s="82"/>
    </row>
    <row r="198">
      <c r="A198" s="82" t="str">
        <f>IFERROR(__xludf.DUMMYFUNCTION("""COMPUTED_VALUE"""),"Otros")</f>
        <v>Otros</v>
      </c>
      <c r="B198" s="82" t="str">
        <f>IFERROR(__xludf.DUMMYFUNCTION("""COMPUTED_VALUE"""),"Bicho muerto con disco+ abs bisagra")</f>
        <v>Bicho muerto con disco+ abs bisagra</v>
      </c>
      <c r="C198" s="82"/>
      <c r="D198" s="82"/>
    </row>
    <row r="199">
      <c r="A199" s="82" t="str">
        <f>IFERROR(__xludf.DUMMYFUNCTION("""COMPUTED_VALUE"""),"Otros")</f>
        <v>Otros</v>
      </c>
      <c r="B199" s="82" t="str">
        <f>IFERROR(__xludf.DUMMYFUNCTION("""COMPUTED_VALUE"""),"Apertura con banda + swing")</f>
        <v>Apertura con banda + swing</v>
      </c>
      <c r="C199" s="82"/>
      <c r="D199" s="82"/>
    </row>
    <row r="200">
      <c r="A200" s="82" t="str">
        <f>IFERROR(__xludf.DUMMYFUNCTION("""COMPUTED_VALUE"""),"Pecho")</f>
        <v>Pecho</v>
      </c>
      <c r="B200" s="82" t="str">
        <f>IFERROR(__xludf.DUMMYFUNCTION("""COMPUTED_VALUE"""),"Press plano + press plano alterno")</f>
        <v>Press plano + press plano alterno</v>
      </c>
      <c r="C200" s="82"/>
      <c r="D200" s="82"/>
    </row>
    <row r="201">
      <c r="A201" s="82" t="str">
        <f>IFERROR(__xludf.DUMMYFUNCTION("""COMPUTED_VALUE"""),"Cuádriceps")</f>
        <v>Cuádriceps</v>
      </c>
      <c r="B201" s="82" t="str">
        <f>IFERROR(__xludf.DUMMYFUNCTION("""COMPUTED_VALUE"""),"Sentadilla smith + saltos unipodales")</f>
        <v>Sentadilla smith + saltos unipodales</v>
      </c>
      <c r="C201" s="82"/>
      <c r="D201" s="82"/>
    </row>
    <row r="202">
      <c r="A202" s="82" t="str">
        <f>IFERROR(__xludf.DUMMYFUNCTION("""COMPUTED_VALUE"""),"Hombros")</f>
        <v>Hombros</v>
      </c>
      <c r="B202" s="82" t="str">
        <f>IFERROR(__xludf.DUMMYFUNCTION("""COMPUTED_VALUE"""),"Vuelo lateral + lanzo BM de costado")</f>
        <v>Vuelo lateral + lanzo BM de costado</v>
      </c>
      <c r="C202" s="82"/>
      <c r="D202" s="82"/>
    </row>
    <row r="203">
      <c r="A203" s="82" t="str">
        <f>IFERROR(__xludf.DUMMYFUNCTION("""COMPUTED_VALUE"""),"Glúteos")</f>
        <v>Glúteos</v>
      </c>
      <c r="B203" s="82" t="str">
        <f>IFERROR(__xludf.DUMMYFUNCTION("""COMPUTED_VALUE"""),"Hip thurts")</f>
        <v>Hip thurts</v>
      </c>
      <c r="C203" s="82"/>
      <c r="D203" s="82"/>
    </row>
    <row r="204">
      <c r="A204" s="82" t="str">
        <f>IFERROR(__xludf.DUMMYFUNCTION("""COMPUTED_VALUE"""),"Pecho")</f>
        <v>Pecho</v>
      </c>
      <c r="B204" s="82" t="str">
        <f>IFERROR(__xludf.DUMMYFUNCTION("""COMPUTED_VALUE"""),"Mariposa un brazo")</f>
        <v>Mariposa un brazo</v>
      </c>
      <c r="C204" s="82"/>
      <c r="D204" s="82"/>
    </row>
    <row r="205">
      <c r="A205" s="82" t="str">
        <f>IFERROR(__xludf.DUMMYFUNCTION("""COMPUTED_VALUE"""),"Tríceps")</f>
        <v>Tríceps</v>
      </c>
      <c r="B205" s="82" t="str">
        <f>IFERROR(__xludf.DUMMYFUNCTION("""COMPUTED_VALUE"""),"Triceps trasnuca ")</f>
        <v>Triceps trasnuca </v>
      </c>
      <c r="C205" s="82"/>
      <c r="D205" s="82"/>
    </row>
    <row r="206">
      <c r="A206" s="82" t="str">
        <f>IFERROR(__xludf.DUMMYFUNCTION("""COMPUTED_VALUE"""),"Otros")</f>
        <v>Otros</v>
      </c>
      <c r="B206" s="82" t="str">
        <f>IFERROR(__xludf.DUMMYFUNCTION("""COMPUTED_VALUE""")," Salto en largo + retroseso")</f>
        <v> Salto en largo + retroseso</v>
      </c>
      <c r="C206" s="82"/>
      <c r="D206" s="82"/>
    </row>
    <row r="207">
      <c r="A207" s="82" t="str">
        <f>IFERROR(__xludf.DUMMYFUNCTION("""COMPUTED_VALUE"""),"Otros")</f>
        <v>Otros</v>
      </c>
      <c r="B207" s="82" t="str">
        <f>IFERROR(__xludf.DUMMYFUNCTION("""COMPUTED_VALUE"""),"Bisagra cadera+ mov dorsal")</f>
        <v>Bisagra cadera+ mov dorsal</v>
      </c>
      <c r="C207" s="82"/>
      <c r="D207" s="82"/>
    </row>
    <row r="208">
      <c r="A208" s="82" t="str">
        <f>IFERROR(__xludf.DUMMYFUNCTION("""COMPUTED_VALUE"""),"Otros")</f>
        <v>Otros</v>
      </c>
      <c r="B208" s="82" t="str">
        <f>IFERROR(__xludf.DUMMYFUNCTION("""COMPUTED_VALUE"""),"Plancha pasaje+ abs bisagra")</f>
        <v>Plancha pasaje+ abs bisagra</v>
      </c>
      <c r="C208" s="82"/>
      <c r="D208" s="82"/>
    </row>
    <row r="209">
      <c r="A209" s="82" t="str">
        <f>IFERROR(__xludf.DUMMYFUNCTION("""COMPUTED_VALUE"""),"Otros")</f>
        <v>Otros</v>
      </c>
      <c r="B209" s="82" t="str">
        <f>IFERROR(__xludf.DUMMYFUNCTION("""COMPUTED_VALUE"""),"Arrastre femoral + Remo trx")</f>
        <v>Arrastre femoral + Remo trx</v>
      </c>
      <c r="C209" s="82"/>
      <c r="D209" s="82"/>
    </row>
    <row r="210">
      <c r="A210" s="82" t="str">
        <f>IFERROR(__xludf.DUMMYFUNCTION("""COMPUTED_VALUE"""),"Isquios")</f>
        <v>Isquios</v>
      </c>
      <c r="B210" s="82" t="str">
        <f>IFERROR(__xludf.DUMMYFUNCTION("""COMPUTED_VALUE"""),"Peso muerto + abduccion")</f>
        <v>Peso muerto + abduccion</v>
      </c>
      <c r="C210" s="82"/>
      <c r="D210" s="82"/>
    </row>
    <row r="211">
      <c r="A211" s="82" t="str">
        <f>IFERROR(__xludf.DUMMYFUNCTION("""COMPUTED_VALUE"""),"Glúteos")</f>
        <v>Glúteos</v>
      </c>
      <c r="B211" s="82" t="str">
        <f>IFERROR(__xludf.DUMMYFUNCTION("""COMPUTED_VALUE"""),"Bulgaras + sentadilla con salto")</f>
        <v>Bulgaras + sentadilla con salto</v>
      </c>
      <c r="C211" s="82"/>
      <c r="D211" s="82"/>
    </row>
    <row r="212">
      <c r="A212" s="82" t="str">
        <f>IFERROR(__xludf.DUMMYFUNCTION("""COMPUTED_VALUE"""),"Espalda")</f>
        <v>Espalda</v>
      </c>
      <c r="B212" s="82" t="str">
        <f>IFERROR(__xludf.DUMMYFUNCTION("""COMPUTED_VALUE"""),"Remo simultaneo")</f>
        <v>Remo simultaneo</v>
      </c>
      <c r="C212" s="82"/>
      <c r="D212" s="82"/>
    </row>
    <row r="213">
      <c r="A213" s="82" t="str">
        <f>IFERROR(__xludf.DUMMYFUNCTION("""COMPUTED_VALUE"""),"Espalda")</f>
        <v>Espalda</v>
      </c>
      <c r="B213" s="82" t="str">
        <f>IFERROR(__xludf.DUMMYFUNCTION("""COMPUTED_VALUE"""),"Jalon a un brazo")</f>
        <v>Jalon a un brazo</v>
      </c>
      <c r="C213" s="82"/>
      <c r="D213" s="82"/>
    </row>
    <row r="214">
      <c r="A214" s="82" t="str">
        <f>IFERROR(__xludf.DUMMYFUNCTION("""COMPUTED_VALUE"""),"Glúteos")</f>
        <v>Glúteos</v>
      </c>
      <c r="B214" s="82" t="str">
        <f>IFERROR(__xludf.DUMMYFUNCTION("""COMPUTED_VALUE"""),"hip thurst 1pierna")</f>
        <v>hip thurst 1pierna</v>
      </c>
      <c r="C214" s="82"/>
      <c r="D214" s="82"/>
    </row>
    <row r="215">
      <c r="A215" s="82" t="str">
        <f>IFERROR(__xludf.DUMMYFUNCTION("""COMPUTED_VALUE"""),"Glúteos")</f>
        <v>Glúteos</v>
      </c>
      <c r="B215" s="82" t="str">
        <f>IFERROR(__xludf.DUMMYFUNCTION("""COMPUTED_VALUE"""),"Desplazamiento lateral dinamico")</f>
        <v>Desplazamiento lateral dinamico</v>
      </c>
      <c r="C215" s="82"/>
      <c r="D215" s="82"/>
    </row>
    <row r="216">
      <c r="A216" s="82" t="str">
        <f>IFERROR(__xludf.DUMMYFUNCTION("""COMPUTED_VALUE"""),"Tríceps")</f>
        <v>Tríceps</v>
      </c>
      <c r="B216" s="82" t="str">
        <f>IFERROR(__xludf.DUMMYFUNCTION("""COMPUTED_VALUE"""),"Press  frances+ remo al menton")</f>
        <v>Press  frances+ remo al menton</v>
      </c>
      <c r="C216" s="82"/>
      <c r="D216" s="82"/>
    </row>
    <row r="217">
      <c r="A217" s="82" t="str">
        <f>IFERROR(__xludf.DUMMYFUNCTION("""COMPUTED_VALUE"""),"Otros")</f>
        <v>Otros</v>
      </c>
      <c r="B217" s="82" t="str">
        <f>IFERROR(__xludf.DUMMYFUNCTION("""COMPUTED_VALUE"""),"Suicidas ")</f>
        <v>Suicidas </v>
      </c>
      <c r="C217" s="82"/>
      <c r="D217" s="82"/>
    </row>
    <row r="218">
      <c r="A218" s="82" t="str">
        <f>IFERROR(__xludf.DUMMYFUNCTION("""COMPUTED_VALUE"""),"Otros")</f>
        <v>Otros</v>
      </c>
      <c r="B218" s="82" t="str">
        <f>IFERROR(__xludf.DUMMYFUNCTION("""COMPUTED_VALUE"""),"Circunduccion baston ")</f>
        <v>Circunduccion baston </v>
      </c>
      <c r="C218" s="82"/>
      <c r="D218" s="82"/>
    </row>
    <row r="219">
      <c r="A219" s="82" t="str">
        <f>IFERROR(__xludf.DUMMYFUNCTION("""COMPUTED_VALUE"""),"Otros")</f>
        <v>Otros</v>
      </c>
      <c r="B219" s="82" t="str">
        <f>IFERROR(__xludf.DUMMYFUNCTION("""COMPUTED_VALUE"""),"Placha lateral con rotacion + cortos ")</f>
        <v>Placha lateral con rotacion + cortos </v>
      </c>
      <c r="C219" s="82"/>
      <c r="D219" s="82"/>
    </row>
    <row r="220">
      <c r="A220" s="82" t="str">
        <f>IFERROR(__xludf.DUMMYFUNCTION("""COMPUTED_VALUE"""),"Otros")</f>
        <v>Otros</v>
      </c>
      <c r="B220" s="82" t="str">
        <f>IFERROR(__xludf.DUMMYFUNCTION("""COMPUTED_VALUE"""),"remo banda + swing")</f>
        <v>remo banda + swing</v>
      </c>
      <c r="C220" s="82"/>
      <c r="D220" s="82"/>
    </row>
    <row r="221">
      <c r="A221" s="82" t="str">
        <f>IFERROR(__xludf.DUMMYFUNCTION("""COMPUTED_VALUE"""),"Isquios")</f>
        <v>Isquios</v>
      </c>
      <c r="B221" s="82" t="str">
        <f>IFERROR(__xludf.DUMMYFUNCTION("""COMPUTED_VALUE"""),"Cargadas de potencia ")</f>
        <v>Cargadas de potencia </v>
      </c>
      <c r="C221" s="82"/>
      <c r="D221" s="82"/>
    </row>
    <row r="222">
      <c r="A222" s="82" t="str">
        <f>IFERROR(__xludf.DUMMYFUNCTION("""COMPUTED_VALUE"""),"Espalda")</f>
        <v>Espalda</v>
      </c>
      <c r="B222" s="82" t="str">
        <f>IFERROR(__xludf.DUMMYFUNCTION("""COMPUTED_VALUE"""),"Remo con barra")</f>
        <v>Remo con barra</v>
      </c>
      <c r="C222" s="82"/>
      <c r="D222" s="82"/>
    </row>
    <row r="223">
      <c r="A223" s="82" t="str">
        <f>IFERROR(__xludf.DUMMYFUNCTION("""COMPUTED_VALUE"""),"Bíceps")</f>
        <v>Bíceps</v>
      </c>
      <c r="B223" s="82" t="str">
        <f>IFERROR(__xludf.DUMMYFUNCTION("""COMPUTED_VALUE"""),"Bicep alterno en banco 45")</f>
        <v>Bicep alterno en banco 45</v>
      </c>
      <c r="C223" s="82"/>
      <c r="D223" s="82"/>
    </row>
    <row r="224">
      <c r="A224" s="82" t="str">
        <f>IFERROR(__xludf.DUMMYFUNCTION("""COMPUTED_VALUE"""),"Isquios")</f>
        <v>Isquios</v>
      </c>
      <c r="B224" s="82" t="str">
        <f>IFERROR(__xludf.DUMMYFUNCTION("""COMPUTED_VALUE"""),"Peso muerto 1 pierna")</f>
        <v>Peso muerto 1 pierna</v>
      </c>
      <c r="C224" s="82"/>
      <c r="D224" s="82"/>
    </row>
    <row r="225">
      <c r="A225" s="82" t="str">
        <f>IFERROR(__xludf.DUMMYFUNCTION("""COMPUTED_VALUE"""),"Tríceps")</f>
        <v>Tríceps</v>
      </c>
      <c r="B225" s="82" t="str">
        <f>IFERROR(__xludf.DUMMYFUNCTION("""COMPUTED_VALUE"""),"Press frances mancuerna")</f>
        <v>Press frances mancuerna</v>
      </c>
      <c r="C225" s="82"/>
      <c r="D225" s="82"/>
    </row>
    <row r="226">
      <c r="A226" s="82" t="str">
        <f>IFERROR(__xludf.DUMMYFUNCTION("""COMPUTED_VALUE"""),"Pantorrillas")</f>
        <v>Pantorrillas</v>
      </c>
      <c r="B226" s="82" t="str">
        <f>IFERROR(__xludf.DUMMYFUNCTION("""COMPUTED_VALUE"""),"Gemelos en prensa ")</f>
        <v>Gemelos en prensa </v>
      </c>
      <c r="C226" s="82"/>
      <c r="D226" s="82"/>
    </row>
    <row r="227">
      <c r="A227" s="82" t="str">
        <f>IFERROR(__xludf.DUMMYFUNCTION("""COMPUTED_VALUE"""),"Otros")</f>
        <v>Otros</v>
      </c>
      <c r="B227" s="82" t="str">
        <f>IFERROR(__xludf.DUMMYFUNCTION("""COMPUTED_VALUE"""),"skiping en mini tramp + cam direc")</f>
        <v>skiping en mini tramp + cam direc</v>
      </c>
      <c r="C227" s="82"/>
      <c r="D227" s="82"/>
    </row>
    <row r="228">
      <c r="A228" s="82" t="str">
        <f>IFERROR(__xludf.DUMMYFUNCTION("""COMPUTED_VALUE"""),"Día 1 ")</f>
        <v>Día 1 </v>
      </c>
      <c r="B228" s="82"/>
      <c r="C228" s="82"/>
      <c r="D228" s="82"/>
    </row>
    <row r="229">
      <c r="A229" s="82" t="str">
        <f>IFERROR(__xludf.DUMMYFUNCTION("""COMPUTED_VALUE"""),"Otros")</f>
        <v>Otros</v>
      </c>
      <c r="B229" s="82" t="str">
        <f>IFERROR(__xludf.DUMMYFUNCTION("""COMPUTED_VALUE"""),"Mov : Psoas + 90/90 +hombros")</f>
        <v>Mov : Psoas + 90/90 +hombros</v>
      </c>
      <c r="C229" s="82"/>
      <c r="D229" s="82"/>
    </row>
    <row r="230">
      <c r="A230" s="82" t="str">
        <f>IFERROR(__xludf.DUMMYFUNCTION("""COMPUTED_VALUE"""),"Otros")</f>
        <v>Otros</v>
      </c>
      <c r="B230" s="82" t="str">
        <f>IFERROR(__xludf.DUMMYFUNCTION("""COMPUTED_VALUE"""),"Bicho muerto con disco+ plancha 30""")</f>
        <v>Bicho muerto con disco+ plancha 30"</v>
      </c>
      <c r="C230" s="82"/>
      <c r="D230" s="82"/>
    </row>
    <row r="231">
      <c r="A231" s="82" t="str">
        <f>IFERROR(__xludf.DUMMYFUNCTION("""COMPUTED_VALUE"""),"Otros")</f>
        <v>Otros</v>
      </c>
      <c r="B231" s="82" t="str">
        <f>IFERROR(__xludf.DUMMYFUNCTION("""COMPUTED_VALUE"""),"Sentadilla isometrica+ Remo banda")</f>
        <v>Sentadilla isometrica+ Remo banda</v>
      </c>
      <c r="C231" s="82"/>
      <c r="D231" s="82"/>
    </row>
    <row r="232">
      <c r="A232" s="82" t="str">
        <f>IFERROR(__xludf.DUMMYFUNCTION("""COMPUTED_VALUE"""),"Pecho")</f>
        <v>Pecho</v>
      </c>
      <c r="B232" s="82" t="str">
        <f>IFERROR(__xludf.DUMMYFUNCTION("""COMPUTED_VALUE"""),"Press plano + Lanzo BM frontal")</f>
        <v>Press plano + Lanzo BM frontal</v>
      </c>
      <c r="C232" s="82"/>
      <c r="D232" s="82"/>
    </row>
    <row r="233">
      <c r="A233" s="82" t="str">
        <f>IFERROR(__xludf.DUMMYFUNCTION("""COMPUTED_VALUE"""),"Cuádriceps")</f>
        <v>Cuádriceps</v>
      </c>
      <c r="B233" s="82" t="str">
        <f>IFERROR(__xludf.DUMMYFUNCTION("""COMPUTED_VALUE""")," press inclinado")</f>
        <v> press inclinado</v>
      </c>
      <c r="C233" s="82"/>
      <c r="D233" s="82"/>
    </row>
    <row r="234">
      <c r="A234" s="82" t="str">
        <f>IFERROR(__xludf.DUMMYFUNCTION("""COMPUTED_VALUE"""),"Espalda")</f>
        <v>Espalda</v>
      </c>
      <c r="B234" s="82" t="str">
        <f>IFERROR(__xludf.DUMMYFUNCTION("""COMPUTED_VALUE"""),"Remo maquina 1 brazo")</f>
        <v>Remo maquina 1 brazo</v>
      </c>
      <c r="C234" s="82"/>
      <c r="D234" s="82"/>
    </row>
    <row r="235">
      <c r="A235" s="82" t="str">
        <f>IFERROR(__xludf.DUMMYFUNCTION("""COMPUTED_VALUE"""),"Cuádriceps")</f>
        <v>Cuádriceps</v>
      </c>
      <c r="B235" s="82" t="str">
        <f>IFERROR(__xludf.DUMMYFUNCTION("""COMPUTED_VALUE"""),"Estocada isometrica")</f>
        <v>Estocada isometrica</v>
      </c>
      <c r="C235" s="82"/>
      <c r="D235" s="82"/>
    </row>
    <row r="236">
      <c r="A236" s="82" t="str">
        <f>IFERROR(__xludf.DUMMYFUNCTION("""COMPUTED_VALUE"""),"Tríceps")</f>
        <v>Tríceps</v>
      </c>
      <c r="B236" s="82" t="str">
        <f>IFERROR(__xludf.DUMMYFUNCTION("""COMPUTED_VALUE"""),"Remo al menton")</f>
        <v>Remo al menton</v>
      </c>
      <c r="C236" s="82"/>
      <c r="D236" s="82"/>
    </row>
    <row r="237">
      <c r="A237" s="82" t="str">
        <f>IFERROR(__xludf.DUMMYFUNCTION("""COMPUTED_VALUE"""),"Espalda")</f>
        <v>Espalda</v>
      </c>
      <c r="B237" s="82" t="str">
        <f>IFERROR(__xludf.DUMMYFUNCTION("""COMPUTED_VALUE"""),"Polea dorsal prona ")</f>
        <v>Polea dorsal prona </v>
      </c>
      <c r="C237" s="82"/>
      <c r="D237" s="82"/>
    </row>
    <row r="238">
      <c r="A238" s="82" t="str">
        <f>IFERROR(__xludf.DUMMYFUNCTION("""COMPUTED_VALUE"""),"Otros")</f>
        <v>Otros</v>
      </c>
      <c r="B238" s="82" t="str">
        <f>IFERROR(__xludf.DUMMYFUNCTION("""COMPUTED_VALUE""")," skipingg en mini tramp+ plancha lat")</f>
        <v> skipingg en mini tramp+ plancha lat</v>
      </c>
      <c r="C238" s="82"/>
      <c r="D238" s="82"/>
    </row>
    <row r="239">
      <c r="A239" s="82" t="str">
        <f>IFERROR(__xludf.DUMMYFUNCTION("""COMPUTED_VALUE"""),"Día 2 resistencia inf+ pliometria")</f>
        <v>Día 2 resistencia inf+ pliometria</v>
      </c>
      <c r="B239" s="82"/>
      <c r="C239" s="82"/>
      <c r="D239" s="82"/>
    </row>
    <row r="240">
      <c r="A240" s="82" t="str">
        <f>IFERROR(__xludf.DUMMYFUNCTION("""COMPUTED_VALUE"""),"Otros")</f>
        <v>Otros</v>
      </c>
      <c r="B240" s="82" t="str">
        <f>IFERROR(__xludf.DUMMYFUNCTION("""COMPUTED_VALUE"""),"Crunch con disco +press paloff")</f>
        <v>Crunch con disco +press paloff</v>
      </c>
      <c r="C240" s="82"/>
      <c r="D240" s="82"/>
    </row>
    <row r="241">
      <c r="A241" s="82" t="str">
        <f>IFERROR(__xludf.DUMMYFUNCTION("""COMPUTED_VALUE"""),"Otros")</f>
        <v>Otros</v>
      </c>
      <c r="B241" s="82" t="str">
        <f>IFERROR(__xludf.DUMMYFUNCTION("""COMPUTED_VALUE"""),"Arrastre femoral + Remo banda")</f>
        <v>Arrastre femoral + Remo banda</v>
      </c>
      <c r="C241" s="82"/>
      <c r="D241" s="82"/>
    </row>
    <row r="242">
      <c r="A242" s="82" t="str">
        <f>IFERROR(__xludf.DUMMYFUNCTION("""COMPUTED_VALUE"""),"Isquios")</f>
        <v>Isquios</v>
      </c>
      <c r="B242" s="82" t="str">
        <f>IFERROR(__xludf.DUMMYFUNCTION("""COMPUTED_VALUE"""),"Peso muerto ")</f>
        <v>Peso muerto </v>
      </c>
      <c r="C242" s="82"/>
      <c r="D242" s="82"/>
    </row>
    <row r="243">
      <c r="A243" s="82" t="str">
        <f>IFERROR(__xludf.DUMMYFUNCTION("""COMPUTED_VALUE"""),"Glúteos")</f>
        <v>Glúteos</v>
      </c>
      <c r="B243" s="82" t="str">
        <f>IFERROR(__xludf.DUMMYFUNCTION("""COMPUTED_VALUE"""),"Hip thrust +Sentadilla con salto")</f>
        <v>Hip thrust +Sentadilla con salto</v>
      </c>
      <c r="C243" s="82"/>
      <c r="D243" s="82"/>
    </row>
    <row r="244">
      <c r="A244" s="82" t="str">
        <f>IFERROR(__xludf.DUMMYFUNCTION("""COMPUTED_VALUE"""),"Espalda")</f>
        <v>Espalda</v>
      </c>
      <c r="B244" s="82" t="str">
        <f>IFERROR(__xludf.DUMMYFUNCTION("""COMPUTED_VALUE"""),"Remo un brazo")</f>
        <v>Remo un brazo</v>
      </c>
      <c r="C244" s="82"/>
      <c r="D244" s="82"/>
    </row>
    <row r="245">
      <c r="A245" s="82" t="str">
        <f>IFERROR(__xludf.DUMMYFUNCTION("""COMPUTED_VALUE"""),"Cuádriceps")</f>
        <v>Cuádriceps</v>
      </c>
      <c r="B245" s="82" t="str">
        <f>IFERROR(__xludf.DUMMYFUNCTION("""COMPUTED_VALUE"""),"Estocadas con desplazamiento")</f>
        <v>Estocadas con desplazamiento</v>
      </c>
      <c r="C245" s="82"/>
      <c r="D245" s="82"/>
    </row>
    <row r="246">
      <c r="A246" s="82" t="str">
        <f>IFERROR(__xludf.DUMMYFUNCTION("""COMPUTED_VALUE"""),"Glúteos")</f>
        <v>Glúteos</v>
      </c>
      <c r="B246" s="82" t="str">
        <f>IFERROR(__xludf.DUMMYFUNCTION("""COMPUTED_VALUE"""),"Peso muerto 1p +estocada lateral")</f>
        <v>Peso muerto 1p +estocada lateral</v>
      </c>
      <c r="C246" s="82"/>
      <c r="D246" s="82"/>
    </row>
    <row r="247">
      <c r="A247" s="82" t="str">
        <f>IFERROR(__xludf.DUMMYFUNCTION("""COMPUTED_VALUE"""),"Tríceps")</f>
        <v>Tríceps</v>
      </c>
      <c r="B247" s="82" t="str">
        <f>IFERROR(__xludf.DUMMYFUNCTION("""COMPUTED_VALUE"""),"Press  frances")</f>
        <v>Press  frances</v>
      </c>
      <c r="C247" s="82"/>
      <c r="D247" s="82"/>
    </row>
    <row r="248">
      <c r="A248" s="82" t="str">
        <f>IFERROR(__xludf.DUMMYFUNCTION("""COMPUTED_VALUE"""),"Otros")</f>
        <v>Otros</v>
      </c>
      <c r="B248" s="82" t="str">
        <f>IFERROR(__xludf.DUMMYFUNCTION("""COMPUTED_VALUE"""),"Suicidas ")</f>
        <v>Suicidas </v>
      </c>
      <c r="C248" s="82" t="str">
        <f>IFERROR(__xludf.DUMMYFUNCTION("""COMPUTED_VALUE"""),". swing")</f>
        <v>. swing</v>
      </c>
      <c r="D248" s="82"/>
    </row>
    <row r="249">
      <c r="A249" s="82" t="str">
        <f>IFERROR(__xludf.DUMMYFUNCTION("""COMPUTED_VALUE"""),"Día 3 fuerza explosiva")</f>
        <v>Día 3 fuerza explosiva</v>
      </c>
      <c r="B249" s="82"/>
      <c r="C249" s="82"/>
      <c r="D249" s="82"/>
    </row>
    <row r="250">
      <c r="A250" s="82" t="str">
        <f>IFERROR(__xludf.DUMMYFUNCTION("""COMPUTED_VALUE"""),"Cuádriceps")</f>
        <v>Cuádriceps</v>
      </c>
      <c r="B250" s="82" t="str">
        <f>IFERROR(__xludf.DUMMYFUNCTION("""COMPUTED_VALUE"""),"Sentadilla smith")</f>
        <v>Sentadilla smith</v>
      </c>
      <c r="C250" s="82"/>
      <c r="D250" s="82"/>
    </row>
    <row r="251">
      <c r="A251" s="82" t="str">
        <f>IFERROR(__xludf.DUMMYFUNCTION("""COMPUTED_VALUE"""),"Glúteos")</f>
        <v>Glúteos</v>
      </c>
      <c r="B251" s="82" t="str">
        <f>IFERROR(__xludf.DUMMYFUNCTION("""COMPUTED_VALUE"""),"Saltos al cajon")</f>
        <v>Saltos al cajon</v>
      </c>
      <c r="C251" s="82"/>
      <c r="D251" s="82"/>
    </row>
    <row r="252">
      <c r="A252" s="82" t="str">
        <f>IFERROR(__xludf.DUMMYFUNCTION("""COMPUTED_VALUE"""),"Bíceps")</f>
        <v>Bíceps</v>
      </c>
      <c r="B252" s="82" t="str">
        <f>IFERROR(__xludf.DUMMYFUNCTION("""COMPUTED_VALUE"""),"Bicep alterno +face pull")</f>
        <v>Bicep alterno +face pull</v>
      </c>
      <c r="C252" s="82"/>
      <c r="D252" s="82"/>
    </row>
    <row r="253">
      <c r="A253" s="82" t="str">
        <f>IFERROR(__xludf.DUMMYFUNCTION("""COMPUTED_VALUE"""),"Isquios")</f>
        <v>Isquios</v>
      </c>
      <c r="B253" s="82" t="str">
        <f>IFERROR(__xludf.DUMMYFUNCTION("""COMPUTED_VALUE"""),"subo cajon + rodilla ")</f>
        <v>subo cajon + rodilla </v>
      </c>
      <c r="C253" s="82"/>
      <c r="D253" s="82"/>
    </row>
    <row r="254">
      <c r="A254" s="82" t="str">
        <f>IFERROR(__xludf.DUMMYFUNCTION("""COMPUTED_VALUE"""),"Pantorrillas")</f>
        <v>Pantorrillas</v>
      </c>
      <c r="B254" s="82" t="str">
        <f>IFERROR(__xludf.DUMMYFUNCTION("""COMPUTED_VALUE"""),"Vuelos laterales + frontales")</f>
        <v>Vuelos laterales + frontales</v>
      </c>
      <c r="C254" s="82"/>
      <c r="D254" s="82"/>
    </row>
    <row r="255">
      <c r="A255" s="82" t="str">
        <f>IFERROR(__xludf.DUMMYFUNCTION("""COMPUTED_VALUE"""),"Otros")</f>
        <v>Otros</v>
      </c>
      <c r="B255" s="82" t="str">
        <f>IFERROR(__xludf.DUMMYFUNCTION("""COMPUTED_VALUE"""),"Sentadilla lanzo BM")</f>
        <v>Sentadilla lanzo BM</v>
      </c>
      <c r="C255" s="82"/>
      <c r="D255" s="82"/>
    </row>
    <row r="256">
      <c r="A256" s="82" t="str">
        <f>IFERROR(__xludf.DUMMYFUNCTION("""COMPUTED_VALUE"""),"Día 1  Regenerativo")</f>
        <v>Día 1  Regenerativo</v>
      </c>
      <c r="B256" s="82"/>
      <c r="C256" s="82"/>
      <c r="D256" s="82"/>
    </row>
    <row r="257">
      <c r="A257" s="82" t="str">
        <f>IFERROR(__xludf.DUMMYFUNCTION("""COMPUTED_VALUE"""),"Otros")</f>
        <v>Otros</v>
      </c>
      <c r="B257" s="82" t="str">
        <f>IFERROR(__xludf.DUMMYFUNCTION("""COMPUTED_VALUE"""),"Rolo en piernas")</f>
        <v>Rolo en piernas</v>
      </c>
      <c r="C257" s="82"/>
      <c r="D257" s="82"/>
    </row>
    <row r="258">
      <c r="A258" s="82" t="str">
        <f>IFERROR(__xludf.DUMMYFUNCTION("""COMPUTED_VALUE"""),"Otros")</f>
        <v>Otros</v>
      </c>
      <c r="B258" s="82" t="str">
        <f>IFERROR(__xludf.DUMMYFUNCTION("""COMPUTED_VALUE"""),"Mov : psoas y hombros")</f>
        <v>Mov : psoas y hombros</v>
      </c>
      <c r="C258" s="82"/>
      <c r="D258" s="82"/>
    </row>
    <row r="259">
      <c r="A259" s="82" t="str">
        <f>IFERROR(__xludf.DUMMYFUNCTION("""COMPUTED_VALUE"""),"Otros")</f>
        <v>Otros</v>
      </c>
      <c r="B259" s="82" t="str">
        <f>IFERROR(__xludf.DUMMYFUNCTION("""COMPUTED_VALUE"""),"Sentadilla isometrica +plancha ")</f>
        <v>Sentadilla isometrica +plancha </v>
      </c>
      <c r="C259" s="82"/>
      <c r="D259" s="82"/>
    </row>
    <row r="260">
      <c r="A260" s="82" t="str">
        <f>IFERROR(__xludf.DUMMYFUNCTION("""COMPUTED_VALUE"""),"Pecho")</f>
        <v>Pecho</v>
      </c>
      <c r="B260" s="82" t="str">
        <f>IFERROR(__xludf.DUMMYFUNCTION("""COMPUTED_VALUE"""),"Mariposa maquina+ bicho m")</f>
        <v>Mariposa maquina+ bicho m</v>
      </c>
      <c r="C260" s="82"/>
      <c r="D260" s="82"/>
    </row>
    <row r="261">
      <c r="A261" s="82" t="str">
        <f>IFERROR(__xludf.DUMMYFUNCTION("""COMPUTED_VALUE"""),"Cuádriceps")</f>
        <v>Cuádriceps</v>
      </c>
      <c r="B261" s="82" t="str">
        <f>IFERROR(__xludf.DUMMYFUNCTION("""COMPUTED_VALUE"""),"Sentadilla excentrica ")</f>
        <v>Sentadilla excentrica </v>
      </c>
      <c r="C261" s="82"/>
      <c r="D261" s="82"/>
    </row>
    <row r="262">
      <c r="A262" s="82" t="str">
        <f>IFERROR(__xludf.DUMMYFUNCTION("""COMPUTED_VALUE"""),"Espalda")</f>
        <v>Espalda</v>
      </c>
      <c r="B262" s="82" t="str">
        <f>IFERROR(__xludf.DUMMYFUNCTION("""COMPUTED_VALUE"""),"Remo maquina")</f>
        <v>Remo maquina</v>
      </c>
      <c r="C262" s="82"/>
      <c r="D262" s="82"/>
    </row>
    <row r="263">
      <c r="A263" s="82" t="str">
        <f>IFERROR(__xludf.DUMMYFUNCTION("""COMPUTED_VALUE"""),"Hombros")</f>
        <v>Hombros</v>
      </c>
      <c r="B263" s="82" t="str">
        <f>IFERROR(__xludf.DUMMYFUNCTION("""COMPUTED_VALUE"""),"vuelos laterales")</f>
        <v>vuelos laterales</v>
      </c>
      <c r="C263" s="82"/>
      <c r="D263" s="82"/>
    </row>
    <row r="264">
      <c r="A264" s="82" t="str">
        <f>IFERROR(__xludf.DUMMYFUNCTION("""COMPUTED_VALUE"""),"Otros")</f>
        <v>Otros</v>
      </c>
      <c r="B264" s="82" t="str">
        <f>IFERROR(__xludf.DUMMYFUNCTION("""COMPUTED_VALUE""")," trote suave en cinta")</f>
        <v> trote suave en cinta</v>
      </c>
      <c r="C264" s="82"/>
      <c r="D264" s="82"/>
    </row>
    <row r="265">
      <c r="A265" s="82" t="str">
        <f>IFERROR(__xludf.DUMMYFUNCTION("""COMPUTED_VALUE"""),"Día 2 fuerza+ pliometria")</f>
        <v>Día 2 fuerza+ pliometria</v>
      </c>
      <c r="B265" s="82"/>
      <c r="C265" s="82"/>
      <c r="D265" s="82"/>
    </row>
    <row r="266">
      <c r="A266" s="82" t="str">
        <f>IFERROR(__xludf.DUMMYFUNCTION("""COMPUTED_VALUE"""),"Otros")</f>
        <v>Otros</v>
      </c>
      <c r="B266" s="82" t="str">
        <f>IFERROR(__xludf.DUMMYFUNCTION("""COMPUTED_VALUE"""),"Crunch corto +plancha lat dinamica")</f>
        <v>Crunch corto +plancha lat dinamica</v>
      </c>
      <c r="C266" s="82"/>
      <c r="D266" s="82"/>
    </row>
    <row r="267">
      <c r="A267" s="82" t="str">
        <f>IFERROR(__xludf.DUMMYFUNCTION("""COMPUTED_VALUE"""),"Otros")</f>
        <v>Otros</v>
      </c>
      <c r="B267" s="82" t="str">
        <f>IFERROR(__xludf.DUMMYFUNCTION("""COMPUTED_VALUE"""),"PUENTE ISQUIOS +sentadillas")</f>
        <v>PUENTE ISQUIOS +sentadillas</v>
      </c>
      <c r="C267" s="82"/>
      <c r="D267" s="82"/>
    </row>
    <row r="268">
      <c r="A268" s="82" t="str">
        <f>IFERROR(__xludf.DUMMYFUNCTION("""COMPUTED_VALUE"""),"Glúteos")</f>
        <v>Glúteos</v>
      </c>
      <c r="B268" s="82" t="str">
        <f>IFERROR(__xludf.DUMMYFUNCTION("""COMPUTED_VALUE"""),"Sentadilla sumo+ salto con caida")</f>
        <v>Sentadilla sumo+ salto con caida</v>
      </c>
      <c r="C268" s="82"/>
      <c r="D268" s="82"/>
    </row>
    <row r="269">
      <c r="A269" s="82" t="str">
        <f>IFERROR(__xludf.DUMMYFUNCTION("""COMPUTED_VALUE"""),"Cuádriceps")</f>
        <v>Cuádriceps</v>
      </c>
      <c r="B269" s="82" t="str">
        <f>IFERROR(__xludf.DUMMYFUNCTION("""COMPUTED_VALUE"""),"Sentadilla en smith")</f>
        <v>Sentadilla en smith</v>
      </c>
      <c r="C269" s="82"/>
      <c r="D269" s="82"/>
    </row>
    <row r="270">
      <c r="A270" s="82" t="str">
        <f>IFERROR(__xludf.DUMMYFUNCTION("""COMPUTED_VALUE"""),"Pantorrillas")</f>
        <v>Pantorrillas</v>
      </c>
      <c r="B270" s="82" t="str">
        <f>IFERROR(__xludf.DUMMYFUNCTION("""COMPUTED_VALUE"""),"Gemelos parado+Subidas al cajon ")</f>
        <v>Gemelos parado+Subidas al cajon </v>
      </c>
      <c r="C270" s="82"/>
      <c r="D270" s="82"/>
    </row>
    <row r="271">
      <c r="A271" s="82" t="str">
        <f>IFERROR(__xludf.DUMMYFUNCTION("""COMPUTED_VALUE"""),"Cuádriceps")</f>
        <v>Cuádriceps</v>
      </c>
      <c r="B271" s="82" t="str">
        <f>IFERROR(__xludf.DUMMYFUNCTION("""COMPUTED_VALUE"""),"Sentadilla con salto desde banco")</f>
        <v>Sentadilla con salto desde banco</v>
      </c>
      <c r="C271" s="82"/>
      <c r="D271" s="82"/>
    </row>
    <row r="272">
      <c r="A272" s="82" t="str">
        <f>IFERROR(__xludf.DUMMYFUNCTION("""COMPUTED_VALUE"""),"Glúteos")</f>
        <v>Glúteos</v>
      </c>
      <c r="B272" s="82" t="str">
        <f>IFERROR(__xludf.DUMMYFUNCTION("""COMPUTED_VALUE"""),"Patada de gluteo en polea")</f>
        <v>Patada de gluteo en polea</v>
      </c>
      <c r="C272" s="82"/>
      <c r="D272" s="82"/>
    </row>
    <row r="273">
      <c r="A273" s="82" t="str">
        <f>IFERROR(__xludf.DUMMYFUNCTION("""COMPUTED_VALUE"""),"Otros")</f>
        <v>Otros</v>
      </c>
      <c r="B273" s="274" t="str">
        <f>IFERROR(__xludf.DUMMYFUNCTION("""COMPUTED_VALUE"""),"Despl lateral")</f>
        <v>Despl lateral</v>
      </c>
      <c r="C273" s="274"/>
      <c r="D273" s="274"/>
    </row>
    <row r="274">
      <c r="A274" s="82" t="str">
        <f>IFERROR(__xludf.DUMMYFUNCTION("""COMPUTED_VALUE"""),"Otros")</f>
        <v>Otros</v>
      </c>
      <c r="B274" s="82" t="str">
        <f>IFERROR(__xludf.DUMMYFUNCTION("""COMPUTED_VALUE"""),"Aductores en maquina")</f>
        <v>Aductores en maquina</v>
      </c>
      <c r="C274" s="82"/>
      <c r="D274" s="82"/>
    </row>
    <row r="275">
      <c r="A275" s="82" t="str">
        <f>IFERROR(__xludf.DUMMYFUNCTION("""COMPUTED_VALUE"""),"Otros")</f>
        <v>Otros</v>
      </c>
      <c r="B275" s="82" t="str">
        <f>IFERROR(__xludf.DUMMYFUNCTION("""COMPUTED_VALUE"""),"Circunduccion con banda")</f>
        <v>Circunduccion con banda</v>
      </c>
      <c r="C275" s="82"/>
      <c r="D275" s="82"/>
    </row>
    <row r="276">
      <c r="A276" s="82" t="str">
        <f>IFERROR(__xludf.DUMMYFUNCTION("""COMPUTED_VALUE"""),"Glúteos")</f>
        <v>Glúteos</v>
      </c>
      <c r="B276" s="82" t="str">
        <f>IFERROR(__xludf.DUMMYFUNCTION("""COMPUTED_VALUE"""),"Sentadilla con salto")</f>
        <v>Sentadilla con salto</v>
      </c>
      <c r="C276" s="82"/>
      <c r="D276" s="82"/>
    </row>
    <row r="277">
      <c r="A277" s="82" t="str">
        <f>IFERROR(__xludf.DUMMYFUNCTION("""COMPUTED_VALUE"""),"Hombros")</f>
        <v>Hombros</v>
      </c>
      <c r="B277" s="82" t="str">
        <f>IFERROR(__xludf.DUMMYFUNCTION("""COMPUTED_VALUE"""),"Remo al menton + push press")</f>
        <v>Remo al menton + push press</v>
      </c>
      <c r="C277" s="82"/>
      <c r="D277" s="82"/>
    </row>
    <row r="278">
      <c r="A278" s="82" t="str">
        <f>IFERROR(__xludf.DUMMYFUNCTION("""COMPUTED_VALUE"""),"Glúteos")</f>
        <v>Glúteos</v>
      </c>
      <c r="B278" s="82" t="str">
        <f>IFERROR(__xludf.DUMMYFUNCTION("""COMPUTED_VALUE"""),"Lanzo BM de costado")</f>
        <v>Lanzo BM de costado</v>
      </c>
      <c r="C278" s="82"/>
      <c r="D278" s="82"/>
    </row>
    <row r="279">
      <c r="A279" s="82" t="str">
        <f>IFERROR(__xludf.DUMMYFUNCTION("""COMPUTED_VALUE"""),"Bíceps")</f>
        <v>Bíceps</v>
      </c>
      <c r="B279" s="82" t="str">
        <f>IFERROR(__xludf.DUMMYFUNCTION("""COMPUTED_VALUE"""),"Biceps con mancuerna")</f>
        <v>Biceps con mancuerna</v>
      </c>
      <c r="C279" s="82"/>
      <c r="D279" s="82"/>
    </row>
    <row r="280">
      <c r="A280" s="82" t="str">
        <f>IFERROR(__xludf.DUMMYFUNCTION("""COMPUTED_VALUE"""),"Hombros")</f>
        <v>Hombros</v>
      </c>
      <c r="B280" s="82" t="str">
        <f>IFERROR(__xludf.DUMMYFUNCTION("""COMPUTED_VALUE"""),"Sentadilla + lanzo BM")</f>
        <v>Sentadilla + lanzo BM</v>
      </c>
      <c r="C280" s="82"/>
      <c r="D280" s="82"/>
    </row>
    <row r="281">
      <c r="A281" s="82" t="str">
        <f>IFERROR(__xludf.DUMMYFUNCTION("""COMPUTED_VALUE"""),"Otros")</f>
        <v>Otros</v>
      </c>
      <c r="B281" s="82" t="str">
        <f>IFERROR(__xludf.DUMMYFUNCTION("""COMPUTED_VALUE"""),"MOV psoas y hombros")</f>
        <v>MOV psoas y hombros</v>
      </c>
      <c r="C281" s="82"/>
      <c r="D281" s="82"/>
    </row>
    <row r="282">
      <c r="A282" s="82" t="str">
        <f>IFERROR(__xludf.DUMMYFUNCTION("""COMPUTED_VALUE"""),"Espalda")</f>
        <v>Espalda</v>
      </c>
      <c r="B282" s="82" t="str">
        <f>IFERROR(__xludf.DUMMYFUNCTION("""COMPUTED_VALUE"""),"REMO MAQUINA AMPLIO")</f>
        <v>REMO MAQUINA AMPLIO</v>
      </c>
      <c r="C282" s="82"/>
      <c r="D282" s="82"/>
    </row>
    <row r="283">
      <c r="A283" s="82" t="str">
        <f>IFERROR(__xludf.DUMMYFUNCTION("""COMPUTED_VALUE"""),"Pecho")</f>
        <v>Pecho</v>
      </c>
      <c r="B283" s="82" t="str">
        <f>IFERROR(__xludf.DUMMYFUNCTION("""COMPUTED_VALUE"""),"PRESS PLANO MANCUERNA")</f>
        <v>PRESS PLANO MANCUERNA</v>
      </c>
      <c r="C283" s="82"/>
      <c r="D283" s="82"/>
    </row>
    <row r="284">
      <c r="A284" s="82" t="str">
        <f>IFERROR(__xludf.DUMMYFUNCTION("""COMPUTED_VALUE"""),"Bíceps")</f>
        <v>Bíceps</v>
      </c>
      <c r="B284" s="82" t="str">
        <f>IFERROR(__xludf.DUMMYFUNCTION("""COMPUTED_VALUE"""),"BICEP SIMULTANEO")</f>
        <v>BICEP SIMULTANEO</v>
      </c>
      <c r="C284" s="82"/>
      <c r="D284" s="82"/>
    </row>
    <row r="285">
      <c r="A285" s="82" t="str">
        <f>IFERROR(__xludf.DUMMYFUNCTION("""COMPUTED_VALUE"""),"Glúteos")</f>
        <v>Glúteos</v>
      </c>
      <c r="B285" s="82" t="str">
        <f>IFERROR(__xludf.DUMMYFUNCTION("""COMPUTED_VALUE"""),"PUENTE GLUTEO ISOMETRICO")</f>
        <v>PUENTE GLUTEO ISOMETRICO</v>
      </c>
      <c r="C285" s="82"/>
      <c r="D285" s="82"/>
    </row>
    <row r="286">
      <c r="A286" s="82" t="str">
        <f>IFERROR(__xludf.DUMMYFUNCTION("""COMPUTED_VALUE"""),"Espalda")</f>
        <v>Espalda</v>
      </c>
      <c r="B286" s="82" t="str">
        <f>IFERROR(__xludf.DUMMYFUNCTION("""COMPUTED_VALUE"""),"POLEA DORSAL NEUTRA")</f>
        <v>POLEA DORSAL NEUTRA</v>
      </c>
      <c r="C286" s="82"/>
      <c r="D286" s="82"/>
    </row>
    <row r="287">
      <c r="A287" s="82" t="str">
        <f>IFERROR(__xludf.DUMMYFUNCTION("""COMPUTED_VALUE"""),"Hombros")</f>
        <v>Hombros</v>
      </c>
      <c r="B287" s="82" t="str">
        <f>IFERROR(__xludf.DUMMYFUNCTION("""COMPUTED_VALUE"""),"VUELOS LATERALES + POSTERIOR")</f>
        <v>VUELOS LATERALES + POSTERIOR</v>
      </c>
      <c r="C287" s="82"/>
      <c r="D287" s="82"/>
    </row>
    <row r="288">
      <c r="A288" s="82" t="str">
        <f>IFERROR(__xludf.DUMMYFUNCTION("""COMPUTED_VALUE"""),"Otros")</f>
        <v>Otros</v>
      </c>
      <c r="B288" s="82" t="str">
        <f>IFERROR(__xludf.DUMMYFUNCTION("""COMPUTED_VALUE"""),"BICHO MUERTO +ESTOCADA LAT")</f>
        <v>BICHO MUERTO +ESTOCADA LAT</v>
      </c>
      <c r="C288" s="82"/>
      <c r="D288" s="82"/>
    </row>
    <row r="289">
      <c r="A289" s="82" t="str">
        <f>IFERROR(__xludf.DUMMYFUNCTION("""COMPUTED_VALUE"""),"Cuádriceps")</f>
        <v>Cuádriceps</v>
      </c>
      <c r="B289" s="82" t="str">
        <f>IFERROR(__xludf.DUMMYFUNCTION("""COMPUTED_VALUE"""),"SENT  LIBRE + SALTOS VERTICAL")</f>
        <v>SENT  LIBRE + SALTOS VERTICAL</v>
      </c>
      <c r="C289" s="82"/>
      <c r="D289" s="82"/>
    </row>
    <row r="290">
      <c r="A290" s="82" t="str">
        <f>IFERROR(__xludf.DUMMYFUNCTION("""COMPUTED_VALUE"""),"Glúteos")</f>
        <v>Glúteos</v>
      </c>
      <c r="B290" s="82"/>
      <c r="C290" s="82"/>
      <c r="D290" s="82"/>
    </row>
    <row r="291">
      <c r="A291" s="82" t="str">
        <f>IFERROR(__xludf.DUMMYFUNCTION("""COMPUTED_VALUE"""),"Isquios")</f>
        <v>Isquios</v>
      </c>
      <c r="B291" s="82" t="str">
        <f>IFERROR(__xludf.DUMMYFUNCTION("""COMPUTED_VALUE"""),"PESO MUERTO 1P +SUBO CAJON 1P")</f>
        <v>PESO MUERTO 1P +SUBO CAJON 1P</v>
      </c>
      <c r="C291" s="82"/>
      <c r="D291" s="82"/>
    </row>
    <row r="292">
      <c r="A292" s="82" t="str">
        <f>IFERROR(__xludf.DUMMYFUNCTION("""COMPUTED_VALUE"""),"Glúteos")</f>
        <v>Glúteos</v>
      </c>
      <c r="B292" s="82" t="str">
        <f>IFERROR(__xludf.DUMMYFUNCTION("""COMPUTED_VALUE"""),"DESPL LATERAL CON DISCO")</f>
        <v>DESPL LATERAL CON DISCO</v>
      </c>
      <c r="C292" s="82"/>
      <c r="D292" s="82"/>
    </row>
    <row r="293">
      <c r="A293" s="82" t="str">
        <f>IFERROR(__xludf.DUMMYFUNCTION("""COMPUTED_VALUE"""),"Cuádriceps")</f>
        <v>Cuádriceps</v>
      </c>
      <c r="B293" s="82" t="str">
        <f>IFERROR(__xludf.DUMMYFUNCTION("""COMPUTED_VALUE"""),"SUICIDA CON SALTO ")</f>
        <v>SUICIDA CON SALTO </v>
      </c>
      <c r="C293" s="82"/>
      <c r="D293" s="82"/>
    </row>
    <row r="294">
      <c r="A294" s="82" t="str">
        <f>IFERROR(__xludf.DUMMYFUNCTION("""COMPUTED_VALUE"""),"Otros")</f>
        <v>Otros</v>
      </c>
      <c r="B294" s="274" t="str">
        <f>IFERROR(__xludf.DUMMYFUNCTION("""COMPUTED_VALUE"""),"RUEDA ABDOMINAL")</f>
        <v>RUEDA ABDOMINAL</v>
      </c>
      <c r="C294" s="82"/>
      <c r="D294" s="82"/>
    </row>
    <row r="295">
      <c r="A295" s="82" t="str">
        <f>IFERROR(__xludf.DUMMYFUNCTION("""COMPUTED_VALUE"""),"Otros")</f>
        <v>Otros</v>
      </c>
      <c r="B295" s="82" t="str">
        <f>IFERROR(__xludf.DUMMYFUNCTION("""COMPUTED_VALUE"""),"ARRASTRE FEMORAL")</f>
        <v>ARRASTRE FEMORAL</v>
      </c>
      <c r="C295" s="82"/>
      <c r="D295" s="82"/>
    </row>
    <row r="296">
      <c r="A296" s="82" t="str">
        <f>IFERROR(__xludf.DUMMYFUNCTION("""COMPUTED_VALUE"""),"Cuádriceps")</f>
        <v>Cuádriceps</v>
      </c>
      <c r="B296" s="82" t="str">
        <f>IFERROR(__xludf.DUMMYFUNCTION("""COMPUTED_VALUE"""),"ESTOCADA SMITH")</f>
        <v>ESTOCADA SMITH</v>
      </c>
      <c r="C296" s="82"/>
      <c r="D296" s="82"/>
    </row>
    <row r="297">
      <c r="A297" s="82" t="str">
        <f>IFERROR(__xludf.DUMMYFUNCTION("""COMPUTED_VALUE"""),"Glúteos")</f>
        <v>Glúteos</v>
      </c>
      <c r="B297" s="82" t="str">
        <f>IFERROR(__xludf.DUMMYFUNCTION("""COMPUTED_VALUE"""),"ESTOCADA CON SALTO")</f>
        <v>ESTOCADA CON SALTO</v>
      </c>
      <c r="C297" s="82"/>
      <c r="D297" s="82"/>
    </row>
    <row r="298">
      <c r="A298" s="82" t="str">
        <f>IFERROR(__xludf.DUMMYFUNCTION("""COMPUTED_VALUE"""),"Hombros")</f>
        <v>Hombros</v>
      </c>
      <c r="B298" s="82" t="str">
        <f>IFERROR(__xludf.DUMMYFUNCTION("""COMPUTED_VALUE"""),"PRESS LANDMINE + PUENTE GLUTEO")</f>
        <v>PRESS LANDMINE + PUENTE GLUTEO</v>
      </c>
      <c r="C298" s="82"/>
      <c r="D298" s="82"/>
    </row>
    <row r="299">
      <c r="A299" s="82" t="str">
        <f>IFERROR(__xludf.DUMMYFUNCTION("""COMPUTED_VALUE"""),"Tríceps")</f>
        <v>Tríceps</v>
      </c>
      <c r="B299" s="82" t="str">
        <f>IFERROR(__xludf.DUMMYFUNCTION("""COMPUTED_VALUE"""),"TRICEP EN POLEA CON SOGA")</f>
        <v>TRICEP EN POLEA CON SOGA</v>
      </c>
      <c r="C299" s="82"/>
      <c r="D299" s="82"/>
    </row>
    <row r="300">
      <c r="A300" s="82" t="str">
        <f>IFERROR(__xludf.DUMMYFUNCTION("""COMPUTED_VALUE"""),"Pecho")</f>
        <v>Pecho</v>
      </c>
      <c r="B300" s="82" t="str">
        <f>IFERROR(__xludf.DUMMYFUNCTION("""COMPUTED_VALUE"""),"PRESS INCLINADO ALTERNO")</f>
        <v>PRESS INCLINADO ALTERNO</v>
      </c>
      <c r="C300" s="82"/>
      <c r="D300" s="82"/>
    </row>
    <row r="301">
      <c r="A301" s="82" t="str">
        <f>IFERROR(__xludf.DUMMYFUNCTION("""COMPUTED_VALUE"""),"Hombros")</f>
        <v>Hombros</v>
      </c>
      <c r="B301" s="82" t="str">
        <f>IFERROR(__xludf.DUMMYFUNCTION("""COMPUTED_VALUE"""),"LANZO BM FRONTAL + BULGARA EXP")</f>
        <v>LANZO BM FRONTAL + BULGARA EXP</v>
      </c>
      <c r="C301" s="82"/>
      <c r="D301" s="82"/>
    </row>
    <row r="302">
      <c r="A302" s="82" t="str">
        <f>IFERROR(__xludf.DUMMYFUNCTION("""COMPUTED_VALUE"""),"Día 1  FUERZA ")</f>
        <v>Día 1  FUERZA </v>
      </c>
      <c r="B302" s="82"/>
      <c r="C302" s="82"/>
      <c r="D302" s="82"/>
    </row>
    <row r="303">
      <c r="A303" s="82" t="str">
        <f>IFERROR(__xludf.DUMMYFUNCTION("""COMPUTED_VALUE"""),"Otros")</f>
        <v>Otros</v>
      </c>
      <c r="B303" s="82" t="str">
        <f>IFERROR(__xludf.DUMMYFUNCTION("""COMPUTED_VALUE"""),"90/90 cadera")</f>
        <v>90/90 cadera</v>
      </c>
      <c r="C303" s="82"/>
      <c r="D303" s="82"/>
    </row>
    <row r="304">
      <c r="A304" s="82" t="str">
        <f>IFERROR(__xludf.DUMMYFUNCTION("""COMPUTED_VALUE"""),"Otros")</f>
        <v>Otros</v>
      </c>
      <c r="B304" s="82" t="str">
        <f>IFERROR(__xludf.DUMMYFUNCTION("""COMPUTED_VALUE"""),"plancha +  bicho muerto")</f>
        <v>plancha +  bicho muerto</v>
      </c>
      <c r="C304" s="82"/>
      <c r="D304" s="82"/>
    </row>
    <row r="305">
      <c r="A305" s="82" t="str">
        <f>IFERROR(__xludf.DUMMYFUNCTION("""COMPUTED_VALUE"""),"Otros")</f>
        <v>Otros</v>
      </c>
      <c r="B305" s="82" t="str">
        <f>IFERROR(__xludf.DUMMYFUNCTION("""COMPUTED_VALUE"""),"Estocada fija o subo cajon ")</f>
        <v>Estocada fija o subo cajon </v>
      </c>
      <c r="C305" s="82"/>
      <c r="D305" s="82"/>
    </row>
    <row r="306">
      <c r="A306" s="82" t="str">
        <f>IFERROR(__xludf.DUMMYFUNCTION("""COMPUTED_VALUE"""),"Cuádriceps")</f>
        <v>Cuádriceps</v>
      </c>
      <c r="B306" s="82" t="str">
        <f>IFERROR(__xludf.DUMMYFUNCTION("""COMPUTED_VALUE"""),"SENTADILLA LIBRE")</f>
        <v>SENTADILLA LIBRE</v>
      </c>
      <c r="C306" s="82"/>
      <c r="D306" s="82"/>
    </row>
    <row r="307">
      <c r="A307" s="82" t="str">
        <f>IFERROR(__xludf.DUMMYFUNCTION("""COMPUTED_VALUE"""),"Hombros")</f>
        <v>Hombros</v>
      </c>
      <c r="B307" s="82" t="str">
        <f>IFERROR(__xludf.DUMMYFUNCTION("""COMPUTED_VALUE"""),"VUELOS LATERALES + FRONTALES")</f>
        <v>VUELOS LATERALES + FRONTALES</v>
      </c>
      <c r="C307" s="82"/>
      <c r="D307" s="82"/>
    </row>
    <row r="308">
      <c r="A308" s="82" t="str">
        <f>IFERROR(__xludf.DUMMYFUNCTION("""COMPUTED_VALUE"""),"Cuádriceps")</f>
        <v>Cuádriceps</v>
      </c>
      <c r="B308" s="82" t="str">
        <f>IFERROR(__xludf.DUMMYFUNCTION("""COMPUTED_VALUE"""),"ESTOCADAS CON DESPL")</f>
        <v>ESTOCADAS CON DESPL</v>
      </c>
      <c r="C308" s="82"/>
      <c r="D308" s="82"/>
    </row>
    <row r="309">
      <c r="A309" s="82" t="str">
        <f>IFERROR(__xludf.DUMMYFUNCTION("""COMPUTED_VALUE"""),"Hombros")</f>
        <v>Hombros</v>
      </c>
      <c r="B309" s="82" t="str">
        <f>IFERROR(__xludf.DUMMYFUNCTION("""COMPUTED_VALUE"""),"PRESS MILITAR ")</f>
        <v>PRESS MILITAR </v>
      </c>
      <c r="C309" s="82"/>
      <c r="D309" s="82"/>
    </row>
    <row r="310">
      <c r="A310" s="82" t="str">
        <f>IFERROR(__xludf.DUMMYFUNCTION("""COMPUTED_VALUE"""),"Hombros")</f>
        <v>Hombros</v>
      </c>
      <c r="B310" s="82" t="str">
        <f>IFERROR(__xludf.DUMMYFUNCTION("""COMPUTED_VALUE"""),"PATADA DE GLUTEO")</f>
        <v>PATADA DE GLUTEO</v>
      </c>
      <c r="C310" s="82"/>
      <c r="D310" s="82"/>
    </row>
    <row r="311">
      <c r="A311" s="82" t="str">
        <f>IFERROR(__xludf.DUMMYFUNCTION("""COMPUTED_VALUE"""),"Glúteos")</f>
        <v>Glúteos</v>
      </c>
      <c r="B311" s="82" t="str">
        <f>IFERROR(__xludf.DUMMYFUNCTION("""COMPUTED_VALUE""")," ABDUCCION MAQUINA")</f>
        <v> ABDUCCION MAQUINA</v>
      </c>
      <c r="C311" s="82"/>
      <c r="D311" s="82"/>
    </row>
    <row r="312">
      <c r="A312" s="82" t="str">
        <f>IFERROR(__xludf.DUMMYFUNCTION("""COMPUTED_VALUE"""),"Cuádriceps")</f>
        <v>Cuádriceps</v>
      </c>
      <c r="B312" s="82" t="str">
        <f>IFERROR(__xludf.DUMMYFUNCTION("""COMPUTED_VALUE"""),"SUBO CAJON+ SENTADILLA C/ SALTO")</f>
        <v>SUBO CAJON+ SENTADILLA C/ SALTO</v>
      </c>
      <c r="C312" s="82"/>
      <c r="D312" s="82"/>
    </row>
    <row r="313">
      <c r="A313" s="82" t="str">
        <f>IFERROR(__xludf.DUMMYFUNCTION("""COMPUTED_VALUE"""),"Espalda")</f>
        <v>Espalda</v>
      </c>
      <c r="B313" s="82" t="str">
        <f>IFERROR(__xludf.DUMMYFUNCTION("""COMPUTED_VALUE"""),"REMO A UN BRAZO")</f>
        <v>REMO A UN BRAZO</v>
      </c>
      <c r="C313" s="82"/>
      <c r="D313" s="82"/>
    </row>
    <row r="314">
      <c r="A314" s="82" t="str">
        <f>IFERROR(__xludf.DUMMYFUNCTION("""COMPUTED_VALUE"""),"Isquios")</f>
        <v>Isquios</v>
      </c>
      <c r="B314" s="82" t="str">
        <f>IFERROR(__xludf.DUMMYFUNCTION("""COMPUTED_VALUE""")," ISQUIOS +  SALTOS CON CAIDA ")</f>
        <v> ISQUIOS +  SALTOS CON CAIDA </v>
      </c>
      <c r="C314" s="82"/>
      <c r="D314" s="82"/>
    </row>
    <row r="315">
      <c r="A315" s="82" t="str">
        <f>IFERROR(__xludf.DUMMYFUNCTION("""COMPUTED_VALUE"""),"Tríceps")</f>
        <v>Tríceps</v>
      </c>
      <c r="B315" s="274" t="str">
        <f>IFERROR(__xludf.DUMMYFUNCTION("""COMPUTED_VALUE"""),"EN POLEA CON SOGA")</f>
        <v>EN POLEA CON SOGA</v>
      </c>
      <c r="C315" s="82"/>
      <c r="D315" s="82"/>
    </row>
    <row r="316">
      <c r="A316" s="82" t="str">
        <f>IFERROR(__xludf.DUMMYFUNCTION("""COMPUTED_VALUE"""),"Otros")</f>
        <v>Otros</v>
      </c>
      <c r="B316" s="82" t="str">
        <f>IFERROR(__xludf.DUMMYFUNCTION("""COMPUTED_VALUE"""),"ADUCTORES  MAQUINA")</f>
        <v>ADUCTORES  MAQUINA</v>
      </c>
      <c r="C316" s="82"/>
      <c r="D316" s="82"/>
    </row>
    <row r="317">
      <c r="A317" s="82" t="str">
        <f>IFERROR(__xludf.DUMMYFUNCTION("""COMPUTED_VALUE"""),"Otros")</f>
        <v>Otros</v>
      </c>
      <c r="B317" s="82" t="str">
        <f>IFERROR(__xludf.DUMMYFUNCTION("""COMPUTED_VALUE"""),"remo DE AGUA+ swing")</f>
        <v>remo DE AGUA+ swing</v>
      </c>
      <c r="C317" s="82"/>
      <c r="D317" s="82"/>
    </row>
    <row r="318">
      <c r="A318" s="82" t="str">
        <f>IFERROR(__xludf.DUMMYFUNCTION("""COMPUTED_VALUE"""),"Isquios")</f>
        <v>Isquios</v>
      </c>
      <c r="B318" s="82" t="str">
        <f>IFERROR(__xludf.DUMMYFUNCTION("""COMPUTED_VALUE"""),"ARRANQUES  DE POTENCIA MANC")</f>
        <v>ARRANQUES  DE POTENCIA MANC</v>
      </c>
      <c r="C318" s="82"/>
      <c r="D318" s="82"/>
    </row>
    <row r="319">
      <c r="A319" s="82" t="str">
        <f>IFERROR(__xludf.DUMMYFUNCTION("""COMPUTED_VALUE"""),"Pecho")</f>
        <v>Pecho</v>
      </c>
      <c r="B319" s="82" t="str">
        <f>IFERROR(__xludf.DUMMYFUNCTION("""COMPUTED_VALUE"""),"PRESS PLANO CON BARRA")</f>
        <v>PRESS PLANO CON BARRA</v>
      </c>
      <c r="C319" s="82"/>
      <c r="D319" s="82"/>
    </row>
    <row r="320">
      <c r="A320" s="82" t="str">
        <f>IFERROR(__xludf.DUMMYFUNCTION("""COMPUTED_VALUE"""),"Glúteos")</f>
        <v>Glúteos</v>
      </c>
      <c r="B320" s="82" t="str">
        <f>IFERROR(__xludf.DUMMYFUNCTION("""COMPUTED_VALUE"""),"BULGARAS CON MANC+ EXPLOSIV")</f>
        <v>BULGARAS CON MANC+ EXPLOSIV</v>
      </c>
      <c r="C320" s="82"/>
      <c r="D320" s="82"/>
    </row>
    <row r="321">
      <c r="A321" s="82" t="str">
        <f>IFERROR(__xludf.DUMMYFUNCTION("""COMPUTED_VALUE"""),"Tríceps")</f>
        <v>Tríceps</v>
      </c>
      <c r="B321" s="82" t="str">
        <f>IFERROR(__xludf.DUMMYFUNCTION("""COMPUTED_VALUE"""),"TRASNUCA 1 BRAZO")</f>
        <v>TRASNUCA 1 BRAZO</v>
      </c>
      <c r="C321" s="82"/>
      <c r="D321" s="82"/>
    </row>
    <row r="322">
      <c r="A322" s="82" t="str">
        <f>IFERROR(__xludf.DUMMYFUNCTION("""COMPUTED_VALUE"""),"Isquios")</f>
        <v>Isquios</v>
      </c>
      <c r="B322" s="82" t="str">
        <f>IFERROR(__xludf.DUMMYFUNCTION("""COMPUTED_VALUE"""),"PESO MUERTO 1P")</f>
        <v>PESO MUERTO 1P</v>
      </c>
      <c r="C322" s="82"/>
      <c r="D322" s="82"/>
    </row>
    <row r="323">
      <c r="A323" s="82" t="str">
        <f>IFERROR(__xludf.DUMMYFUNCTION("""COMPUTED_VALUE"""),"Otros")</f>
        <v>Otros</v>
      </c>
      <c r="B323" s="82" t="str">
        <f>IFERROR(__xludf.DUMMYFUNCTION("""COMPUTED_VALUE"""),"SALTOS LATERALES CON BM ")</f>
        <v>SALTOS LATERALES CON BM </v>
      </c>
      <c r="C323" s="82"/>
      <c r="D323" s="82"/>
    </row>
    <row r="324">
      <c r="A324" s="82" t="str">
        <f>IFERROR(__xludf.DUMMYFUNCTION("""COMPUTED_VALUE"""),"Día 1 EMPUJES")</f>
        <v>Día 1 EMPUJES</v>
      </c>
      <c r="B324" s="82"/>
      <c r="C324" s="82"/>
      <c r="D324" s="82"/>
    </row>
    <row r="325">
      <c r="A325" s="82" t="str">
        <f>IFERROR(__xludf.DUMMYFUNCTION("""COMPUTED_VALUE"""),"Otros")</f>
        <v>Otros</v>
      </c>
      <c r="B325" s="82" t="str">
        <f>IFERROR(__xludf.DUMMYFUNCTION("""COMPUTED_VALUE"""),"BISAGRA CADERA + HOMBROS")</f>
        <v>BISAGRA CADERA + HOMBROS</v>
      </c>
      <c r="C325" s="82"/>
      <c r="D325" s="82"/>
    </row>
    <row r="326">
      <c r="A326" s="82" t="str">
        <f>IFERROR(__xludf.DUMMYFUNCTION("""COMPUTED_VALUE"""),"Otros")</f>
        <v>Otros</v>
      </c>
      <c r="B326" s="82" t="str">
        <f>IFERROR(__xludf.DUMMYFUNCTION("""COMPUTED_VALUE"""),"plancha con apertura + escalador")</f>
        <v>plancha con apertura + escalador</v>
      </c>
      <c r="C326" s="82"/>
      <c r="D326" s="82"/>
    </row>
    <row r="327">
      <c r="A327" s="82" t="str">
        <f>IFERROR(__xludf.DUMMYFUNCTION("""COMPUTED_VALUE"""),"Otros")</f>
        <v>Otros</v>
      </c>
      <c r="B327" s="82" t="str">
        <f>IFERROR(__xludf.DUMMYFUNCTION("""COMPUTED_VALUE"""),"Sentadilla + press")</f>
        <v>Sentadilla + press</v>
      </c>
      <c r="C327" s="82"/>
      <c r="D327" s="82"/>
    </row>
    <row r="328">
      <c r="A328" s="82" t="str">
        <f>IFERROR(__xludf.DUMMYFUNCTION("""COMPUTED_VALUE"""),"Cuádriceps")</f>
        <v>Cuádriceps</v>
      </c>
      <c r="B328" s="82" t="str">
        <f>IFERROR(__xludf.DUMMYFUNCTION("""COMPUTED_VALUE"""),"CARGADAS DE POTENCIA")</f>
        <v>CARGADAS DE POTENCIA</v>
      </c>
      <c r="C328" s="82"/>
      <c r="D328" s="82"/>
    </row>
    <row r="329">
      <c r="A329" s="82" t="str">
        <f>IFERROR(__xludf.DUMMYFUNCTION("""COMPUTED_VALUE"""),"Cuádriceps")</f>
        <v>Cuádriceps</v>
      </c>
      <c r="B329" s="82" t="str">
        <f>IFERROR(__xludf.DUMMYFUNCTION("""COMPUTED_VALUE"""),"SENTADILLA LIBRE ")</f>
        <v>SENTADILLA LIBRE </v>
      </c>
      <c r="C329" s="82"/>
      <c r="D329" s="82"/>
    </row>
    <row r="330">
      <c r="A330" s="82" t="str">
        <f>IFERROR(__xludf.DUMMYFUNCTION("""COMPUTED_VALUE"""),"Cuádriceps")</f>
        <v>Cuádriceps</v>
      </c>
      <c r="B330" s="82" t="str">
        <f>IFERROR(__xludf.DUMMYFUNCTION("""COMPUTED_VALUE"""),"SALTOS AL CAJON")</f>
        <v>SALTOS AL CAJON</v>
      </c>
      <c r="C330" s="82"/>
      <c r="D330" s="82"/>
    </row>
    <row r="331">
      <c r="A331" s="82" t="str">
        <f>IFERROR(__xludf.DUMMYFUNCTION("""COMPUTED_VALUE"""),"Cuádriceps")</f>
        <v>Cuádriceps</v>
      </c>
      <c r="B331" s="82" t="str">
        <f>IFERROR(__xludf.DUMMYFUNCTION("""COMPUTED_VALUE"""),"ESTOCADAS CON DEFICIT")</f>
        <v>ESTOCADAS CON DEFICIT</v>
      </c>
      <c r="C331" s="82"/>
      <c r="D331" s="82"/>
    </row>
    <row r="332">
      <c r="A332" s="82" t="str">
        <f>IFERROR(__xludf.DUMMYFUNCTION("""COMPUTED_VALUE"""),"Hombros")</f>
        <v>Hombros</v>
      </c>
      <c r="B332" s="82" t="str">
        <f>IFERROR(__xludf.DUMMYFUNCTION("""COMPUTED_VALUE"""),"PRESS MILITAR +PUSH")</f>
        <v>PRESS MILITAR +PUSH</v>
      </c>
      <c r="C332" s="82"/>
      <c r="D332" s="82"/>
    </row>
    <row r="333">
      <c r="A333" s="82" t="str">
        <f>IFERROR(__xludf.DUMMYFUNCTION("""COMPUTED_VALUE"""),"Glúteos")</f>
        <v>Glúteos</v>
      </c>
      <c r="B333" s="82" t="str">
        <f>IFERROR(__xludf.DUMMYFUNCTION("""COMPUTED_VALUE"""),"PATADA DE GLUTEO")</f>
        <v>PATADA DE GLUTEO</v>
      </c>
      <c r="C333" s="82"/>
      <c r="D333" s="82"/>
    </row>
    <row r="334">
      <c r="A334" s="82" t="str">
        <f>IFERROR(__xludf.DUMMYFUNCTION("""COMPUTED_VALUE"""),"Glúteos")</f>
        <v>Glúteos</v>
      </c>
      <c r="B334" s="82" t="str">
        <f>IFERROR(__xludf.DUMMYFUNCTION("""COMPUTED_VALUE"""),"CAMINATA CANGREJO + VUELOS")</f>
        <v>CAMINATA CANGREJO + VUELOS</v>
      </c>
      <c r="C334" s="82"/>
      <c r="D334" s="82"/>
    </row>
    <row r="335">
      <c r="A335" s="82" t="str">
        <f>IFERROR(__xludf.DUMMYFUNCTION("""COMPUTED_VALUE"""),"Día 2 TRACCION")</f>
        <v>Día 2 TRACCION</v>
      </c>
      <c r="B335" s="82"/>
      <c r="C335" s="82"/>
      <c r="D335" s="82"/>
    </row>
    <row r="336">
      <c r="A336" s="82" t="str">
        <f>IFERROR(__xludf.DUMMYFUNCTION("""COMPUTED_VALUE"""),"Espalda")</f>
        <v>Espalda</v>
      </c>
      <c r="B336" s="82" t="str">
        <f>IFERROR(__xludf.DUMMYFUNCTION("""COMPUTED_VALUE"""),"DOMINADAS CON BANDA")</f>
        <v>DOMINADAS CON BANDA</v>
      </c>
      <c r="C336" s="82"/>
      <c r="D336" s="82"/>
    </row>
    <row r="337">
      <c r="A337" s="82" t="str">
        <f>IFERROR(__xludf.DUMMYFUNCTION("""COMPUTED_VALUE"""),"Espalda")</f>
        <v>Espalda</v>
      </c>
      <c r="B337" s="82" t="str">
        <f>IFERROR(__xludf.DUMMYFUNCTION("""COMPUTED_VALUE"""),"ARRANQUES CON MANCUERNA")</f>
        <v>ARRANQUES CON MANCUERNA</v>
      </c>
      <c r="C337" s="82"/>
      <c r="D337" s="82"/>
    </row>
    <row r="338">
      <c r="A338" s="82" t="str">
        <f>IFERROR(__xludf.DUMMYFUNCTION("""COMPUTED_VALUE"""),"Hombros")</f>
        <v>Hombros</v>
      </c>
      <c r="B338" s="82" t="str">
        <f>IFERROR(__xludf.DUMMYFUNCTION("""COMPUTED_VALUE"""),"Vuelos posteriores  ")</f>
        <v>Vuelos posteriores  </v>
      </c>
      <c r="C338" s="82"/>
      <c r="D338" s="82"/>
    </row>
    <row r="339">
      <c r="A339" s="82" t="str">
        <f>IFERROR(__xludf.DUMMYFUNCTION("""COMPUTED_VALUE"""),"Pantorrillas")</f>
        <v>Pantorrillas</v>
      </c>
      <c r="B339" s="82" t="str">
        <f>IFERROR(__xludf.DUMMYFUNCTION("""COMPUTED_VALUE"""),"gemelos parado + saltos reactivos")</f>
        <v>gemelos parado + saltos reactivos</v>
      </c>
      <c r="C339" s="82"/>
      <c r="D339" s="82"/>
    </row>
    <row r="340">
      <c r="A340" s="82" t="str">
        <f>IFERROR(__xludf.DUMMYFUNCTION("""COMPUTED_VALUE"""),"Espalda")</f>
        <v>Espalda</v>
      </c>
      <c r="B340" s="274" t="str">
        <f>IFERROR(__xludf.DUMMYFUNCTION("""COMPUTED_VALUE"""),"Remo 1 brazo ")</f>
        <v>Remo 1 brazo </v>
      </c>
      <c r="C340" s="82"/>
      <c r="D340" s="82"/>
    </row>
    <row r="341">
      <c r="A341" s="82" t="str">
        <f>IFERROR(__xludf.DUMMYFUNCTION("""COMPUTED_VALUE"""),"Isquios")</f>
        <v>Isquios</v>
      </c>
      <c r="B341" s="82" t="str">
        <f>IFERROR(__xludf.DUMMYFUNCTION("""COMPUTED_VALUE"""),"PESO MUERTO MANC")</f>
        <v>PESO MUERTO MANC</v>
      </c>
      <c r="C341" s="82"/>
      <c r="D341" s="82"/>
    </row>
    <row r="342">
      <c r="A342" s="82" t="str">
        <f>IFERROR(__xludf.DUMMYFUNCTION("""COMPUTED_VALUE"""),"Día 3 FUERZA")</f>
        <v>Día 3 FUERZA</v>
      </c>
      <c r="B342" s="82"/>
      <c r="C342" s="82"/>
      <c r="D342" s="82"/>
    </row>
    <row r="343">
      <c r="A343" s="82" t="str">
        <f>IFERROR(__xludf.DUMMYFUNCTION("""COMPUTED_VALUE"""),"Otros")</f>
        <v>Otros</v>
      </c>
      <c r="B343" s="82" t="str">
        <f>IFERROR(__xludf.DUMMYFUNCTION("""COMPUTED_VALUE"""),"PSOAS +CRUCES ")</f>
        <v>PSOAS +CRUCES </v>
      </c>
      <c r="C343" s="82"/>
      <c r="D343" s="82"/>
    </row>
    <row r="344">
      <c r="A344" s="82" t="str">
        <f>IFERROR(__xludf.DUMMYFUNCTION("""COMPUTED_VALUE"""),"Otros")</f>
        <v>Otros</v>
      </c>
      <c r="B344" s="82" t="str">
        <f>IFERROR(__xludf.DUMMYFUNCTION("""COMPUTED_VALUE"""),"HOLLOW DINAMICO + CRUNCH ")</f>
        <v>HOLLOW DINAMICO + CRUNCH </v>
      </c>
      <c r="C344" s="82"/>
      <c r="D344" s="82"/>
    </row>
    <row r="345">
      <c r="A345" s="82" t="str">
        <f>IFERROR(__xludf.DUMMYFUNCTION("""COMPUTED_VALUE"""),"Otros")</f>
        <v>Otros</v>
      </c>
      <c r="B345" s="82" t="str">
        <f>IFERROR(__xludf.DUMMYFUNCTION("""COMPUTED_VALUE"""),"ESTOCADAS LATERALES")</f>
        <v>ESTOCADAS LATERALES</v>
      </c>
      <c r="C345" s="82"/>
      <c r="D345" s="82"/>
    </row>
    <row r="346">
      <c r="A346" s="82" t="str">
        <f>IFERROR(__xludf.DUMMYFUNCTION("""COMPUTED_VALUE"""),"Cuádriceps")</f>
        <v>Cuádriceps</v>
      </c>
      <c r="B346" s="82" t="str">
        <f>IFERROR(__xludf.DUMMYFUNCTION("""COMPUTED_VALUE"""),"SENTADILLA PROFUNDA EN SMITH")</f>
        <v>SENTADILLA PROFUNDA EN SMITH</v>
      </c>
      <c r="C346" s="82"/>
      <c r="D346" s="82"/>
    </row>
    <row r="347">
      <c r="A347" s="82" t="str">
        <f>IFERROR(__xludf.DUMMYFUNCTION("""COMPUTED_VALUE"""),"Glúteos")</f>
        <v>Glúteos</v>
      </c>
      <c r="B347" s="82" t="str">
        <f>IFERROR(__xludf.DUMMYFUNCTION("""COMPUTED_VALUE"""),"PATADA GLUTEO EN POLEA")</f>
        <v>PATADA GLUTEO EN POLEA</v>
      </c>
      <c r="C347" s="82"/>
      <c r="D347" s="82"/>
    </row>
    <row r="348">
      <c r="A348" s="82" t="str">
        <f>IFERROR(__xludf.DUMMYFUNCTION("""COMPUTED_VALUE"""),"Tríceps")</f>
        <v>Tríceps</v>
      </c>
      <c r="B348" s="82" t="str">
        <f>IFERROR(__xludf.DUMMYFUNCTION("""COMPUTED_VALUE"""),"TRICEP EN POLEA")</f>
        <v>TRICEP EN POLEA</v>
      </c>
      <c r="C348" s="82"/>
      <c r="D348" s="82"/>
    </row>
    <row r="349">
      <c r="A349" s="82" t="str">
        <f>IFERROR(__xludf.DUMMYFUNCTION("""COMPUTED_VALUE"""),"Glúteos")</f>
        <v>Glúteos</v>
      </c>
      <c r="B349" s="82" t="str">
        <f>IFERROR(__xludf.DUMMYFUNCTION("""COMPUTED_VALUE"""),"PRENSA 45 AP SUPERIOR")</f>
        <v>PRENSA 45 AP SUPERIOR</v>
      </c>
      <c r="C349" s="82"/>
      <c r="D349" s="82"/>
    </row>
    <row r="350">
      <c r="A350" s="82" t="str">
        <f>IFERROR(__xludf.DUMMYFUNCTION("""COMPUTED_VALUE"""),"Pecho")</f>
        <v>Pecho</v>
      </c>
      <c r="B350" s="82" t="str">
        <f>IFERROR(__xludf.DUMMYFUNCTION("""COMPUTED_VALUE"""),"MARIPOSA MAQUINA")</f>
        <v>MARIPOSA MAQUINA</v>
      </c>
      <c r="C350" s="82"/>
      <c r="D350" s="82"/>
    </row>
    <row r="351">
      <c r="A351" s="82" t="str">
        <f>IFERROR(__xludf.DUMMYFUNCTION("""COMPUTED_VALUE"""),"Día 4")</f>
        <v>Día 4</v>
      </c>
      <c r="B351" s="82"/>
      <c r="C351" s="82"/>
      <c r="D351" s="82" t="str">
        <f>IFERROR(__xludf.DUMMYFUNCTION("""COMPUTED_VALUE"""),"En aquellos ejercicios de intensidad 7/6 hacer movimientos dinamicos ")</f>
        <v>En aquellos ejercicios de intensidad 7/6 hacer movimientos dinamicos </v>
      </c>
    </row>
    <row r="352">
      <c r="A352" s="82" t="str">
        <f>IFERROR(__xludf.DUMMYFUNCTION("""COMPUTED_VALUE"""),"otros")</f>
        <v>otros</v>
      </c>
      <c r="B352" s="82" t="str">
        <f>IFERROR(__xludf.DUMMYFUNCTION("""COMPUTED_VALUE"""),"Crunch sobre pelota + plancha")</f>
        <v>Crunch sobre pelota + plancha</v>
      </c>
      <c r="C352" s="82"/>
      <c r="D352" s="82"/>
    </row>
    <row r="353">
      <c r="A353" s="82" t="str">
        <f>IFERROR(__xludf.DUMMYFUNCTION("""COMPUTED_VALUE"""),"Otros")</f>
        <v>Otros</v>
      </c>
      <c r="B353" s="82" t="str">
        <f>IFERROR(__xludf.DUMMYFUNCTION("""COMPUTED_VALUE"""),"swing americano")</f>
        <v>swing americano</v>
      </c>
      <c r="C353" s="82"/>
      <c r="D353" s="82"/>
    </row>
    <row r="354">
      <c r="A354" s="82" t="str">
        <f>IFERROR(__xludf.DUMMYFUNCTION("""COMPUTED_VALUE"""),"otros")</f>
        <v>otros</v>
      </c>
      <c r="B354" s="82" t="str">
        <f>IFERROR(__xludf.DUMMYFUNCTION("""COMPUTED_VALUE"""),"2DO TIEMPO DE POTENCIA")</f>
        <v>2DO TIEMPO DE POTENCIA</v>
      </c>
      <c r="C354" s="82"/>
      <c r="D354" s="82"/>
    </row>
    <row r="355">
      <c r="A355" s="82" t="str">
        <f>IFERROR(__xludf.DUMMYFUNCTION("""COMPUTED_VALUE"""),"Cuádriceps")</f>
        <v>Cuádriceps</v>
      </c>
      <c r="B355" s="82" t="str">
        <f>IFERROR(__xludf.DUMMYFUNCTION("""COMPUTED_VALUE"""),"ESTOCADA FIJA CON BARRA")</f>
        <v>ESTOCADA FIJA CON BARRA</v>
      </c>
      <c r="C355" s="82"/>
      <c r="D355" s="82"/>
    </row>
    <row r="356">
      <c r="A356" s="82" t="str">
        <f>IFERROR(__xludf.DUMMYFUNCTION("""COMPUTED_VALUE"""),"Cuádriceps")</f>
        <v>Cuádriceps</v>
      </c>
      <c r="B356" s="82" t="str">
        <f>IFERROR(__xludf.DUMMYFUNCTION("""COMPUTED_VALUE"""),"SENTADILLAS CON SALTO")</f>
        <v>SENTADILLAS CON SALTO</v>
      </c>
      <c r="C356" s="82"/>
      <c r="D356" s="82"/>
    </row>
    <row r="357">
      <c r="A357" s="82" t="str">
        <f>IFERROR(__xludf.DUMMYFUNCTION("""COMPUTED_VALUE"""),"Hombros")</f>
        <v>Hombros</v>
      </c>
      <c r="B357" s="82" t="str">
        <f>IFERROR(__xludf.DUMMYFUNCTION("""COMPUTED_VALUE"""),"REMO AL MENTON ")</f>
        <v>REMO AL MENTON </v>
      </c>
      <c r="C357" s="82"/>
      <c r="D357" s="82"/>
    </row>
    <row r="358">
      <c r="A358" s="82" t="str">
        <f>IFERROR(__xludf.DUMMYFUNCTION("""COMPUTED_VALUE"""),"Cuádriceps")</f>
        <v>Cuádriceps</v>
      </c>
      <c r="B358" s="82" t="str">
        <f>IFERROR(__xludf.DUMMYFUNCTION("""COMPUTED_VALUE"""),"sentadilla frontal en smith")</f>
        <v>sentadilla frontal en smith</v>
      </c>
      <c r="C358" s="82"/>
      <c r="D358" s="82"/>
    </row>
    <row r="359">
      <c r="A359" s="82" t="str">
        <f>IFERROR(__xludf.DUMMYFUNCTION("""COMPUTED_VALUE"""),"Isquios")</f>
        <v>Isquios</v>
      </c>
      <c r="B359" s="82" t="str">
        <f>IFERROR(__xludf.DUMMYFUNCTION("""COMPUTED_VALUE"""),"peso muerto 1p ")</f>
        <v>peso muerto 1p </v>
      </c>
      <c r="C359" s="82"/>
      <c r="D359" s="82"/>
    </row>
    <row r="360">
      <c r="A360" s="82" t="str">
        <f>IFERROR(__xludf.DUMMYFUNCTION("""COMPUTED_VALUE"""),"otros")</f>
        <v>otros</v>
      </c>
      <c r="B360" s="82" t="str">
        <f>IFERROR(__xludf.DUMMYFUNCTION("""COMPUTED_VALUE"""),"Saltos alternos en  cajon")</f>
        <v>Saltos alternos en  cajon</v>
      </c>
      <c r="C360" s="82"/>
      <c r="D360" s="82"/>
    </row>
    <row r="361">
      <c r="A361" s="82" t="str">
        <f>IFERROR(__xludf.DUMMYFUNCTION("""COMPUTED_VALUE"""),"Día 5")</f>
        <v>Día 5</v>
      </c>
      <c r="B361" s="82"/>
      <c r="C361" s="82"/>
      <c r="D361" s="82" t="str">
        <f>IFERROR(__xludf.DUMMYFUNCTION("""COMPUTED_VALUE"""),"Trabajar con menos cargas y con movimientos mas dinamicos ")</f>
        <v>Trabajar con menos cargas y con movimientos mas dinamicos </v>
      </c>
    </row>
    <row r="362">
      <c r="A362" s="82" t="str">
        <f>IFERROR(__xludf.DUMMYFUNCTION("""COMPUTED_VALUE"""),"otros")</f>
        <v>otros</v>
      </c>
      <c r="B362" s="82" t="str">
        <f>IFERROR(__xludf.DUMMYFUNCTION("""COMPUTED_VALUE"""),"Estocada lateral +press frontal")</f>
        <v>Estocada lateral +press frontal</v>
      </c>
      <c r="C362" s="82"/>
      <c r="D362" s="82"/>
    </row>
    <row r="363">
      <c r="A363" s="82" t="str">
        <f>IFERROR(__xludf.DUMMYFUNCTION("""COMPUTED_VALUE"""),"Pecho")</f>
        <v>Pecho</v>
      </c>
      <c r="B363" s="82" t="str">
        <f>IFERROR(__xludf.DUMMYFUNCTION("""COMPUTED_VALUE"""),"LANZO BM FRONTAL")</f>
        <v>LANZO BM FRONTAL</v>
      </c>
      <c r="C363" s="82"/>
      <c r="D363" s="82"/>
    </row>
    <row r="364">
      <c r="A364" s="82" t="str">
        <f>IFERROR(__xludf.DUMMYFUNCTION("""COMPUTED_VALUE"""),"Día 1  EMPUJES")</f>
        <v>Día 1  EMPUJES</v>
      </c>
      <c r="B364" s="82"/>
      <c r="C364" s="82"/>
      <c r="D364" s="82"/>
    </row>
    <row r="365">
      <c r="A365" s="82" t="str">
        <f>IFERROR(__xludf.DUMMYFUNCTION("""COMPUTED_VALUE"""),"Otros")</f>
        <v>Otros</v>
      </c>
      <c r="B365" s="82" t="str">
        <f>IFERROR(__xludf.DUMMYFUNCTION("""COMPUTED_VALUE"""),"90/90 CAD+ RODILLA + HOMBRO")</f>
        <v>90/90 CAD+ RODILLA + HOMBRO</v>
      </c>
      <c r="C365" s="82"/>
      <c r="D365" s="82"/>
    </row>
    <row r="366">
      <c r="A366" s="82" t="str">
        <f>IFERROR(__xludf.DUMMYFUNCTION("""COMPUTED_VALUE"""),"Otros")</f>
        <v>Otros</v>
      </c>
      <c r="B366" s="82" t="str">
        <f>IFERROR(__xludf.DUMMYFUNCTION("""COMPUTED_VALUE"""),"plancha +  PALL OFF ")</f>
        <v>plancha +  PALL OFF </v>
      </c>
      <c r="C366" s="82"/>
      <c r="D366" s="82"/>
    </row>
    <row r="367">
      <c r="A367" s="82" t="str">
        <f>IFERROR(__xludf.DUMMYFUNCTION("""COMPUTED_VALUE"""),"Otros")</f>
        <v>Otros</v>
      </c>
      <c r="B367" s="82" t="str">
        <f>IFERROR(__xludf.DUMMYFUNCTION("""COMPUTED_VALUE"""),"Estocada fija ")</f>
        <v>Estocada fija </v>
      </c>
      <c r="C367" s="82"/>
      <c r="D367" s="82"/>
    </row>
    <row r="368">
      <c r="A368" s="82" t="str">
        <f>IFERROR(__xludf.DUMMYFUNCTION("""COMPUTED_VALUE"""),"Otros")</f>
        <v>Otros</v>
      </c>
      <c r="B368" s="82" t="str">
        <f>IFERROR(__xludf.DUMMYFUNCTION("""COMPUTED_VALUE"""),"CARGADAS CON BARRA")</f>
        <v>CARGADAS CON BARRA</v>
      </c>
      <c r="C368" s="82"/>
      <c r="D368" s="82"/>
    </row>
    <row r="369">
      <c r="A369" s="82" t="str">
        <f>IFERROR(__xludf.DUMMYFUNCTION("""COMPUTED_VALUE"""),"Cuádriceps")</f>
        <v>Cuádriceps</v>
      </c>
      <c r="B369" s="82" t="str">
        <f>IFERROR(__xludf.DUMMYFUNCTION("""COMPUTED_VALUE"""),"SENTADILLAS + SALTOS AL CAJON")</f>
        <v>SENTADILLAS + SALTOS AL CAJON</v>
      </c>
      <c r="C369" s="82"/>
      <c r="D369" s="82"/>
    </row>
    <row r="370">
      <c r="A370" s="82" t="str">
        <f>IFERROR(__xludf.DUMMYFUNCTION("""COMPUTED_VALUE"""),"Hombros")</f>
        <v>Hombros</v>
      </c>
      <c r="B370" s="82" t="str">
        <f>IFERROR(__xludf.DUMMYFUNCTION("""COMPUTED_VALUE"""),"PRESS PLANO ")</f>
        <v>PRESS PLANO </v>
      </c>
      <c r="C370" s="82"/>
      <c r="D370" s="82"/>
    </row>
    <row r="371">
      <c r="A371" s="82" t="str">
        <f>IFERROR(__xludf.DUMMYFUNCTION("""COMPUTED_VALUE"""),"Glúteos")</f>
        <v>Glúteos</v>
      </c>
      <c r="B371" s="82" t="str">
        <f>IFERROR(__xludf.DUMMYFUNCTION("""COMPUTED_VALUE"""),"SUBO CAJON + SALTO CAIDA")</f>
        <v>SUBO CAJON + SALTO CAIDA</v>
      </c>
      <c r="C371" s="82"/>
      <c r="D371" s="82"/>
    </row>
    <row r="372">
      <c r="A372" s="82" t="str">
        <f>IFERROR(__xludf.DUMMYFUNCTION("""COMPUTED_VALUE"""),"Otros")</f>
        <v>Otros</v>
      </c>
      <c r="B372" s="82" t="str">
        <f>IFERROR(__xludf.DUMMYFUNCTION("""COMPUTED_VALUE"""),"WALL BALL")</f>
        <v>WALL BALL</v>
      </c>
      <c r="C372" s="82"/>
      <c r="D372" s="82"/>
    </row>
    <row r="373">
      <c r="A373" s="82" t="str">
        <f>IFERROR(__xludf.DUMMYFUNCTION("""COMPUTED_VALUE"""),"Día 2 TRACCIONES ")</f>
        <v>Día 2 TRACCIONES </v>
      </c>
      <c r="B373" s="82"/>
      <c r="C373" s="82"/>
      <c r="D373" s="82"/>
    </row>
    <row r="374">
      <c r="A374" s="82" t="str">
        <f>IFERROR(__xludf.DUMMYFUNCTION("""COMPUTED_VALUE"""),"Otros")</f>
        <v>Otros</v>
      </c>
      <c r="B374" s="82"/>
      <c r="C374" s="82"/>
      <c r="D374" s="82"/>
    </row>
    <row r="375">
      <c r="A375" s="82" t="str">
        <f>IFERROR(__xludf.DUMMYFUNCTION("""COMPUTED_VALUE"""),"Otros")</f>
        <v>Otros</v>
      </c>
      <c r="B375" s="82" t="str">
        <f>IFERROR(__xludf.DUMMYFUNCTION("""COMPUTED_VALUE"""),"ARRANQUES ")</f>
        <v>ARRANQUES </v>
      </c>
      <c r="C375" s="82"/>
      <c r="D375" s="82"/>
    </row>
    <row r="376">
      <c r="A376" s="82" t="str">
        <f>IFERROR(__xludf.DUMMYFUNCTION("""COMPUTED_VALUE"""),"Cuádriceps")</f>
        <v>Cuádriceps</v>
      </c>
      <c r="B376" s="82" t="str">
        <f>IFERROR(__xludf.DUMMYFUNCTION("""COMPUTED_VALUE"""),"PESO MUERTO + PUENTE GLUTEO ALT")</f>
        <v>PESO MUERTO + PUENTE GLUTEO ALT</v>
      </c>
      <c r="C376" s="82"/>
      <c r="D376" s="82"/>
    </row>
    <row r="377">
      <c r="A377" s="82" t="str">
        <f>IFERROR(__xludf.DUMMYFUNCTION("""COMPUTED_VALUE"""),"Espalda")</f>
        <v>Espalda</v>
      </c>
      <c r="B377" s="82" t="str">
        <f>IFERROR(__xludf.DUMMYFUNCTION("""COMPUTED_VALUE"""),"DOMINADAS ")</f>
        <v>DOMINADAS </v>
      </c>
      <c r="C377" s="82"/>
      <c r="D377" s="82"/>
    </row>
    <row r="378">
      <c r="A378" s="82" t="str">
        <f>IFERROR(__xludf.DUMMYFUNCTION("""COMPUTED_VALUE"""),"Isquios")</f>
        <v>Isquios</v>
      </c>
      <c r="B378" s="82" t="str">
        <f>IFERROR(__xludf.DUMMYFUNCTION("""COMPUTED_VALUE""")," PESO MUERTO 1P+ZANCADAS ")</f>
        <v> PESO MUERTO 1P+ZANCADAS </v>
      </c>
      <c r="C378" s="82"/>
      <c r="D378" s="82"/>
    </row>
    <row r="379">
      <c r="A379" s="82" t="str">
        <f>IFERROR(__xludf.DUMMYFUNCTION("""COMPUTED_VALUE"""),"Pantorrillas")</f>
        <v>Pantorrillas</v>
      </c>
      <c r="B379" s="82" t="str">
        <f>IFERROR(__xludf.DUMMYFUNCTION("""COMPUTED_VALUE"""),"SALTOS HORIZONTALES ")</f>
        <v>SALTOS HORIZONTALES </v>
      </c>
      <c r="C379" s="82"/>
      <c r="D379" s="82"/>
    </row>
    <row r="380">
      <c r="A380" s="82" t="str">
        <f>IFERROR(__xludf.DUMMYFUNCTION("""COMPUTED_VALUE"""),"Hombros")</f>
        <v>Hombros</v>
      </c>
      <c r="B380" s="274" t="str">
        <f>IFERROR(__xludf.DUMMYFUNCTION("""COMPUTED_VALUE"""),"SENTADILLA +PRESS")</f>
        <v>SENTADILLA +PRESS</v>
      </c>
      <c r="C380" s="82"/>
      <c r="D380" s="82"/>
    </row>
    <row r="381">
      <c r="A381" s="82" t="str">
        <f>IFERROR(__xludf.DUMMYFUNCTION("""COMPUTED_VALUE"""),"Otros")</f>
        <v>Otros</v>
      </c>
      <c r="B381" s="82" t="str">
        <f>IFERROR(__xludf.DUMMYFUNCTION("""COMPUTED_VALUE"""),"DESPLAZAMIENTOS LATERALES")</f>
        <v>DESPLAZAMIENTOS LATERALES</v>
      </c>
      <c r="C381" s="82"/>
      <c r="D381" s="82"/>
    </row>
    <row r="382">
      <c r="A382" s="82" t="str">
        <f>IFERROR(__xludf.DUMMYFUNCTION("""COMPUTED_VALUE"""),"Isquios")</f>
        <v>Isquios</v>
      </c>
      <c r="B382" s="82" t="str">
        <f>IFERROR(__xludf.DUMMYFUNCTION("""COMPUTED_VALUE"""),"2DO TIEMPO DE POTENCIA")</f>
        <v>2DO TIEMPO DE POTENCIA</v>
      </c>
      <c r="C382" s="82"/>
      <c r="D382" s="82"/>
    </row>
    <row r="383">
      <c r="A383" s="82" t="str">
        <f>IFERROR(__xludf.DUMMYFUNCTION("""COMPUTED_VALUE"""),"Pecho")</f>
        <v>Pecho</v>
      </c>
      <c r="B383" s="82" t="str">
        <f>IFERROR(__xludf.DUMMYFUNCTION("""COMPUTED_VALUE"""),"PUSH PRESS")</f>
        <v>PUSH PRESS</v>
      </c>
      <c r="C383" s="82"/>
      <c r="D383" s="82"/>
    </row>
    <row r="384">
      <c r="A384" s="82" t="str">
        <f>IFERROR(__xludf.DUMMYFUNCTION("""COMPUTED_VALUE"""),"Pecho")</f>
        <v>Pecho</v>
      </c>
      <c r="B384" s="82" t="str">
        <f>IFERROR(__xludf.DUMMYFUNCTION("""COMPUTED_VALUE"""),"SENTADILLA CON SALTO")</f>
        <v>SENTADILLA CON SALTO</v>
      </c>
      <c r="C384" s="82"/>
      <c r="D384" s="82"/>
    </row>
    <row r="385">
      <c r="A385" s="82" t="str">
        <f>IFERROR(__xludf.DUMMYFUNCTION("""COMPUTED_VALUE"""),"Glúteos")</f>
        <v>Glúteos</v>
      </c>
      <c r="B385" s="82" t="str">
        <f>IFERROR(__xludf.DUMMYFUNCTION("""COMPUTED_VALUE"""),"SALTOS REACTIVOS ")</f>
        <v>SALTOS REACTIVOS </v>
      </c>
      <c r="C385" s="82"/>
      <c r="D385" s="82"/>
    </row>
    <row r="386">
      <c r="A386" s="82" t="str">
        <f>IFERROR(__xludf.DUMMYFUNCTION("""COMPUTED_VALUE"""),"Hombros")</f>
        <v>Hombros</v>
      </c>
      <c r="B386" s="82" t="str">
        <f>IFERROR(__xludf.DUMMYFUNCTION("""COMPUTED_VALUE"""),"LANZO BM  CON ROTACION ")</f>
        <v>LANZO BM  CON ROTACION </v>
      </c>
      <c r="C386" s="82"/>
      <c r="D386" s="82"/>
    </row>
    <row r="387">
      <c r="A387" s="82" t="str">
        <f>IFERROR(__xludf.DUMMYFUNCTION("""COMPUTED_VALUE"""),"Bíceps")</f>
        <v>Bíceps</v>
      </c>
      <c r="B387" s="82" t="str">
        <f>IFERROR(__xludf.DUMMYFUNCTION("""COMPUTED_VALUE"""),"BICCEPS CON BARRA")</f>
        <v>BICCEPS CON BARRA</v>
      </c>
      <c r="C387" s="82"/>
      <c r="D387" s="82"/>
    </row>
    <row r="388">
      <c r="A388" s="82" t="str">
        <f>IFERROR(__xludf.DUMMYFUNCTION("""COMPUTED_VALUE"""),"Otros")</f>
        <v>Otros</v>
      </c>
      <c r="B388" s="82" t="str">
        <f>IFERROR(__xludf.DUMMYFUNCTION("""COMPUTED_VALUE"""),"90/90 +BISAGRA CADERA")</f>
        <v>90/90 +BISAGRA CADERA</v>
      </c>
      <c r="C388" s="82"/>
      <c r="D388" s="82"/>
    </row>
    <row r="389">
      <c r="A389" s="82" t="str">
        <f>IFERROR(__xludf.DUMMYFUNCTION("""COMPUTED_VALUE"""),"Otros")</f>
        <v>Otros</v>
      </c>
      <c r="B389" s="82" t="str">
        <f>IFERROR(__xludf.DUMMYFUNCTION("""COMPUTED_VALUE"""),"abs oblicuos + Puente gluteo")</f>
        <v>abs oblicuos + Puente gluteo</v>
      </c>
      <c r="C389" s="82"/>
      <c r="D389" s="82"/>
    </row>
    <row r="390">
      <c r="A390" s="82" t="str">
        <f>IFERROR(__xludf.DUMMYFUNCTION("""COMPUTED_VALUE"""),"Otros")</f>
        <v>Otros</v>
      </c>
      <c r="B390" s="82" t="str">
        <f>IFERROR(__xludf.DUMMYFUNCTION("""COMPUTED_VALUE"""),"Sentadilla goblet")</f>
        <v>Sentadilla goblet</v>
      </c>
      <c r="C390" s="82"/>
      <c r="D390" s="82"/>
    </row>
    <row r="391">
      <c r="A391" s="82" t="str">
        <f>IFERROR(__xludf.DUMMYFUNCTION("""COMPUTED_VALUE"""),"Glúteos")</f>
        <v>Glúteos</v>
      </c>
      <c r="B391" s="82" t="str">
        <f>IFERROR(__xludf.DUMMYFUNCTION("""COMPUTED_VALUE"""),"Sentadillas en smith")</f>
        <v>Sentadillas en smith</v>
      </c>
      <c r="C391" s="82"/>
      <c r="D391" s="82"/>
    </row>
    <row r="392">
      <c r="A392" s="82" t="str">
        <f>IFERROR(__xludf.DUMMYFUNCTION("""COMPUTED_VALUE"""),"Isquios")</f>
        <v>Isquios</v>
      </c>
      <c r="B392" s="82" t="str">
        <f>IFERROR(__xludf.DUMMYFUNCTION("""COMPUTED_VALUE"""),"Peso muerto manc")</f>
        <v>Peso muerto manc</v>
      </c>
      <c r="C392" s="82"/>
      <c r="D392" s="82"/>
    </row>
    <row r="393">
      <c r="A393" s="82" t="str">
        <f>IFERROR(__xludf.DUMMYFUNCTION("""COMPUTED_VALUE"""),"Otros")</f>
        <v>Otros</v>
      </c>
      <c r="B393" s="82" t="str">
        <f>IFERROR(__xludf.DUMMYFUNCTION("""COMPUTED_VALUE"""),"Abductores+ caminata cangrejo")</f>
        <v>Abductores+ caminata cangrejo</v>
      </c>
      <c r="C393" s="82"/>
      <c r="D393" s="82"/>
    </row>
    <row r="394">
      <c r="A394" s="82" t="str">
        <f>IFERROR(__xludf.DUMMYFUNCTION("""COMPUTED_VALUE"""),"Otros")</f>
        <v>Otros</v>
      </c>
      <c r="B394" s="82" t="str">
        <f>IFERROR(__xludf.DUMMYFUNCTION("""COMPUTED_VALUE"""),"Plancha + Plancha 2apoyos")</f>
        <v>Plancha + Plancha 2apoyos</v>
      </c>
      <c r="C394" s="82"/>
      <c r="D394" s="82"/>
    </row>
    <row r="395">
      <c r="A395" s="82" t="str">
        <f>IFERROR(__xludf.DUMMYFUNCTION("""COMPUTED_VALUE"""),"Otros")</f>
        <v>Otros</v>
      </c>
      <c r="B395" s="82" t="str">
        <f>IFERROR(__xludf.DUMMYFUNCTION("""COMPUTED_VALUE"""),"Sentadilla sumo +swing")</f>
        <v>Sentadilla sumo +swing</v>
      </c>
      <c r="C395" s="82"/>
      <c r="D395" s="82"/>
    </row>
    <row r="396">
      <c r="A396" s="82" t="str">
        <f>IFERROR(__xludf.DUMMYFUNCTION("""COMPUTED_VALUE"""),"Isquios")</f>
        <v>Isquios</v>
      </c>
      <c r="B396" s="82" t="str">
        <f>IFERROR(__xludf.DUMMYFUNCTION("""COMPUTED_VALUE"""),"Peso muerto")</f>
        <v>Peso muerto</v>
      </c>
      <c r="C396" s="82"/>
      <c r="D396" s="82"/>
    </row>
    <row r="397">
      <c r="A397" s="82" t="str">
        <f>IFERROR(__xludf.DUMMYFUNCTION("""COMPUTED_VALUE"""),"Cuádriceps")</f>
        <v>Cuádriceps</v>
      </c>
      <c r="B397" s="82" t="str">
        <f>IFERROR(__xludf.DUMMYFUNCTION("""COMPUTED_VALUE"""),"Estocadas en smith")</f>
        <v>Estocadas en smith</v>
      </c>
      <c r="C397" s="82"/>
      <c r="D397" s="82"/>
    </row>
    <row r="398">
      <c r="A398" s="82" t="str">
        <f>IFERROR(__xludf.DUMMYFUNCTION("""COMPUTED_VALUE"""),"Tríceps")</f>
        <v>Tríceps</v>
      </c>
      <c r="B398" s="82" t="str">
        <f>IFERROR(__xludf.DUMMYFUNCTION("""COMPUTED_VALUE"""),"Patada de burro manc")</f>
        <v>Patada de burro manc</v>
      </c>
      <c r="C398" s="82"/>
      <c r="D398" s="82"/>
    </row>
    <row r="399">
      <c r="A399" s="82" t="str">
        <f>IFERROR(__xludf.DUMMYFUNCTION("""COMPUTED_VALUE"""),"Pecho")</f>
        <v>Pecho</v>
      </c>
      <c r="B399" s="82" t="str">
        <f>IFERROR(__xludf.DUMMYFUNCTION("""COMPUTED_VALUE"""),"Press inclinado ")</f>
        <v>Press inclinado </v>
      </c>
      <c r="C399" s="82"/>
      <c r="D399" s="82"/>
    </row>
    <row r="400">
      <c r="A400" s="82" t="str">
        <f>IFERROR(__xludf.DUMMYFUNCTION("""COMPUTED_VALUE"""),"Glúteos")</f>
        <v>Glúteos</v>
      </c>
      <c r="B400" s="82" t="str">
        <f>IFERROR(__xludf.DUMMYFUNCTION("""COMPUTED_VALUE"""),"Sumo en prensa +gemelos")</f>
        <v>Sumo en prensa +gemelos</v>
      </c>
      <c r="C400" s="82"/>
      <c r="D400" s="82"/>
    </row>
    <row r="401">
      <c r="A401" s="82" t="str">
        <f>IFERROR(__xludf.DUMMYFUNCTION("""COMPUTED_VALUE"""),"Hombros")</f>
        <v>Hombros</v>
      </c>
      <c r="B401" s="82" t="str">
        <f>IFERROR(__xludf.DUMMYFUNCTION("""COMPUTED_VALUE"""),"Vuelos posteriores ")</f>
        <v>Vuelos posteriores </v>
      </c>
      <c r="C401" s="82"/>
      <c r="D401" s="82"/>
    </row>
    <row r="402">
      <c r="A402" s="82" t="str">
        <f>IFERROR(__xludf.DUMMYFUNCTION("""COMPUTED_VALUE"""),"Cuádriceps")</f>
        <v>Cuádriceps</v>
      </c>
      <c r="B402" s="82" t="str">
        <f>IFERROR(__xludf.DUMMYFUNCTION("""COMPUTED_VALUE"""),"Silla de cuadriceps")</f>
        <v>Silla de cuadriceps</v>
      </c>
      <c r="C402" s="82"/>
      <c r="D402" s="82"/>
    </row>
    <row r="403">
      <c r="A403" s="82" t="str">
        <f>IFERROR(__xludf.DUMMYFUNCTION("""COMPUTED_VALUE"""),"Glúteos")</f>
        <v>Glúteos</v>
      </c>
      <c r="B403" s="82"/>
      <c r="C403" s="82" t="str">
        <f>IFERROR(__xludf.DUMMYFUNCTION("""COMPUTED_VALUE"""),"Pat..gluteo")</f>
        <v>Pat..gluteo</v>
      </c>
      <c r="D403" s="82"/>
    </row>
    <row r="404">
      <c r="A404" s="82" t="str">
        <f>IFERROR(__xludf.DUMMYFUNCTION("""COMPUTED_VALUE"""),"Otros")</f>
        <v>Otros</v>
      </c>
      <c r="B404" s="82" t="str">
        <f>IFERROR(__xludf.DUMMYFUNCTION("""COMPUTED_VALUE"""),"Circunduccion con baston o banda")</f>
        <v>Circunduccion con baston o banda</v>
      </c>
      <c r="C404" s="82"/>
      <c r="D404" s="82"/>
    </row>
    <row r="405">
      <c r="A405" s="82" t="str">
        <f>IFERROR(__xludf.DUMMYFUNCTION("""COMPUTED_VALUE"""),"Otros")</f>
        <v>Otros</v>
      </c>
      <c r="B405" s="82" t="str">
        <f>IFERROR(__xludf.DUMMYFUNCTION("""COMPUTED_VALUE"""),"Placha toco hombro ")</f>
        <v>Placha toco hombro </v>
      </c>
      <c r="C405" s="82"/>
      <c r="D405" s="82"/>
    </row>
    <row r="406">
      <c r="A406" s="82" t="str">
        <f>IFERROR(__xludf.DUMMYFUNCTION("""COMPUTED_VALUE"""),"Otros")</f>
        <v>Otros</v>
      </c>
      <c r="B406" s="82" t="str">
        <f>IFERROR(__xludf.DUMMYFUNCTION("""COMPUTED_VALUE"""),"Lev piernas juntas + Oblicuos")</f>
        <v>Lev piernas juntas + Oblicuos</v>
      </c>
      <c r="C406" s="82"/>
      <c r="D406" s="82"/>
    </row>
    <row r="407">
      <c r="A407" s="82" t="str">
        <f>IFERROR(__xludf.DUMMYFUNCTION("""COMPUTED_VALUE"""),"Pecho")</f>
        <v>Pecho</v>
      </c>
      <c r="B407" s="82" t="str">
        <f>IFERROR(__xludf.DUMMYFUNCTION("""COMPUTED_VALUE"""),"press inclinado")</f>
        <v>press inclinado</v>
      </c>
      <c r="C407" s="82"/>
      <c r="D407" s="82"/>
    </row>
    <row r="408">
      <c r="A408" s="82" t="str">
        <f>IFERROR(__xludf.DUMMYFUNCTION("""COMPUTED_VALUE"""),"Espalda")</f>
        <v>Espalda</v>
      </c>
      <c r="B408" s="82" t="str">
        <f>IFERROR(__xludf.DUMMYFUNCTION("""COMPUTED_VALUE"""),"Polea dorsal neutra ")</f>
        <v>Polea dorsal neutra </v>
      </c>
      <c r="C408" s="82"/>
      <c r="D408" s="82"/>
    </row>
    <row r="409">
      <c r="A409" s="82" t="str">
        <f>IFERROR(__xludf.DUMMYFUNCTION("""COMPUTED_VALUE"""),"Isquios")</f>
        <v>Isquios</v>
      </c>
      <c r="B409" s="82" t="str">
        <f>IFERROR(__xludf.DUMMYFUNCTION("""COMPUTED_VALUE"""),"Camilla isquios ")</f>
        <v>Camilla isquios </v>
      </c>
      <c r="C409" s="82"/>
      <c r="D409" s="82"/>
    </row>
    <row r="410">
      <c r="A410" s="82" t="str">
        <f>IFERROR(__xludf.DUMMYFUNCTION("""COMPUTED_VALUE"""),"Cuádriceps")</f>
        <v>Cuádriceps</v>
      </c>
      <c r="B410" s="82" t="str">
        <f>IFERROR(__xludf.DUMMYFUNCTION("""COMPUTED_VALUE""")," Estocadas con desplazamiento")</f>
        <v> Estocadas con desplazamiento</v>
      </c>
      <c r="C410" s="82"/>
      <c r="D410" s="82"/>
    </row>
    <row r="411">
      <c r="A411" s="82" t="str">
        <f>IFERROR(__xludf.DUMMYFUNCTION("""COMPUTED_VALUE"""),"Bíceps")</f>
        <v>Bíceps</v>
      </c>
      <c r="B411" s="82" t="str">
        <f>IFERROR(__xludf.DUMMYFUNCTION("""COMPUTED_VALUE"""),"tricep en polea con barra")</f>
        <v>tricep en polea con barra</v>
      </c>
      <c r="C411" s="82"/>
      <c r="D411" s="82"/>
    </row>
    <row r="412">
      <c r="A412" s="82" t="str">
        <f>IFERROR(__xludf.DUMMYFUNCTION("""COMPUTED_VALUE"""),"Bíceps")</f>
        <v>Bíceps</v>
      </c>
      <c r="B412" s="82" t="str">
        <f>IFERROR(__xludf.DUMMYFUNCTION("""COMPUTED_VALUE"""),"Bicep alternado")</f>
        <v>Bicep alternado</v>
      </c>
      <c r="C412" s="82"/>
      <c r="D412" s="82"/>
    </row>
    <row r="413">
      <c r="A413" s="82" t="str">
        <f>IFERROR(__xludf.DUMMYFUNCTION("""COMPUTED_VALUE"""),"Otros")</f>
        <v>Otros</v>
      </c>
      <c r="B413" s="82" t="str">
        <f>IFERROR(__xludf.DUMMYFUNCTION("""COMPUTED_VALUE"""),"Aductores en maquina+pat de gluteo")</f>
        <v>Aductores en maquina+pat de gluteo</v>
      </c>
      <c r="C413" s="82"/>
      <c r="D413" s="82"/>
    </row>
    <row r="414">
      <c r="A414" s="82" t="str">
        <f>IFERROR(__xludf.DUMMYFUNCTION("""COMPUTED_VALUE"""),"Otros")</f>
        <v>Otros</v>
      </c>
      <c r="B414" s="82" t="str">
        <f>IFERROR(__xludf.DUMMYFUNCTION("""COMPUTED_VALUE"""),"Movilidad: Flex extension rodilla")</f>
        <v>Movilidad: Flex extension rodilla</v>
      </c>
      <c r="C414" s="82"/>
      <c r="D414" s="82"/>
    </row>
    <row r="415">
      <c r="A415" s="82" t="str">
        <f>IFERROR(__xludf.DUMMYFUNCTION("""COMPUTED_VALUE"""),"Otros")</f>
        <v>Otros</v>
      </c>
      <c r="B415" s="82" t="str">
        <f>IFERROR(__xludf.DUMMYFUNCTION("""COMPUTED_VALUE"""),"Plancha + Press paloff con rotacion")</f>
        <v>Plancha + Press paloff con rotacion</v>
      </c>
      <c r="C415" s="82"/>
      <c r="D415" s="82"/>
    </row>
    <row r="416">
      <c r="A416" s="82" t="str">
        <f>IFERROR(__xludf.DUMMYFUNCTION("""COMPUTED_VALUE"""),"Otros")</f>
        <v>Otros</v>
      </c>
      <c r="B416" s="82" t="str">
        <f>IFERROR(__xludf.DUMMYFUNCTION("""COMPUTED_VALUE"""),"Patada gluteo pierna extendida")</f>
        <v>Patada gluteo pierna extendida</v>
      </c>
      <c r="C416" s="82"/>
      <c r="D416" s="82"/>
    </row>
    <row r="417">
      <c r="A417" s="82" t="str">
        <f>IFERROR(__xludf.DUMMYFUNCTION("""COMPUTED_VALUE"""),"Cuádriceps")</f>
        <v>Cuádriceps</v>
      </c>
      <c r="B417" s="82" t="str">
        <f>IFERROR(__xludf.DUMMYFUNCTION("""COMPUTED_VALUE"""),"Estocadas atrás en step")</f>
        <v>Estocadas atrás en step</v>
      </c>
      <c r="C417" s="82"/>
      <c r="D417" s="82"/>
    </row>
    <row r="418">
      <c r="A418" s="82" t="str">
        <f>IFERROR(__xludf.DUMMYFUNCTION("""COMPUTED_VALUE"""),"Espalda")</f>
        <v>Espalda</v>
      </c>
      <c r="B418" s="82" t="str">
        <f>IFERROR(__xludf.DUMMYFUNCTION("""COMPUTED_VALUE"""),"Polea dorsal prona")</f>
        <v>Polea dorsal prona</v>
      </c>
      <c r="C418" s="82"/>
      <c r="D418" s="82"/>
    </row>
    <row r="419">
      <c r="A419" s="82" t="str">
        <f>IFERROR(__xludf.DUMMYFUNCTION("""COMPUTED_VALUE"""),"Espalda")</f>
        <v>Espalda</v>
      </c>
      <c r="B419" s="82" t="str">
        <f>IFERROR(__xludf.DUMMYFUNCTION("""COMPUTED_VALUE"""),"Remo a un brazo")</f>
        <v>Remo a un brazo</v>
      </c>
      <c r="C419" s="82"/>
      <c r="D419" s="82"/>
    </row>
    <row r="420">
      <c r="A420" s="82" t="str">
        <f>IFERROR(__xludf.DUMMYFUNCTION("""COMPUTED_VALUE"""),"Cuádriceps")</f>
        <v>Cuádriceps</v>
      </c>
      <c r="B420" s="82" t="str">
        <f>IFERROR(__xludf.DUMMYFUNCTION("""COMPUTED_VALUE"""),"Prensa 45 apoyo inferior")</f>
        <v>Prensa 45 apoyo inferior</v>
      </c>
      <c r="C420" s="82"/>
      <c r="D420" s="82"/>
    </row>
    <row r="421">
      <c r="A421" s="82" t="str">
        <f>IFERROR(__xludf.DUMMYFUNCTION("""COMPUTED_VALUE"""),"Espalda")</f>
        <v>Espalda</v>
      </c>
      <c r="B421" s="82" t="str">
        <f>IFERROR(__xludf.DUMMYFUNCTION("""COMPUTED_VALUE"""),"Remo maquina agarre neutro")</f>
        <v>Remo maquina agarre neutro</v>
      </c>
      <c r="C421" s="82"/>
      <c r="D421" s="82"/>
    </row>
    <row r="422">
      <c r="A422" s="82" t="str">
        <f>IFERROR(__xludf.DUMMYFUNCTION("""COMPUTED_VALUE"""),"Cuádriceps")</f>
        <v>Cuádriceps</v>
      </c>
      <c r="B422" s="82" t="str">
        <f>IFERROR(__xludf.DUMMYFUNCTION("""COMPUTED_VALUE"""),"Silla cuadriceps +  gluteo c/ tobillera")</f>
        <v>Silla cuadriceps +  gluteo c/ tobillera</v>
      </c>
      <c r="C422" s="82"/>
      <c r="D422" s="82"/>
    </row>
    <row r="423">
      <c r="A423" s="82" t="str">
        <f>IFERROR(__xludf.DUMMYFUNCTION("""COMPUTED_VALUE"""),"Otros")</f>
        <v>Otros</v>
      </c>
      <c r="B423" s="82" t="str">
        <f>IFERROR(__xludf.DUMMYFUNCTION("""COMPUTED_VALUE"""),"90/90 de cadera ")</f>
        <v>90/90 de cadera </v>
      </c>
      <c r="C423" s="82"/>
      <c r="D423" s="82"/>
    </row>
    <row r="424">
      <c r="A424" s="82" t="str">
        <f>IFERROR(__xludf.DUMMYFUNCTION("""COMPUTED_VALUE"""),"Otros")</f>
        <v>Otros</v>
      </c>
      <c r="B424" s="82" t="str">
        <f>IFERROR(__xludf.DUMMYFUNCTION("""COMPUTED_VALUE"""),"Remo con banda + crunch corto")</f>
        <v>Remo con banda + crunch corto</v>
      </c>
      <c r="C424" s="82"/>
      <c r="D424" s="82"/>
    </row>
    <row r="425">
      <c r="A425" s="82" t="str">
        <f>IFERROR(__xludf.DUMMYFUNCTION("""COMPUTED_VALUE"""),"Otros")</f>
        <v>Otros</v>
      </c>
      <c r="B425" s="82" t="str">
        <f>IFERROR(__xludf.DUMMYFUNCTION("""COMPUTED_VALUE"""),"puente gluteo con mancuerna")</f>
        <v>puente gluteo con mancuerna</v>
      </c>
      <c r="C425" s="82"/>
      <c r="D425" s="82"/>
    </row>
    <row r="426">
      <c r="A426" s="82" t="str">
        <f>IFERROR(__xludf.DUMMYFUNCTION("""COMPUTED_VALUE"""),"Tríceps")</f>
        <v>Tríceps</v>
      </c>
      <c r="B426" s="82" t="str">
        <f>IFERROR(__xludf.DUMMYFUNCTION("""COMPUTED_VALUE"""),"Tricep trasnuca en polea")</f>
        <v>Tricep trasnuca en polea</v>
      </c>
      <c r="C426" s="82"/>
      <c r="D426" s="82"/>
    </row>
    <row r="427">
      <c r="A427" s="82" t="str">
        <f>IFERROR(__xludf.DUMMYFUNCTION("""COMPUTED_VALUE"""),"Hombros")</f>
        <v>Hombros</v>
      </c>
      <c r="B427" s="82" t="str">
        <f>IFERROR(__xludf.DUMMYFUNCTION("""COMPUTED_VALUE"""),"Press militar +Abducciones")</f>
        <v>Press militar +Abducciones</v>
      </c>
      <c r="C427" s="82"/>
      <c r="D427" s="82"/>
    </row>
    <row r="428">
      <c r="A428" s="82" t="str">
        <f>IFERROR(__xludf.DUMMYFUNCTION("""COMPUTED_VALUE"""),"Glúteos")</f>
        <v>Glúteos</v>
      </c>
      <c r="B428" s="82" t="str">
        <f>IFERROR(__xludf.DUMMYFUNCTION("""COMPUTED_VALUE"""),"Estocadas con desplazamiento ")</f>
        <v>Estocadas con desplazamiento </v>
      </c>
      <c r="C428" s="82"/>
      <c r="D428" s="82"/>
    </row>
    <row r="429">
      <c r="A429" s="82" t="str">
        <f>IFERROR(__xludf.DUMMYFUNCTION("""COMPUTED_VALUE"""),"Isquios")</f>
        <v>Isquios</v>
      </c>
      <c r="B429" s="82" t="str">
        <f>IFERROR(__xludf.DUMMYFUNCTION("""COMPUTED_VALUE"""),"Camilla de isquios")</f>
        <v>Camilla de isquios</v>
      </c>
      <c r="C429" s="82"/>
      <c r="D429" s="82"/>
    </row>
    <row r="430">
      <c r="A430" s="82" t="str">
        <f>IFERROR(__xludf.DUMMYFUNCTION("""COMPUTED_VALUE"""),"Glúteos")</f>
        <v>Glúteos</v>
      </c>
      <c r="B430" s="82" t="str">
        <f>IFERROR(__xludf.DUMMYFUNCTION("""COMPUTED_VALUE"""),"Patada de gluteo en polea ")</f>
        <v>Patada de gluteo en polea </v>
      </c>
      <c r="C430" s="82"/>
      <c r="D430" s="82"/>
    </row>
    <row r="431">
      <c r="A431" s="82" t="str">
        <f>IFERROR(__xludf.DUMMYFUNCTION("""COMPUTED_VALUE"""),"Tríceps")</f>
        <v>Tríceps</v>
      </c>
      <c r="B431" s="82"/>
      <c r="C431" s="82" t="str">
        <f>IFERROR(__xludf.DUMMYFUNCTION("""COMPUTED_VALUE"""),"Vuelos lat + frontales")</f>
        <v>Vuelos lat + frontales</v>
      </c>
      <c r="D431" s="82"/>
    </row>
    <row r="432">
      <c r="A432" s="82" t="str">
        <f>IFERROR(__xludf.DUMMYFUNCTION("""COMPUTED_VALUE"""),"Otros")</f>
        <v>Otros</v>
      </c>
      <c r="B432" s="82" t="str">
        <f>IFERROR(__xludf.DUMMYFUNCTION("""COMPUTED_VALUE"""),"Placha lateral + oblicuos")</f>
        <v>Placha lateral + oblicuos</v>
      </c>
      <c r="C432" s="82"/>
      <c r="D432" s="82"/>
    </row>
    <row r="433">
      <c r="A433" s="82" t="str">
        <f>IFERROR(__xludf.DUMMYFUNCTION("""COMPUTED_VALUE"""),"Otros")</f>
        <v>Otros</v>
      </c>
      <c r="B433" s="82" t="str">
        <f>IFERROR(__xludf.DUMMYFUNCTION("""COMPUTED_VALUE"""),"Abs bisagra +Sentadillas")</f>
        <v>Abs bisagra +Sentadillas</v>
      </c>
      <c r="C433" s="82"/>
      <c r="D433" s="82"/>
    </row>
    <row r="434">
      <c r="A434" s="82" t="str">
        <f>IFERROR(__xludf.DUMMYFUNCTION("""COMPUTED_VALUE"""),"Pecho")</f>
        <v>Pecho</v>
      </c>
      <c r="B434" s="82" t="str">
        <f>IFERROR(__xludf.DUMMYFUNCTION("""COMPUTED_VALUE"""),"press plano + fondo")</f>
        <v>press plano + fondo</v>
      </c>
      <c r="C434" s="82"/>
      <c r="D434" s="82"/>
    </row>
    <row r="435">
      <c r="A435" s="82" t="str">
        <f>IFERROR(__xludf.DUMMYFUNCTION("""COMPUTED_VALUE"""),"Espalda")</f>
        <v>Espalda</v>
      </c>
      <c r="B435" s="82" t="str">
        <f>IFERROR(__xludf.DUMMYFUNCTION("""COMPUTED_VALUE"""),"Polea dorsal supina")</f>
        <v>Polea dorsal supina</v>
      </c>
      <c r="C435" s="82"/>
      <c r="D435" s="82"/>
    </row>
    <row r="436">
      <c r="A436" s="82" t="str">
        <f>IFERROR(__xludf.DUMMYFUNCTION("""COMPUTED_VALUE"""),"Cuádriceps")</f>
        <v>Cuádriceps</v>
      </c>
      <c r="B436" s="82" t="str">
        <f>IFERROR(__xludf.DUMMYFUNCTION("""COMPUTED_VALUE"""),"Estocadas fijas ")</f>
        <v>Estocadas fijas </v>
      </c>
      <c r="C436" s="82"/>
      <c r="D436" s="82"/>
    </row>
    <row r="437">
      <c r="A437" s="82" t="str">
        <f>IFERROR(__xludf.DUMMYFUNCTION("""COMPUTED_VALUE"""),"Otros")</f>
        <v>Otros</v>
      </c>
      <c r="B437" s="82" t="str">
        <f>IFERROR(__xludf.DUMMYFUNCTION("""COMPUTED_VALUE"""),"Aductores maquina")</f>
        <v>Aductores maquina</v>
      </c>
      <c r="C437" s="82"/>
      <c r="D437" s="82"/>
    </row>
    <row r="438">
      <c r="A438" s="82" t="str">
        <f>IFERROR(__xludf.DUMMYFUNCTION("""COMPUTED_VALUE"""),"Tríceps")</f>
        <v>Tríceps</v>
      </c>
      <c r="B438" s="82" t="str">
        <f>IFERROR(__xludf.DUMMYFUNCTION("""COMPUTED_VALUE"""),"Tricep en polea trasnuca")</f>
        <v>Tricep en polea trasnuca</v>
      </c>
      <c r="C438" s="82"/>
      <c r="D438" s="82"/>
    </row>
    <row r="439">
      <c r="A439" s="82" t="str">
        <f>IFERROR(__xludf.DUMMYFUNCTION("""COMPUTED_VALUE"""),"Bíceps")</f>
        <v>Bíceps</v>
      </c>
      <c r="B439" s="82" t="str">
        <f>IFERROR(__xludf.DUMMYFUNCTION("""COMPUTED_VALUE"""),"Subo cajon +Bicep alterno")</f>
        <v>Subo cajon +Bicep alterno</v>
      </c>
      <c r="C439" s="82"/>
      <c r="D439" s="82"/>
    </row>
    <row r="440">
      <c r="A440" s="82" t="str">
        <f>IFERROR(__xludf.DUMMYFUNCTION("""COMPUTED_VALUE"""),"Otros")</f>
        <v>Otros</v>
      </c>
      <c r="B440" s="82" t="str">
        <f>IFERROR(__xludf.DUMMYFUNCTION("""COMPUTED_VALUE"""),"Prensa horizontal")</f>
        <v>Prensa horizontal</v>
      </c>
      <c r="C440" s="82"/>
      <c r="D440" s="82"/>
    </row>
    <row r="441">
      <c r="A441" s="82" t="str">
        <f>IFERROR(__xludf.DUMMYFUNCTION("""COMPUTED_VALUE"""),"Otros")</f>
        <v>Otros</v>
      </c>
      <c r="B441" s="82" t="str">
        <f>IFERROR(__xludf.DUMMYFUNCTION("""COMPUTED_VALUE"""),"Plancha + oblicuo con disco")</f>
        <v>Plancha + oblicuo con disco</v>
      </c>
      <c r="C441" s="82"/>
      <c r="D441" s="82"/>
    </row>
    <row r="442">
      <c r="A442" s="82" t="str">
        <f>IFERROR(__xludf.DUMMYFUNCTION("""COMPUTED_VALUE"""),"Otros")</f>
        <v>Otros</v>
      </c>
      <c r="B442" s="82" t="str">
        <f>IFERROR(__xludf.DUMMYFUNCTION("""COMPUTED_VALUE"""),"Patada gluteo pierna 90")</f>
        <v>Patada gluteo pierna 90</v>
      </c>
      <c r="C442" s="82"/>
      <c r="D442" s="82"/>
    </row>
    <row r="443">
      <c r="A443" s="82" t="str">
        <f>IFERROR(__xludf.DUMMYFUNCTION("""COMPUTED_VALUE"""),"Espalda")</f>
        <v>Espalda</v>
      </c>
      <c r="B443" s="82" t="str">
        <f>IFERROR(__xludf.DUMMYFUNCTION("""COMPUTED_VALUE"""),"Jalon 1 brazo polea")</f>
        <v>Jalon 1 brazo polea</v>
      </c>
      <c r="C443" s="82"/>
      <c r="D443" s="82"/>
    </row>
    <row r="444">
      <c r="A444" s="82" t="str">
        <f>IFERROR(__xludf.DUMMYFUNCTION("""COMPUTED_VALUE"""),"Cuádriceps")</f>
        <v>Cuádriceps</v>
      </c>
      <c r="B444" s="82" t="str">
        <f>IFERROR(__xludf.DUMMYFUNCTION("""COMPUTED_VALUE"""),"Prensa 45 ap inf +gemelo")</f>
        <v>Prensa 45 ap inf +gemelo</v>
      </c>
      <c r="C444" s="82"/>
      <c r="D444" s="82"/>
    </row>
    <row r="445">
      <c r="A445" s="82" t="str">
        <f>IFERROR(__xludf.DUMMYFUNCTION("""COMPUTED_VALUE"""),"Glúteos")</f>
        <v>Glúteos</v>
      </c>
      <c r="B445" s="82" t="str">
        <f>IFERROR(__xludf.DUMMYFUNCTION("""COMPUTED_VALUE"""),"Pat gluteo ")</f>
        <v>Pat gluteo </v>
      </c>
      <c r="C445" s="82"/>
      <c r="D445" s="82"/>
    </row>
    <row r="446">
      <c r="A446" s="82" t="str">
        <f>IFERROR(__xludf.DUMMYFUNCTION("""COMPUTED_VALUE"""),"Cuádriceps")</f>
        <v>Cuádriceps</v>
      </c>
      <c r="B446" s="82" t="str">
        <f>IFERROR(__xludf.DUMMYFUNCTION("""COMPUTED_VALUE"""),"Silla cuadriceps ")</f>
        <v>Silla cuadriceps </v>
      </c>
      <c r="C446" s="82"/>
      <c r="D446" s="82"/>
    </row>
    <row r="447">
      <c r="A447" s="82" t="str">
        <f>IFERROR(__xludf.DUMMYFUNCTION("""COMPUTED_VALUE"""),"Otros")</f>
        <v>Otros</v>
      </c>
      <c r="B447" s="82" t="str">
        <f>IFERROR(__xludf.DUMMYFUNCTION("""COMPUTED_VALUE"""),"plancha t hombro + crunch corto")</f>
        <v>plancha t hombro + crunch corto</v>
      </c>
      <c r="C447" s="82"/>
      <c r="D447" s="82"/>
    </row>
    <row r="448">
      <c r="A448" s="82" t="str">
        <f>IFERROR(__xludf.DUMMYFUNCTION("""COMPUTED_VALUE"""),"Isquios")</f>
        <v>Isquios</v>
      </c>
      <c r="B448" s="82" t="str">
        <f>IFERROR(__xludf.DUMMYFUNCTION("""COMPUTED_VALUE"""),"Camilla de isquios 1pierna")</f>
        <v>Camilla de isquios 1pierna</v>
      </c>
      <c r="C448" s="82"/>
      <c r="D448" s="82"/>
    </row>
    <row r="449">
      <c r="A449" s="82" t="str">
        <f>IFERROR(__xludf.DUMMYFUNCTION("""COMPUTED_VALUE"""),"Pecho")</f>
        <v>Pecho</v>
      </c>
      <c r="B449" s="82" t="str">
        <f>IFERROR(__xludf.DUMMYFUNCTION("""COMPUTED_VALUE"""),"press plano manc")</f>
        <v>press plano manc</v>
      </c>
      <c r="C449" s="82"/>
      <c r="D449" s="82"/>
    </row>
    <row r="450">
      <c r="A450" s="82" t="str">
        <f>IFERROR(__xludf.DUMMYFUNCTION("""COMPUTED_VALUE"""),"Espalda")</f>
        <v>Espalda</v>
      </c>
      <c r="B450" s="82" t="str">
        <f>IFERROR(__xludf.DUMMYFUNCTION("""COMPUTED_VALUE"""),"Polea dorsal supina+ facepull")</f>
        <v>Polea dorsal supina+ facepull</v>
      </c>
      <c r="C450" s="82"/>
      <c r="D450" s="82"/>
    </row>
    <row r="451">
      <c r="A451" s="82" t="str">
        <f>IFERROR(__xludf.DUMMYFUNCTION("""COMPUTED_VALUE"""),"Tríceps")</f>
        <v>Tríceps</v>
      </c>
      <c r="B451" s="82" t="str">
        <f>IFERROR(__xludf.DUMMYFUNCTION("""COMPUTED_VALUE"""),"Tricep en polea ")</f>
        <v>Tricep en polea </v>
      </c>
      <c r="C451" s="82"/>
      <c r="D451" s="82"/>
    </row>
    <row r="452">
      <c r="A452" s="82" t="str">
        <f>IFERROR(__xludf.DUMMYFUNCTION("""COMPUTED_VALUE"""),"Otros")</f>
        <v>Otros</v>
      </c>
      <c r="B452" s="82" t="str">
        <f>IFERROR(__xludf.DUMMYFUNCTION("""COMPUTED_VALUE"""),"Sentadilla isometrica")</f>
        <v>Sentadilla isometrica</v>
      </c>
      <c r="C452" s="82"/>
      <c r="D452" s="82"/>
    </row>
    <row r="453">
      <c r="A453" s="82" t="str">
        <f>IFERROR(__xludf.DUMMYFUNCTION("""COMPUTED_VALUE"""),"Otros")</f>
        <v>Otros</v>
      </c>
      <c r="B453" s="82" t="str">
        <f>IFERROR(__xludf.DUMMYFUNCTION("""COMPUTED_VALUE"""),"Crunch corto +  P Pallof")</f>
        <v>Crunch corto +  P Pallof</v>
      </c>
      <c r="C453" s="82"/>
      <c r="D453" s="82"/>
    </row>
    <row r="454">
      <c r="A454" s="82" t="str">
        <f>IFERROR(__xludf.DUMMYFUNCTION("""COMPUTED_VALUE"""),"Otros")</f>
        <v>Otros</v>
      </c>
      <c r="B454" s="82" t="str">
        <f>IFERROR(__xludf.DUMMYFUNCTION("""COMPUTED_VALUE"""),"Patada gluteo pierna ext")</f>
        <v>Patada gluteo pierna ext</v>
      </c>
      <c r="C454" s="82"/>
      <c r="D454" s="82"/>
    </row>
    <row r="455">
      <c r="A455" s="82" t="str">
        <f>IFERROR(__xludf.DUMMYFUNCTION("""COMPUTED_VALUE"""),"Cuádriceps")</f>
        <v>Cuádriceps</v>
      </c>
      <c r="B455" s="82" t="str">
        <f>IFERROR(__xludf.DUMMYFUNCTION("""COMPUTED_VALUE"""),"Sentadilla goblet con disco")</f>
        <v>Sentadilla goblet con disco</v>
      </c>
      <c r="C455" s="82"/>
      <c r="D455" s="82"/>
    </row>
    <row r="456">
      <c r="A456" s="82" t="str">
        <f>IFERROR(__xludf.DUMMYFUNCTION("""COMPUTED_VALUE"""),"Espalda")</f>
        <v>Espalda</v>
      </c>
      <c r="B456" s="82" t="str">
        <f>IFERROR(__xludf.DUMMYFUNCTION("""COMPUTED_VALUE"""),"Remo un brazo horizontal")</f>
        <v>Remo un brazo horizontal</v>
      </c>
      <c r="C456" s="82"/>
      <c r="D456" s="82"/>
    </row>
    <row r="457">
      <c r="A457" s="82" t="str">
        <f>IFERROR(__xludf.DUMMYFUNCTION("""COMPUTED_VALUE"""),"Glúteos")</f>
        <v>Glúteos</v>
      </c>
      <c r="B457" s="82" t="str">
        <f>IFERROR(__xludf.DUMMYFUNCTION("""COMPUTED_VALUE"""),"Puente gluteos ")</f>
        <v>Puente gluteos </v>
      </c>
      <c r="C457" s="82"/>
      <c r="D457" s="82"/>
    </row>
    <row r="458">
      <c r="A458" s="82" t="str">
        <f>IFERROR(__xludf.DUMMYFUNCTION("""COMPUTED_VALUE"""),"Pantorrillas")</f>
        <v>Pantorrillas</v>
      </c>
      <c r="B458" s="82" t="str">
        <f>IFERROR(__xludf.DUMMYFUNCTION("""COMPUTED_VALUE"""),"Gemelos parado +Silla cuadriceps ")</f>
        <v>Gemelos parado +Silla cuadriceps </v>
      </c>
      <c r="C458" s="82"/>
      <c r="D458" s="82"/>
    </row>
    <row r="459">
      <c r="A459" s="82" t="str">
        <f>IFERROR(__xludf.DUMMYFUNCTION("""COMPUTED_VALUE"""),"Glúteos")</f>
        <v>Glúteos</v>
      </c>
      <c r="B459" s="82" t="str">
        <f>IFERROR(__xludf.DUMMYFUNCTION("""COMPUTED_VALUE"""),"Hip thurts + Abduccion acostado")</f>
        <v>Hip thurts + Abduccion acostado</v>
      </c>
      <c r="C459" s="82"/>
      <c r="D459" s="82"/>
    </row>
    <row r="460">
      <c r="A460" s="82" t="str">
        <f>IFERROR(__xludf.DUMMYFUNCTION("""COMPUTED_VALUE"""),"Isquios")</f>
        <v>Isquios</v>
      </c>
      <c r="B460" s="82" t="str">
        <f>IFERROR(__xludf.DUMMYFUNCTION("""COMPUTED_VALUE"""),"Peso muerto sumo")</f>
        <v>Peso muerto sumo</v>
      </c>
      <c r="C460" s="82"/>
      <c r="D460" s="82"/>
    </row>
    <row r="461">
      <c r="A461" s="82" t="str">
        <f>IFERROR(__xludf.DUMMYFUNCTION("""COMPUTED_VALUE"""),"Pecho")</f>
        <v>Pecho</v>
      </c>
      <c r="B461" s="82" t="str">
        <f>IFERROR(__xludf.DUMMYFUNCTION("""COMPUTED_VALUE"""),"Press plano con manc")</f>
        <v>Press plano con manc</v>
      </c>
      <c r="C461" s="82"/>
      <c r="D461" s="82"/>
    </row>
    <row r="462">
      <c r="A462" s="82" t="str">
        <f>IFERROR(__xludf.DUMMYFUNCTION("""COMPUTED_VALUE"""),"Glúteos")</f>
        <v>Glúteos</v>
      </c>
      <c r="B462" s="82" t="str">
        <f>IFERROR(__xludf.DUMMYFUNCTION("""COMPUTED_VALUE"""),"Estocadas en smith")</f>
        <v>Estocadas en smith</v>
      </c>
      <c r="C462" s="82"/>
      <c r="D462" s="82"/>
    </row>
    <row r="463">
      <c r="A463" s="82" t="str">
        <f>IFERROR(__xludf.DUMMYFUNCTION("""COMPUTED_VALUE"""),"Pecho")</f>
        <v>Pecho</v>
      </c>
      <c r="B463" s="82" t="str">
        <f>IFERROR(__xludf.DUMMYFUNCTION("""COMPUTED_VALUE"""),"Mariposa maquina")</f>
        <v>Mariposa maquina</v>
      </c>
      <c r="C463" s="82"/>
      <c r="D463" s="82"/>
    </row>
    <row r="464">
      <c r="A464" s="82" t="str">
        <f>IFERROR(__xludf.DUMMYFUNCTION("""COMPUTED_VALUE"""),"Tríceps")</f>
        <v>Tríceps</v>
      </c>
      <c r="B464" s="82" t="str">
        <f>IFERROR(__xludf.DUMMYFUNCTION("""COMPUTED_VALUE"""),"trasnuca a 1 brazo")</f>
        <v>trasnuca a 1 brazo</v>
      </c>
      <c r="C464" s="82"/>
      <c r="D464" s="82"/>
    </row>
    <row r="465">
      <c r="A465" s="82" t="str">
        <f>IFERROR(__xludf.DUMMYFUNCTION("""COMPUTED_VALUE"""),"Otros")</f>
        <v>Otros</v>
      </c>
      <c r="B465" s="82" t="str">
        <f>IFERROR(__xludf.DUMMYFUNCTION("""COMPUTED_VALUE"""),"Plancha pasaje+ remo banda")</f>
        <v>Plancha pasaje+ remo banda</v>
      </c>
      <c r="C465" s="82"/>
      <c r="D465" s="82"/>
    </row>
    <row r="466">
      <c r="A466" s="82" t="str">
        <f>IFERROR(__xludf.DUMMYFUNCTION("""COMPUTED_VALUE"""),"Otros")</f>
        <v>Otros</v>
      </c>
      <c r="B466" s="82" t="str">
        <f>IFERROR(__xludf.DUMMYFUNCTION("""COMPUTED_VALUE"""),"Abs bisagra +estocadas")</f>
        <v>Abs bisagra +estocadas</v>
      </c>
      <c r="C466" s="82"/>
      <c r="D466" s="82"/>
    </row>
    <row r="467">
      <c r="A467" s="82" t="str">
        <f>IFERROR(__xludf.DUMMYFUNCTION("""COMPUTED_VALUE"""),"Espalda")</f>
        <v>Espalda</v>
      </c>
      <c r="B467" s="82" t="str">
        <f>IFERROR(__xludf.DUMMYFUNCTION("""COMPUTED_VALUE"""),"Remo barra ")</f>
        <v>Remo barra </v>
      </c>
      <c r="C467" s="82"/>
      <c r="D467" s="82"/>
    </row>
    <row r="468">
      <c r="A468" s="82" t="str">
        <f>IFERROR(__xludf.DUMMYFUNCTION("""COMPUTED_VALUE"""),"Hombros")</f>
        <v>Hombros</v>
      </c>
      <c r="B468" s="82" t="str">
        <f>IFERROR(__xludf.DUMMYFUNCTION("""COMPUTED_VALUE"""),"Remo menton")</f>
        <v>Remo menton</v>
      </c>
      <c r="C468" s="82"/>
      <c r="D468" s="82"/>
    </row>
    <row r="469">
      <c r="A469" s="82" t="str">
        <f>IFERROR(__xludf.DUMMYFUNCTION("""COMPUTED_VALUE"""),"Isquios")</f>
        <v>Isquios</v>
      </c>
      <c r="B469" s="82" t="str">
        <f>IFERROR(__xludf.DUMMYFUNCTION("""COMPUTED_VALUE"""),"Camilla isquios+ peso muerto 1P")</f>
        <v>Camilla isquios+ peso muerto 1P</v>
      </c>
      <c r="C469" s="82"/>
      <c r="D469" s="82"/>
    </row>
    <row r="470">
      <c r="A470" s="82" t="str">
        <f>IFERROR(__xludf.DUMMYFUNCTION("""COMPUTED_VALUE"""),"Tríceps")</f>
        <v>Tríceps</v>
      </c>
      <c r="B470" s="82" t="str">
        <f>IFERROR(__xludf.DUMMYFUNCTION("""COMPUTED_VALUE"""),"Tricep en polea +prensa horizontal")</f>
        <v>Tricep en polea +prensa horizontal</v>
      </c>
      <c r="C470" s="82"/>
      <c r="D470" s="82"/>
    </row>
    <row r="471">
      <c r="A471" s="82" t="str">
        <f>IFERROR(__xludf.DUMMYFUNCTION("""COMPUTED_VALUE"""),"Hombros")</f>
        <v>Hombros</v>
      </c>
      <c r="B471" s="82" t="str">
        <f>IFERROR(__xludf.DUMMYFUNCTION("""COMPUTED_VALUE"""),"Vuelos posteriores")</f>
        <v>Vuelos posteriores</v>
      </c>
      <c r="C471" s="82"/>
      <c r="D471" s="82"/>
    </row>
    <row r="472">
      <c r="A472" s="82" t="str">
        <f>IFERROR(__xludf.DUMMYFUNCTION("""COMPUTED_VALUE"""),"Otros")</f>
        <v>Otros</v>
      </c>
      <c r="B472" s="82" t="str">
        <f>IFERROR(__xludf.DUMMYFUNCTION("""COMPUTED_VALUE"""),"Aerobico O MO")</f>
        <v>Aerobico O MO</v>
      </c>
      <c r="C472" s="82"/>
      <c r="D472" s="82"/>
    </row>
    <row r="473">
      <c r="A473" s="82" t="str">
        <f>IFERROR(__xludf.DUMMYFUNCTION("""COMPUTED_VALUE"""),"Otros")</f>
        <v>Otros</v>
      </c>
      <c r="B473" s="82" t="str">
        <f>IFERROR(__xludf.DUMMYFUNCTION("""COMPUTED_VALUE"""),"Crunch corto +RODILLA AL PECHO")</f>
        <v>Crunch corto +RODILLA AL PECHO</v>
      </c>
      <c r="C473" s="82"/>
      <c r="D473" s="82"/>
    </row>
    <row r="474">
      <c r="A474" s="82" t="str">
        <f>IFERROR(__xludf.DUMMYFUNCTION("""COMPUTED_VALUE"""),"Otros")</f>
        <v>Otros</v>
      </c>
      <c r="B474" s="82" t="str">
        <f>IFERROR(__xludf.DUMMYFUNCTION("""COMPUTED_VALUE"""),"MOVILIDAD HOMBROS")</f>
        <v>MOVILIDAD HOMBROS</v>
      </c>
      <c r="C474" s="82"/>
      <c r="D474" s="82"/>
    </row>
    <row r="475">
      <c r="A475" s="82" t="str">
        <f>IFERROR(__xludf.DUMMYFUNCTION("""COMPUTED_VALUE"""),"Pecho")</f>
        <v>Pecho</v>
      </c>
      <c r="B475" s="82" t="str">
        <f>IFERROR(__xludf.DUMMYFUNCTION("""COMPUTED_VALUE"""),"PRESS INCLINADO MAQUINA")</f>
        <v>PRESS INCLINADO MAQUINA</v>
      </c>
      <c r="C475" s="82"/>
      <c r="D475" s="82"/>
    </row>
    <row r="476">
      <c r="A476" s="82" t="str">
        <f>IFERROR(__xludf.DUMMYFUNCTION("""COMPUTED_VALUE"""),"Cuádriceps")</f>
        <v>Cuádriceps</v>
      </c>
      <c r="B476" s="82" t="str">
        <f>IFERROR(__xludf.DUMMYFUNCTION("""COMPUTED_VALUE"""),"SILLA CUADRICEPS")</f>
        <v>SILLA CUADRICEPS</v>
      </c>
      <c r="C476" s="82"/>
      <c r="D476" s="82"/>
    </row>
    <row r="477">
      <c r="A477" s="82" t="str">
        <f>IFERROR(__xludf.DUMMYFUNCTION("""COMPUTED_VALUE"""),"Tríceps")</f>
        <v>Tríceps</v>
      </c>
      <c r="B477" s="82" t="str">
        <f>IFERROR(__xludf.DUMMYFUNCTION("""COMPUTED_VALUE"""),"TRICEPS EN POLEA TRASNUCA")</f>
        <v>TRICEPS EN POLEA TRASNUCA</v>
      </c>
      <c r="C477" s="82"/>
      <c r="D477" s="82"/>
    </row>
    <row r="478">
      <c r="A478" s="82" t="str">
        <f>IFERROR(__xludf.DUMMYFUNCTION("""COMPUTED_VALUE"""),"Pecho")</f>
        <v>Pecho</v>
      </c>
      <c r="B478" s="82" t="str">
        <f>IFERROR(__xludf.DUMMYFUNCTION("""COMPUTED_VALUE"""),"MARIPOSA")</f>
        <v>MARIPOSA</v>
      </c>
      <c r="C478" s="82"/>
      <c r="D478" s="82"/>
    </row>
    <row r="479">
      <c r="A479" s="82" t="str">
        <f>IFERROR(__xludf.DUMMYFUNCTION("""COMPUTED_VALUE"""),"Hombros")</f>
        <v>Hombros</v>
      </c>
      <c r="B479" s="82" t="str">
        <f>IFERROR(__xludf.DUMMYFUNCTION("""COMPUTED_VALUE"""),"VUELOS LATERALES+FRONTALES")</f>
        <v>VUELOS LATERALES+FRONTALES</v>
      </c>
      <c r="C479" s="82"/>
      <c r="D479" s="82"/>
    </row>
    <row r="480">
      <c r="A480" s="82" t="str">
        <f>IFERROR(__xludf.DUMMYFUNCTION("""COMPUTED_VALUE"""),"Pecho")</f>
        <v>Pecho</v>
      </c>
      <c r="B480" s="82" t="str">
        <f>IFERROR(__xludf.DUMMYFUNCTION("""COMPUTED_VALUE"""),"APERTURAS 45")</f>
        <v>APERTURAS 45</v>
      </c>
      <c r="C480" s="82"/>
      <c r="D480" s="82"/>
    </row>
    <row r="481">
      <c r="A481" s="82" t="str">
        <f>IFERROR(__xludf.DUMMYFUNCTION("""COMPUTED_VALUE"""),"Cuádriceps")</f>
        <v>Cuádriceps</v>
      </c>
      <c r="B481" s="82" t="str">
        <f>IFERROR(__xludf.DUMMYFUNCTION("""COMPUTED_VALUE"""),"PRENSA 45")</f>
        <v>PRENSA 45</v>
      </c>
      <c r="C481" s="82"/>
      <c r="D481" s="82"/>
    </row>
    <row r="482">
      <c r="A482" s="82" t="str">
        <f>IFERROR(__xludf.DUMMYFUNCTION("""COMPUTED_VALUE"""),"Otros")</f>
        <v>Otros</v>
      </c>
      <c r="B482" s="82" t="str">
        <f>IFERROR(__xludf.DUMMYFUNCTION("""COMPUTED_VALUE"""),"Aerobico")</f>
        <v>Aerobico</v>
      </c>
      <c r="C482" s="82"/>
      <c r="D482" s="82"/>
    </row>
    <row r="483">
      <c r="A483" s="82" t="str">
        <f>IFERROR(__xludf.DUMMYFUNCTION("""COMPUTED_VALUE"""),"Otros")</f>
        <v>Otros</v>
      </c>
      <c r="B483" s="82" t="str">
        <f>IFERROR(__xludf.DUMMYFUNCTION("""COMPUTED_VALUE"""),"Plancha +PALOFF CON ROTACION")</f>
        <v>Plancha +PALOFF CON ROTACION</v>
      </c>
      <c r="C483" s="82"/>
      <c r="D483" s="82"/>
    </row>
    <row r="484">
      <c r="A484" s="82" t="str">
        <f>IFERROR(__xludf.DUMMYFUNCTION("""COMPUTED_VALUE"""),"Otros")</f>
        <v>Otros</v>
      </c>
      <c r="B484" s="82" t="str">
        <f>IFERROR(__xludf.DUMMYFUNCTION("""COMPUTED_VALUE"""),"sentadilla +press hombro")</f>
        <v>sentadilla +press hombro</v>
      </c>
      <c r="C484" s="82"/>
      <c r="D484" s="82"/>
    </row>
    <row r="485">
      <c r="A485" s="82" t="str">
        <f>IFERROR(__xludf.DUMMYFUNCTION("""COMPUTED_VALUE"""),"Cuádriceps")</f>
        <v>Cuádriceps</v>
      </c>
      <c r="B485" s="82" t="str">
        <f>IFERROR(__xludf.DUMMYFUNCTION("""COMPUTED_VALUE"""),"PRENSA HORIZONTAL")</f>
        <v>PRENSA HORIZONTAL</v>
      </c>
      <c r="C485" s="82"/>
      <c r="D485" s="82"/>
    </row>
    <row r="486">
      <c r="A486" s="82" t="str">
        <f>IFERROR(__xludf.DUMMYFUNCTION("""COMPUTED_VALUE"""),"Espalda")</f>
        <v>Espalda</v>
      </c>
      <c r="B486" s="82" t="str">
        <f>IFERROR(__xludf.DUMMYFUNCTION("""COMPUTED_VALUE"""),"POLEA DORSAL PRONA")</f>
        <v>POLEA DORSAL PRONA</v>
      </c>
      <c r="C486" s="82"/>
      <c r="D486" s="82"/>
    </row>
    <row r="487">
      <c r="A487" s="82" t="str">
        <f>IFERROR(__xludf.DUMMYFUNCTION("""COMPUTED_VALUE"""),"Isquios")</f>
        <v>Isquios</v>
      </c>
      <c r="B487" s="82" t="str">
        <f>IFERROR(__xludf.DUMMYFUNCTION("""COMPUTED_VALUE"""),"CAMILLA ISQUIOS")</f>
        <v>CAMILLA ISQUIOS</v>
      </c>
      <c r="C487" s="82"/>
      <c r="D487" s="82"/>
    </row>
    <row r="488">
      <c r="A488" s="82" t="str">
        <f>IFERROR(__xludf.DUMMYFUNCTION("""COMPUTED_VALUE"""),"Espalda")</f>
        <v>Espalda</v>
      </c>
      <c r="B488" s="82" t="str">
        <f>IFERROR(__xludf.DUMMYFUNCTION("""COMPUTED_VALUE"""),"JALON DORSAL 1 BRAZO")</f>
        <v>JALON DORSAL 1 BRAZO</v>
      </c>
      <c r="C488" s="82"/>
      <c r="D488" s="82"/>
    </row>
    <row r="489">
      <c r="A489" s="82" t="str">
        <f>IFERROR(__xludf.DUMMYFUNCTION("""COMPUTED_VALUE"""),"Hombros")</f>
        <v>Hombros</v>
      </c>
      <c r="B489" s="82" t="str">
        <f>IFERROR(__xludf.DUMMYFUNCTION("""COMPUTED_VALUE"""),"VUELOS POSTERIORES")</f>
        <v>VUELOS POSTERIORES</v>
      </c>
      <c r="C489" s="82"/>
      <c r="D489" s="82"/>
    </row>
    <row r="490">
      <c r="A490" s="82" t="str">
        <f>IFERROR(__xludf.DUMMYFUNCTION("""COMPUTED_VALUE"""),"Espalda")</f>
        <v>Espalda</v>
      </c>
      <c r="B490" s="82" t="str">
        <f>IFERROR(__xludf.DUMMYFUNCTION("""COMPUTED_VALUE"""),"REMO  MAQUINA AMPLIO ")</f>
        <v>REMO  MAQUINA AMPLIO </v>
      </c>
      <c r="C490" s="82"/>
      <c r="D490" s="82"/>
    </row>
    <row r="491">
      <c r="A491" s="82" t="str">
        <f>IFERROR(__xludf.DUMMYFUNCTION("""COMPUTED_VALUE"""),"Espalda")</f>
        <v>Espalda</v>
      </c>
      <c r="B491" s="82" t="str">
        <f>IFERROR(__xludf.DUMMYFUNCTION("""COMPUTED_VALUE"""),"REMO 1 BRAZO")</f>
        <v>REMO 1 BRAZO</v>
      </c>
      <c r="C491" s="82"/>
      <c r="D491" s="82"/>
    </row>
    <row r="492">
      <c r="A492" s="82" t="str">
        <f>IFERROR(__xludf.DUMMYFUNCTION("""COMPUTED_VALUE"""),"Isquios")</f>
        <v>Isquios</v>
      </c>
      <c r="B492" s="82" t="str">
        <f>IFERROR(__xludf.DUMMYFUNCTION("""COMPUTED_VALUE"""),"ESTOCADAS ATRÁS")</f>
        <v>ESTOCADAS ATRÁS</v>
      </c>
      <c r="C492" s="82"/>
      <c r="D492" s="82"/>
    </row>
    <row r="493">
      <c r="A493" s="82" t="str">
        <f>IFERROR(__xludf.DUMMYFUNCTION("""COMPUTED_VALUE"""),"Otros")</f>
        <v>Otros</v>
      </c>
      <c r="B493" s="82" t="str">
        <f>IFERROR(__xludf.DUMMYFUNCTION("""COMPUTED_VALUE"""),"Bici fija")</f>
        <v>Bici fija</v>
      </c>
      <c r="C493" s="82"/>
      <c r="D493" s="82"/>
    </row>
    <row r="494">
      <c r="A494" s="82" t="str">
        <f>IFERROR(__xludf.DUMMYFUNCTION("""COMPUTED_VALUE"""),"Otros")</f>
        <v>Otros</v>
      </c>
      <c r="B494" s="82" t="str">
        <f>IFERROR(__xludf.DUMMYFUNCTION("""COMPUTED_VALUE"""),"Crunch con disco +TOCO TALON")</f>
        <v>Crunch con disco +TOCO TALON</v>
      </c>
      <c r="C494" s="82"/>
      <c r="D494" s="82"/>
    </row>
    <row r="495">
      <c r="A495" s="82" t="str">
        <f>IFERROR(__xludf.DUMMYFUNCTION("""COMPUTED_VALUE"""),"Otros")</f>
        <v>Otros</v>
      </c>
      <c r="B495" s="82" t="str">
        <f>IFERROR(__xludf.DUMMYFUNCTION("""COMPUTED_VALUE"""),"Flexiones")</f>
        <v>Flexiones</v>
      </c>
      <c r="C495" s="82"/>
      <c r="D495" s="82"/>
    </row>
    <row r="496">
      <c r="A496" s="82" t="str">
        <f>IFERROR(__xludf.DUMMYFUNCTION("""COMPUTED_VALUE"""),"Pecho")</f>
        <v>Pecho</v>
      </c>
      <c r="B496" s="82" t="str">
        <f>IFERROR(__xludf.DUMMYFUNCTION("""COMPUTED_VALUE"""),"PRESS PLANO MANC")</f>
        <v>PRESS PLANO MANC</v>
      </c>
      <c r="C496" s="82"/>
      <c r="D496" s="82"/>
    </row>
    <row r="497">
      <c r="A497" s="82" t="str">
        <f>IFERROR(__xludf.DUMMYFUNCTION("""COMPUTED_VALUE"""),"Glúteos")</f>
        <v>Glúteos</v>
      </c>
      <c r="B497" s="82" t="str">
        <f>IFERROR(__xludf.DUMMYFUNCTION("""COMPUTED_VALUE"""),"PRENSA AP SUPERIOR ")</f>
        <v>PRENSA AP SUPERIOR </v>
      </c>
      <c r="C497" s="82"/>
      <c r="D497" s="82"/>
    </row>
    <row r="498">
      <c r="A498" s="82" t="str">
        <f>IFERROR(__xludf.DUMMYFUNCTION("""COMPUTED_VALUE"""),"Tríceps")</f>
        <v>Tríceps</v>
      </c>
      <c r="B498" s="82" t="str">
        <f>IFERROR(__xludf.DUMMYFUNCTION("""COMPUTED_VALUE"""),"Press frances ")</f>
        <v>Press frances </v>
      </c>
      <c r="C498" s="82"/>
      <c r="D498" s="82"/>
    </row>
    <row r="499">
      <c r="A499" s="82" t="str">
        <f>IFERROR(__xludf.DUMMYFUNCTION("""COMPUTED_VALUE"""),"Cuádriceps")</f>
        <v>Cuádriceps</v>
      </c>
      <c r="B499" s="82" t="str">
        <f>IFERROR(__xludf.DUMMYFUNCTION("""COMPUTED_VALUE"""),"ESTOCADA FIJA EN SMITH")</f>
        <v>ESTOCADA FIJA EN SMITH</v>
      </c>
      <c r="C499" s="82"/>
      <c r="D499" s="82"/>
    </row>
    <row r="500">
      <c r="A500" s="82" t="str">
        <f>IFERROR(__xludf.DUMMYFUNCTION("""COMPUTED_VALUE"""),"Hombros")</f>
        <v>Hombros</v>
      </c>
      <c r="B500" s="82" t="str">
        <f>IFERROR(__xludf.DUMMYFUNCTION("""COMPUTED_VALUE"""),"Press ARNOLD/ VUELOS LATERALES")</f>
        <v>Press ARNOLD/ VUELOS LATERALES</v>
      </c>
      <c r="C500" s="82"/>
      <c r="D500" s="82"/>
    </row>
    <row r="501">
      <c r="A501" s="82" t="str">
        <f>IFERROR(__xludf.DUMMYFUNCTION("""COMPUTED_VALUE"""),"Bíceps")</f>
        <v>Bíceps</v>
      </c>
      <c r="B501" s="82" t="str">
        <f>IFERROR(__xludf.DUMMYFUNCTION("""COMPUTED_VALUE"""),"BICEP BARRA W ")</f>
        <v>BICEP BARRA W </v>
      </c>
      <c r="C501" s="82"/>
      <c r="D501" s="82"/>
    </row>
    <row r="502">
      <c r="A502" s="82" t="str">
        <f>IFERROR(__xludf.DUMMYFUNCTION("""COMPUTED_VALUE"""),"Espalda")</f>
        <v>Espalda</v>
      </c>
      <c r="B502" s="82" t="str">
        <f>IFERROR(__xludf.DUMMYFUNCTION("""COMPUTED_VALUE"""),"JALON BRAZO RECTO POLEA")</f>
        <v>JALON BRAZO RECTO POLEA</v>
      </c>
      <c r="C502" s="82"/>
      <c r="D502" s="82"/>
    </row>
    <row r="503">
      <c r="A503" s="82" t="str">
        <f>IFERROR(__xludf.DUMMYFUNCTION("""COMPUTED_VALUE"""),"Pantorrillas")</f>
        <v>Pantorrillas</v>
      </c>
      <c r="B503" s="82" t="str">
        <f>IFERROR(__xludf.DUMMYFUNCTION("""COMPUTED_VALUE"""),"GEMELOS EN PRENSA 45 ")</f>
        <v>GEMELOS EN PRENSA 45 </v>
      </c>
      <c r="C503" s="82"/>
      <c r="D503" s="82"/>
    </row>
    <row r="504">
      <c r="A504" s="82" t="str">
        <f>IFERROR(__xludf.DUMMYFUNCTION("""COMPUTED_VALUE"""),"Otros")</f>
        <v>Otros</v>
      </c>
      <c r="B504" s="82" t="str">
        <f>IFERROR(__xludf.DUMMYFUNCTION("""COMPUTED_VALUE"""),"apertura con banda+ flexiones")</f>
        <v>apertura con banda+ flexiones</v>
      </c>
      <c r="C504" s="82"/>
      <c r="D504" s="82"/>
    </row>
    <row r="505">
      <c r="A505" s="82" t="str">
        <f>IFERROR(__xludf.DUMMYFUNCTION("""COMPUTED_VALUE"""),"Pecho")</f>
        <v>Pecho</v>
      </c>
      <c r="B505" s="82" t="str">
        <f>IFERROR(__xludf.DUMMYFUNCTION("""COMPUTED_VALUE"""),"APERTURA CON MANCUERNA")</f>
        <v>APERTURA CON MANCUERNA</v>
      </c>
      <c r="C505" s="82"/>
      <c r="D505" s="82"/>
    </row>
    <row r="506">
      <c r="A506" s="82" t="str">
        <f>IFERROR(__xludf.DUMMYFUNCTION("""COMPUTED_VALUE"""),"Tríceps")</f>
        <v>Tríceps</v>
      </c>
      <c r="B506" s="82" t="str">
        <f>IFERROR(__xludf.DUMMYFUNCTION("""COMPUTED_VALUE"""),"PRESS FRANCES BARRA W")</f>
        <v>PRESS FRANCES BARRA W</v>
      </c>
      <c r="C506" s="82"/>
      <c r="D506" s="82"/>
    </row>
    <row r="507">
      <c r="A507" s="82" t="str">
        <f>IFERROR(__xludf.DUMMYFUNCTION("""COMPUTED_VALUE"""),"Pecho")</f>
        <v>Pecho</v>
      </c>
      <c r="B507" s="82" t="str">
        <f>IFERROR(__xludf.DUMMYFUNCTION("""COMPUTED_VALUE"""),"PRESS INCLINADO MANCUERNA")</f>
        <v>PRESS INCLINADO MANCUERNA</v>
      </c>
      <c r="C507" s="82"/>
      <c r="D507" s="82"/>
    </row>
    <row r="508">
      <c r="A508" s="82" t="str">
        <f>IFERROR(__xludf.DUMMYFUNCTION("""COMPUTED_VALUE"""),"Bíceps")</f>
        <v>Bíceps</v>
      </c>
      <c r="B508" s="82" t="str">
        <f>IFERROR(__xludf.DUMMYFUNCTION("""COMPUTED_VALUE"""),"BICEPS ALTERNO EN BANCO 45")</f>
        <v>BICEPS ALTERNO EN BANCO 45</v>
      </c>
      <c r="C508" s="82"/>
      <c r="D508" s="82"/>
    </row>
    <row r="509">
      <c r="A509" s="82" t="str">
        <f>IFERROR(__xludf.DUMMYFUNCTION("""COMPUTED_VALUE"""),"Glúteos")</f>
        <v>Glúteos</v>
      </c>
      <c r="B509" s="82" t="str">
        <f>IFERROR(__xludf.DUMMYFUNCTION("""COMPUTED_VALUE"""),"SUMO EN PRENSA 45")</f>
        <v>SUMO EN PRENSA 45</v>
      </c>
      <c r="C509" s="82"/>
      <c r="D509" s="82"/>
    </row>
    <row r="510">
      <c r="A510" s="82" t="str">
        <f>IFERROR(__xludf.DUMMYFUNCTION("""COMPUTED_VALUE"""),"Cuádriceps")</f>
        <v>Cuádriceps</v>
      </c>
      <c r="B510" s="82" t="str">
        <f>IFERROR(__xludf.DUMMYFUNCTION("""COMPUTED_VALUE"""),"SENTADILLAS EN SMITH")</f>
        <v>SENTADILLAS EN SMITH</v>
      </c>
      <c r="C510" s="82"/>
      <c r="D510" s="82"/>
    </row>
    <row r="511">
      <c r="A511" s="82" t="str">
        <f>IFERROR(__xludf.DUMMYFUNCTION("""COMPUTED_VALUE"""),"Cuádriceps")</f>
        <v>Cuádriceps</v>
      </c>
      <c r="B511" s="82" t="str">
        <f>IFERROR(__xludf.DUMMYFUNCTION("""COMPUTED_VALUE"""),"ESTOCADAS FIJAS ")</f>
        <v>ESTOCADAS FIJAS </v>
      </c>
      <c r="C511" s="82"/>
      <c r="D511" s="82"/>
    </row>
    <row r="512">
      <c r="A512" s="82" t="str">
        <f>IFERROR(__xludf.DUMMYFUNCTION("""COMPUTED_VALUE"""),"Espalda")</f>
        <v>Espalda</v>
      </c>
      <c r="B512" s="82" t="str">
        <f>IFERROR(__xludf.DUMMYFUNCTION("""COMPUTED_VALUE"""),"REMO AGARRE AMPLIO")</f>
        <v>REMO AGARRE AMPLIO</v>
      </c>
      <c r="C512" s="82"/>
      <c r="D512" s="82"/>
    </row>
    <row r="513">
      <c r="A513" s="82" t="str">
        <f>IFERROR(__xludf.DUMMYFUNCTION("""COMPUTED_VALUE"""),"Hombros")</f>
        <v>Hombros</v>
      </c>
      <c r="B513" s="82" t="str">
        <f>IFERROR(__xludf.DUMMYFUNCTION("""COMPUTED_VALUE"""),"VUELOS LATERALES EN POLEA")</f>
        <v>VUELOS LATERALES EN POLEA</v>
      </c>
      <c r="C513" s="82"/>
      <c r="D513" s="82"/>
    </row>
    <row r="514">
      <c r="A514" s="82" t="str">
        <f>IFERROR(__xludf.DUMMYFUNCTION("""COMPUTED_VALUE"""),"Espalda")</f>
        <v>Espalda</v>
      </c>
      <c r="B514" s="82" t="str">
        <f>IFERROR(__xludf.DUMMYFUNCTION("""COMPUTED_VALUE"""),"REMO UN BRAZO")</f>
        <v>REMO UN BRAZO</v>
      </c>
      <c r="C514" s="82"/>
      <c r="D514" s="82"/>
    </row>
    <row r="515">
      <c r="A515" s="82" t="str">
        <f>IFERROR(__xludf.DUMMYFUNCTION("""COMPUTED_VALUE"""),"Bíceps")</f>
        <v>Bíceps</v>
      </c>
      <c r="B515" s="82" t="str">
        <f>IFERROR(__xludf.DUMMYFUNCTION("""COMPUTED_VALUE"""),"BICEP ALTERNO")</f>
        <v>BICEP ALTERNO</v>
      </c>
      <c r="C515" s="82"/>
      <c r="D515" s="82"/>
    </row>
    <row r="516">
      <c r="A516" s="82" t="str">
        <f>IFERROR(__xludf.DUMMYFUNCTION("""COMPUTED_VALUE"""),"Hombros")</f>
        <v>Hombros</v>
      </c>
      <c r="B516" s="82" t="str">
        <f>IFERROR(__xludf.DUMMYFUNCTION("""COMPUTED_VALUE"""),"VUELOS POSTERIORES CON MANC")</f>
        <v>VUELOS POSTERIORES CON MANC</v>
      </c>
      <c r="C516" s="82"/>
      <c r="D516" s="82"/>
    </row>
    <row r="517">
      <c r="A517" s="82" t="str">
        <f>IFERROR(__xludf.DUMMYFUNCTION("""COMPUTED_VALUE"""),"Otros")</f>
        <v>Otros</v>
      </c>
      <c r="B517" s="82" t="str">
        <f>IFERROR(__xludf.DUMMYFUNCTION("""COMPUTED_VALUE"""),"SENTADILLA + PRESS")</f>
        <v>SENTADILLA + PRESS</v>
      </c>
      <c r="C517" s="82"/>
      <c r="D517" s="82"/>
    </row>
    <row r="518">
      <c r="A518" s="82" t="str">
        <f>IFERROR(__xludf.DUMMYFUNCTION("""COMPUTED_VALUE"""),"Tríceps")</f>
        <v>Tríceps</v>
      </c>
      <c r="B518" s="82" t="str">
        <f>IFERROR(__xludf.DUMMYFUNCTION("""COMPUTED_VALUE"""),"EXTENCION A 1 BRAZO EN POLEA")</f>
        <v>EXTENCION A 1 BRAZO EN POLEA</v>
      </c>
      <c r="C518" s="82"/>
      <c r="D518" s="82"/>
    </row>
    <row r="519">
      <c r="A519" s="82" t="str">
        <f>IFERROR(__xludf.DUMMYFUNCTION("""COMPUTED_VALUE"""),"Hombros")</f>
        <v>Hombros</v>
      </c>
      <c r="B519" s="82" t="str">
        <f>IFERROR(__xludf.DUMMYFUNCTION("""COMPUTED_VALUE"""),"Press ARNOLD")</f>
        <v>Press ARNOLD</v>
      </c>
      <c r="C519" s="82"/>
      <c r="D519" s="82"/>
    </row>
    <row r="520">
      <c r="A520" s="82" t="str">
        <f>IFERROR(__xludf.DUMMYFUNCTION("""COMPUTED_VALUE"""),"Isquios")</f>
        <v>Isquios</v>
      </c>
      <c r="B520" s="82" t="str">
        <f>IFERROR(__xludf.DUMMYFUNCTION("""COMPUTED_VALUE"""),"CAMILLA ISQUIOS UNILATERAL")</f>
        <v>CAMILLA ISQUIOS UNILATERAL</v>
      </c>
      <c r="C520" s="82"/>
      <c r="D520" s="82"/>
    </row>
    <row r="521">
      <c r="A521" s="82" t="str">
        <f>IFERROR(__xludf.DUMMYFUNCTION("""COMPUTED_VALUE"""),"Bíceps")</f>
        <v>Bíceps</v>
      </c>
      <c r="B521" s="82" t="str">
        <f>IFERROR(__xludf.DUMMYFUNCTION("""COMPUTED_VALUE"""),"BICEP CONCENTRADO EN SCOT")</f>
        <v>BICEP CONCENTRADO EN SCOT</v>
      </c>
      <c r="C521" s="82"/>
      <c r="D521" s="82"/>
    </row>
    <row r="522">
      <c r="A522" s="82" t="str">
        <f>IFERROR(__xludf.DUMMYFUNCTION("""COMPUTED_VALUE"""),"Pantorrillas")</f>
        <v>Pantorrillas</v>
      </c>
      <c r="B522" s="82" t="str">
        <f>IFERROR(__xludf.DUMMYFUNCTION("""COMPUTED_VALUE"""),"PRENSA 45+GEMELOS")</f>
        <v>PRENSA 45+GEMELOS</v>
      </c>
      <c r="C522" s="82"/>
      <c r="D522" s="82"/>
    </row>
    <row r="523">
      <c r="A523" s="82" t="str">
        <f>IFERROR(__xludf.DUMMYFUNCTION("""COMPUTED_VALUE"""),"Glúteos")</f>
        <v>Glúteos</v>
      </c>
      <c r="B523" s="82" t="str">
        <f>IFERROR(__xludf.DUMMYFUNCTION("""COMPUTED_VALUE"""),"Bulgaras en smith")</f>
        <v>Bulgaras en smith</v>
      </c>
      <c r="C523" s="82"/>
      <c r="D523" s="82"/>
    </row>
    <row r="524">
      <c r="A524" s="82" t="str">
        <f>IFERROR(__xludf.DUMMYFUNCTION("""COMPUTED_VALUE"""),"Isquios")</f>
        <v>Isquios</v>
      </c>
      <c r="B524" s="82" t="str">
        <f>IFERROR(__xludf.DUMMYFUNCTION("""COMPUTED_VALUE"""),"Peso muerto barra")</f>
        <v>Peso muerto barra</v>
      </c>
      <c r="C524" s="82"/>
      <c r="D524" s="82"/>
    </row>
    <row r="525">
      <c r="A525" s="82" t="str">
        <f>IFERROR(__xludf.DUMMYFUNCTION("""COMPUTED_VALUE"""),"Glúteos")</f>
        <v>Glúteos</v>
      </c>
      <c r="B525" s="82" t="str">
        <f>IFERROR(__xludf.DUMMYFUNCTION("""COMPUTED_VALUE"""),"Estocadas con desplazamiento")</f>
        <v>Estocadas con desplazamiento</v>
      </c>
      <c r="C525" s="82"/>
      <c r="D525" s="82"/>
    </row>
    <row r="526">
      <c r="A526" s="82" t="str">
        <f>IFERROR(__xludf.DUMMYFUNCTION("""COMPUTED_VALUE"""),"Glúteos")</f>
        <v>Glúteos</v>
      </c>
      <c r="B526" s="82" t="str">
        <f>IFERROR(__xludf.DUMMYFUNCTION("""COMPUTED_VALUE"""),"Patada gluteo en banco")</f>
        <v>Patada gluteo en banco</v>
      </c>
      <c r="C526" s="82"/>
      <c r="D526" s="82"/>
    </row>
    <row r="527">
      <c r="A527" s="82" t="str">
        <f>IFERROR(__xludf.DUMMYFUNCTION("""COMPUTED_VALUE"""),"Glúteos")</f>
        <v>Glúteos</v>
      </c>
      <c r="B527" s="82" t="str">
        <f>IFERROR(__xludf.DUMMYFUNCTION("""COMPUTED_VALUE"""),"Hip thurst 1p")</f>
        <v>Hip thurst 1p</v>
      </c>
      <c r="C527" s="82"/>
      <c r="D527" s="82"/>
    </row>
    <row r="528">
      <c r="A528" s="82" t="str">
        <f>IFERROR(__xludf.DUMMYFUNCTION("""COMPUTED_VALUE"""),"Otros")</f>
        <v>Otros</v>
      </c>
      <c r="B528" s="82" t="str">
        <f>IFERROR(__xludf.DUMMYFUNCTION("""COMPUTED_VALUE"""),"Plancha + Plancha lateral")</f>
        <v>Plancha + Plancha lateral</v>
      </c>
      <c r="C528" s="82"/>
      <c r="D528" s="82"/>
    </row>
    <row r="529">
      <c r="A529" s="82" t="str">
        <f>IFERROR(__xludf.DUMMYFUNCTION("""COMPUTED_VALUE"""),"Cuádriceps")</f>
        <v>Cuádriceps</v>
      </c>
      <c r="B529" s="82" t="str">
        <f>IFERROR(__xludf.DUMMYFUNCTION("""COMPUTED_VALUE"""),"Estocada en smith")</f>
        <v>Estocada en smith</v>
      </c>
      <c r="C529" s="82"/>
      <c r="D529" s="82"/>
    </row>
    <row r="530">
      <c r="A530" s="82" t="str">
        <f>IFERROR(__xludf.DUMMYFUNCTION("""COMPUTED_VALUE"""),"Cuádriceps")</f>
        <v>Cuádriceps</v>
      </c>
      <c r="B530" s="82" t="str">
        <f>IFERROR(__xludf.DUMMYFUNCTION("""COMPUTED_VALUE"""),"Prensa 45  ap inferior")</f>
        <v>Prensa 45  ap inferior</v>
      </c>
      <c r="C530" s="82"/>
      <c r="D530" s="82"/>
    </row>
    <row r="531">
      <c r="A531" s="82" t="str">
        <f>IFERROR(__xludf.DUMMYFUNCTION("""COMPUTED_VALUE"""),"Espalda")</f>
        <v>Espalda</v>
      </c>
      <c r="B531" s="82" t="str">
        <f>IFERROR(__xludf.DUMMYFUNCTION("""COMPUTED_VALUE"""),"Remo maquina ")</f>
        <v>Remo maquina </v>
      </c>
      <c r="C531" s="82"/>
      <c r="D531" s="82"/>
    </row>
    <row r="532">
      <c r="A532" s="82" t="str">
        <f>IFERROR(__xludf.DUMMYFUNCTION("""COMPUTED_VALUE"""),"Tríceps")</f>
        <v>Tríceps</v>
      </c>
      <c r="B532" s="82"/>
      <c r="C532" s="82" t="str">
        <f>IFERROR(__xludf.DUMMYFUNCTION("""COMPUTED_VALUE"""),"Copa trasnuca")</f>
        <v>Copa trasnuca</v>
      </c>
      <c r="D532" s="82"/>
    </row>
    <row r="533">
      <c r="A533" s="82" t="str">
        <f>IFERROR(__xludf.DUMMYFUNCTION("""COMPUTED_VALUE"""),"Otros")</f>
        <v>Otros</v>
      </c>
      <c r="B533" s="82" t="str">
        <f>IFERROR(__xludf.DUMMYFUNCTION("""COMPUTED_VALUE"""),"Bisagra de cadera")</f>
        <v>Bisagra de cadera</v>
      </c>
      <c r="C533" s="82"/>
      <c r="D533" s="82"/>
    </row>
    <row r="534">
      <c r="A534" s="82" t="str">
        <f>IFERROR(__xludf.DUMMYFUNCTION("""COMPUTED_VALUE"""),"Otros")</f>
        <v>Otros</v>
      </c>
      <c r="B534" s="82" t="str">
        <f>IFERROR(__xludf.DUMMYFUNCTION("""COMPUTED_VALUE"""),"Crunch con disco + escalador")</f>
        <v>Crunch con disco + escalador</v>
      </c>
      <c r="C534" s="82"/>
      <c r="D534" s="82"/>
    </row>
    <row r="535">
      <c r="A535" s="82" t="str">
        <f>IFERROR(__xludf.DUMMYFUNCTION("""COMPUTED_VALUE"""),"Otros")</f>
        <v>Otros</v>
      </c>
      <c r="B535" s="82" t="str">
        <f>IFERROR(__xludf.DUMMYFUNCTION("""COMPUTED_VALUE"""),"Lev piernas + sentadillas")</f>
        <v>Lev piernas + sentadillas</v>
      </c>
      <c r="C535" s="82"/>
      <c r="D535" s="82"/>
    </row>
    <row r="536">
      <c r="A536" s="82" t="str">
        <f>IFERROR(__xludf.DUMMYFUNCTION("""COMPUTED_VALUE"""),"Cuádriceps")</f>
        <v>Cuádriceps</v>
      </c>
      <c r="B536" s="82" t="str">
        <f>IFERROR(__xludf.DUMMYFUNCTION("""COMPUTED_VALUE"""),"ADUCTORES EN POLEA ")</f>
        <v>ADUCTORES EN POLEA </v>
      </c>
      <c r="C536" s="82"/>
      <c r="D536" s="82"/>
    </row>
    <row r="537">
      <c r="A537" s="82" t="str">
        <f>IFERROR(__xludf.DUMMYFUNCTION("""COMPUTED_VALUE"""),"Tríceps")</f>
        <v>Tríceps</v>
      </c>
      <c r="B537" s="82" t="str">
        <f>IFERROR(__xludf.DUMMYFUNCTION("""COMPUTED_VALUE"""),"Press frances con mancuerna")</f>
        <v>Press frances con mancuerna</v>
      </c>
      <c r="C537" s="82"/>
      <c r="D537" s="82"/>
    </row>
    <row r="538">
      <c r="A538" s="82" t="str">
        <f>IFERROR(__xludf.DUMMYFUNCTION("""COMPUTED_VALUE"""),"Isquios")</f>
        <v>Isquios</v>
      </c>
      <c r="B538" s="82" t="str">
        <f>IFERROR(__xludf.DUMMYFUNCTION("""COMPUTED_VALUE""")," Estocadas atrás con deficit")</f>
        <v> Estocadas atrás con deficit</v>
      </c>
      <c r="C538" s="82"/>
      <c r="D538" s="82"/>
    </row>
    <row r="539">
      <c r="A539" s="82" t="str">
        <f>IFERROR(__xludf.DUMMYFUNCTION("""COMPUTED_VALUE"""),"Hombros")</f>
        <v>Hombros</v>
      </c>
      <c r="B539" s="82" t="str">
        <f>IFERROR(__xludf.DUMMYFUNCTION("""COMPUTED_VALUE"""),"Press hombro sentado")</f>
        <v>Press hombro sentado</v>
      </c>
      <c r="C539" s="82"/>
      <c r="D539" s="82"/>
    </row>
    <row r="540">
      <c r="A540" s="82" t="str">
        <f>IFERROR(__xludf.DUMMYFUNCTION("""COMPUTED_VALUE"""),"Bíceps")</f>
        <v>Bíceps</v>
      </c>
      <c r="B540" s="82" t="str">
        <f>IFERROR(__xludf.DUMMYFUNCTION("""COMPUTED_VALUE"""),"Bicep alternado+ pat gluteo")</f>
        <v>Bicep alternado+ pat gluteo</v>
      </c>
      <c r="C540" s="82"/>
      <c r="D540" s="82"/>
    </row>
    <row r="541">
      <c r="A541" s="82" t="str">
        <f>IFERROR(__xludf.DUMMYFUNCTION("""COMPUTED_VALUE"""),"Pantorrillas")</f>
        <v>Pantorrillas</v>
      </c>
      <c r="B541" s="82" t="str">
        <f>IFERROR(__xludf.DUMMYFUNCTION("""COMPUTED_VALUE"""),"Gemelos en prensa/smith")</f>
        <v>Gemelos en prensa/smith</v>
      </c>
      <c r="C541" s="82"/>
      <c r="D541" s="82"/>
    </row>
    <row r="542">
      <c r="A542" s="82" t="str">
        <f>IFERROR(__xludf.DUMMYFUNCTION("""COMPUTED_VALUE"""),"Otros")</f>
        <v>Otros</v>
      </c>
      <c r="B542" s="82" t="str">
        <f>IFERROR(__xludf.DUMMYFUNCTION("""COMPUTED_VALUE"""),"Mov: PSOAS + 90/90+RODILLAS")</f>
        <v>Mov: PSOAS + 90/90+RODILLAS</v>
      </c>
      <c r="C542" s="82"/>
      <c r="D542" s="82"/>
    </row>
    <row r="543">
      <c r="A543" s="82" t="str">
        <f>IFERROR(__xludf.DUMMYFUNCTION("""COMPUTED_VALUE"""),"Otros")</f>
        <v>Otros</v>
      </c>
      <c r="B543" s="82" t="str">
        <f>IFERROR(__xludf.DUMMYFUNCTION("""COMPUTED_VALUE"""),"CRUNCH COMPLETO + PLANCHA")</f>
        <v>CRUNCH COMPLETO + PLANCHA</v>
      </c>
      <c r="C543" s="82"/>
      <c r="D543" s="82"/>
    </row>
    <row r="544">
      <c r="A544" s="82" t="str">
        <f>IFERROR(__xludf.DUMMYFUNCTION("""COMPUTED_VALUE"""),"Otros")</f>
        <v>Otros</v>
      </c>
      <c r="B544" s="82" t="str">
        <f>IFERROR(__xludf.DUMMYFUNCTION("""COMPUTED_VALUE"""),"PUENTE GLUTEO +SENTADILA ")</f>
        <v>PUENTE GLUTEO +SENTADILA </v>
      </c>
      <c r="C544" s="82"/>
      <c r="D544" s="82"/>
    </row>
    <row r="545">
      <c r="A545" s="82" t="str">
        <f>IFERROR(__xludf.DUMMYFUNCTION("""COMPUTED_VALUE"""),"Cuádriceps")</f>
        <v>Cuádriceps</v>
      </c>
      <c r="B545" s="82" t="str">
        <f>IFERROR(__xludf.DUMMYFUNCTION("""COMPUTED_VALUE"""),"SENTADILLA SMITH")</f>
        <v>SENTADILLA SMITH</v>
      </c>
      <c r="C545" s="82"/>
      <c r="D545" s="82"/>
    </row>
    <row r="546">
      <c r="A546" s="82" t="str">
        <f>IFERROR(__xludf.DUMMYFUNCTION("""COMPUTED_VALUE"""),"Cuádriceps")</f>
        <v>Cuádriceps</v>
      </c>
      <c r="B546" s="82" t="str">
        <f>IFERROR(__xludf.DUMMYFUNCTION("""COMPUTED_VALUE"""),"SILLA CUADRICEPS ")</f>
        <v>SILLA CUADRICEPS </v>
      </c>
      <c r="C546" s="82"/>
      <c r="D546" s="82"/>
    </row>
    <row r="547">
      <c r="A547" s="82" t="str">
        <f>IFERROR(__xludf.DUMMYFUNCTION("""COMPUTED_VALUE"""),"Espalda")</f>
        <v>Espalda</v>
      </c>
      <c r="B547" s="82" t="str">
        <f>IFERROR(__xludf.DUMMYFUNCTION("""COMPUTED_VALUE"""),"Remo agarre amplio")</f>
        <v>Remo agarre amplio</v>
      </c>
      <c r="C547" s="82"/>
      <c r="D547" s="82"/>
    </row>
    <row r="548">
      <c r="A548" s="82" t="str">
        <f>IFERROR(__xludf.DUMMYFUNCTION("""COMPUTED_VALUE"""),"Glúteos")</f>
        <v>Glúteos</v>
      </c>
      <c r="B548" s="82" t="str">
        <f>IFERROR(__xludf.DUMMYFUNCTION("""COMPUTED_VALUE"""),"PRENSA 45 SUPERIOR ")</f>
        <v>PRENSA 45 SUPERIOR </v>
      </c>
      <c r="C548" s="82"/>
      <c r="D548" s="82"/>
    </row>
    <row r="549">
      <c r="A549" s="82" t="str">
        <f>IFERROR(__xludf.DUMMYFUNCTION("""COMPUTED_VALUE"""),"Glúteos")</f>
        <v>Glúteos</v>
      </c>
      <c r="B549" s="82" t="str">
        <f>IFERROR(__xludf.DUMMYFUNCTION("""COMPUTED_VALUE"""),"PATADA DE GLUTEOS  POLEA ")</f>
        <v>PATADA DE GLUTEOS  POLEA </v>
      </c>
      <c r="C549" s="82"/>
      <c r="D549" s="82"/>
    </row>
    <row r="550">
      <c r="A550" s="82" t="str">
        <f>IFERROR(__xludf.DUMMYFUNCTION("""COMPUTED_VALUE"""),"Hombros")</f>
        <v>Hombros</v>
      </c>
      <c r="B550" s="82" t="str">
        <f>IFERROR(__xludf.DUMMYFUNCTION("""COMPUTED_VALUE"""),"FACE PULL")</f>
        <v>FACE PULL</v>
      </c>
      <c r="C550" s="82"/>
      <c r="D550" s="82"/>
    </row>
    <row r="551">
      <c r="A551" s="82" t="str">
        <f>IFERROR(__xludf.DUMMYFUNCTION("""COMPUTED_VALUE"""),"Otros")</f>
        <v>Otros</v>
      </c>
      <c r="B551" s="82" t="str">
        <f>IFERROR(__xludf.DUMMYFUNCTION("""COMPUTED_VALUE"""),"PSOAS, DORSAL , HOMBROS")</f>
        <v>PSOAS, DORSAL , HOMBROS</v>
      </c>
      <c r="C551" s="82"/>
      <c r="D551" s="82"/>
    </row>
    <row r="552">
      <c r="A552" s="82" t="str">
        <f>IFERROR(__xludf.DUMMYFUNCTION("""COMPUTED_VALUE"""),"Otros")</f>
        <v>Otros</v>
      </c>
      <c r="B552" s="82" t="str">
        <f>IFERROR(__xludf.DUMMYFUNCTION("""COMPUTED_VALUE"""),"plancha lateral+ oblicuos")</f>
        <v>plancha lateral+ oblicuos</v>
      </c>
      <c r="C552" s="82"/>
      <c r="D552" s="82"/>
    </row>
    <row r="553">
      <c r="A553" s="82" t="str">
        <f>IFERROR(__xludf.DUMMYFUNCTION("""COMPUTED_VALUE"""),"Otros")</f>
        <v>Otros</v>
      </c>
      <c r="B553" s="82" t="str">
        <f>IFERROR(__xludf.DUMMYFUNCTION("""COMPUTED_VALUE"""),"PUENTE GLUTEO +PESO M 1PIERNA")</f>
        <v>PUENTE GLUTEO +PESO M 1PIERNA</v>
      </c>
      <c r="C553" s="82"/>
      <c r="D553" s="82"/>
    </row>
    <row r="554">
      <c r="A554" s="82" t="str">
        <f>IFERROR(__xludf.DUMMYFUNCTION("""COMPUTED_VALUE"""),"Isquios")</f>
        <v>Isquios</v>
      </c>
      <c r="B554" s="82" t="str">
        <f>IFERROR(__xludf.DUMMYFUNCTION("""COMPUTED_VALUE"""),"PESO MUERTO ")</f>
        <v>PESO MUERTO </v>
      </c>
      <c r="C554" s="82"/>
      <c r="D554" s="82"/>
    </row>
    <row r="555">
      <c r="A555" s="82" t="str">
        <f>IFERROR(__xludf.DUMMYFUNCTION("""COMPUTED_VALUE"""),"Pecho")</f>
        <v>Pecho</v>
      </c>
      <c r="B555" s="82" t="str">
        <f>IFERROR(__xludf.DUMMYFUNCTION("""COMPUTED_VALUE"""),"PRESS INCLINADO maquina")</f>
        <v>PRESS INCLINADO maquina</v>
      </c>
      <c r="C555" s="82"/>
      <c r="D555" s="82"/>
    </row>
    <row r="556">
      <c r="A556" s="82" t="str">
        <f>IFERROR(__xludf.DUMMYFUNCTION("""COMPUTED_VALUE"""),"Tríceps")</f>
        <v>Tríceps</v>
      </c>
      <c r="B556" s="82" t="str">
        <f>IFERROR(__xludf.DUMMYFUNCTION("""COMPUTED_VALUE"""),"PRESS FRANCES MANCUERNA")</f>
        <v>PRESS FRANCES MANCUERNA</v>
      </c>
      <c r="C556" s="82"/>
      <c r="D556" s="82"/>
    </row>
    <row r="557">
      <c r="A557" s="82" t="str">
        <f>IFERROR(__xludf.DUMMYFUNCTION("""COMPUTED_VALUE"""),"Isquios")</f>
        <v>Isquios</v>
      </c>
      <c r="B557" s="82" t="str">
        <f>IFERROR(__xludf.DUMMYFUNCTION("""COMPUTED_VALUE"""),"CAMILLA ISQUIOS +10"" ISO")</f>
        <v>CAMILLA ISQUIOS +10" ISO</v>
      </c>
      <c r="C557" s="82"/>
      <c r="D557" s="82"/>
    </row>
    <row r="558">
      <c r="A558" s="82" t="str">
        <f>IFERROR(__xludf.DUMMYFUNCTION("""COMPUTED_VALUE"""),"otros")</f>
        <v>otros</v>
      </c>
      <c r="B558" s="82" t="str">
        <f>IFERROR(__xludf.DUMMYFUNCTION("""COMPUTED_VALUE"""),"ADUCTORES SENTADO")</f>
        <v>ADUCTORES SENTADO</v>
      </c>
      <c r="C558" s="82"/>
      <c r="D558" s="82"/>
    </row>
    <row r="559">
      <c r="A559" s="82" t="str">
        <f>IFERROR(__xludf.DUMMYFUNCTION("""COMPUTED_VALUE"""),"Glúteos")</f>
        <v>Glúteos</v>
      </c>
      <c r="B559" s="82" t="str">
        <f>IFERROR(__xludf.DUMMYFUNCTION("""COMPUTED_VALUE"""),"ABDUCTORES EN POLEA ")</f>
        <v>ABDUCTORES EN POLEA </v>
      </c>
      <c r="C559" s="82"/>
      <c r="D559" s="82"/>
    </row>
    <row r="560">
      <c r="A560" s="82" t="str">
        <f>IFERROR(__xludf.DUMMYFUNCTION("""COMPUTED_VALUE"""),"Tríceps")</f>
        <v>Tríceps</v>
      </c>
      <c r="B560" s="82" t="str">
        <f>IFERROR(__xludf.DUMMYFUNCTION("""COMPUTED_VALUE"""),"TRICEP EN POLEA CON SOGA ")</f>
        <v>TRICEP EN POLEA CON SOGA </v>
      </c>
      <c r="C560" s="82"/>
      <c r="D560" s="82"/>
    </row>
    <row r="561">
      <c r="A561" s="82" t="str">
        <f>IFERROR(__xludf.DUMMYFUNCTION("""COMPUTED_VALUE"""),"Pecho")</f>
        <v>Pecho</v>
      </c>
      <c r="B561" s="82" t="str">
        <f>IFERROR(__xludf.DUMMYFUNCTION("""COMPUTED_VALUE"""),"Press plano con barra")</f>
        <v>Press plano con barra</v>
      </c>
      <c r="C561" s="82"/>
      <c r="D561" s="82"/>
    </row>
    <row r="562">
      <c r="A562" s="82" t="str">
        <f>IFERROR(__xludf.DUMMYFUNCTION("""COMPUTED_VALUE"""),"Pecho")</f>
        <v>Pecho</v>
      </c>
      <c r="B562" s="82" t="str">
        <f>IFERROR(__xludf.DUMMYFUNCTION("""COMPUTED_VALUE"""),"MARIPOSA ")</f>
        <v>MARIPOSA </v>
      </c>
      <c r="C562" s="82"/>
      <c r="D562" s="82"/>
    </row>
    <row r="563">
      <c r="A563" s="82" t="str">
        <f>IFERROR(__xludf.DUMMYFUNCTION("""COMPUTED_VALUE"""),"Espalda")</f>
        <v>Espalda</v>
      </c>
      <c r="B563" s="82" t="str">
        <f>IFERROR(__xludf.DUMMYFUNCTION("""COMPUTED_VALUE"""),"Jalon 1 brazo en dorsalera")</f>
        <v>Jalon 1 brazo en dorsalera</v>
      </c>
      <c r="C563" s="82"/>
      <c r="D563" s="82"/>
    </row>
    <row r="564">
      <c r="A564" s="82" t="str">
        <f>IFERROR(__xludf.DUMMYFUNCTION("""COMPUTED_VALUE"""),"Tríceps")</f>
        <v>Tríceps</v>
      </c>
      <c r="B564" s="82" t="str">
        <f>IFERROR(__xludf.DUMMYFUNCTION("""COMPUTED_VALUE"""),"TRICEP TRASNUCA EN POLEA")</f>
        <v>TRICEP TRASNUCA EN POLEA</v>
      </c>
      <c r="C564" s="82"/>
      <c r="D564" s="82"/>
    </row>
    <row r="565">
      <c r="A565" s="82" t="str">
        <f>IFERROR(__xludf.DUMMYFUNCTION("""COMPUTED_VALUE"""),"Bíceps")</f>
        <v>Bíceps</v>
      </c>
      <c r="B565" s="82" t="str">
        <f>IFERROR(__xludf.DUMMYFUNCTION("""COMPUTED_VALUE"""),"BICEP ALTERNO MANC")</f>
        <v>BICEP ALTERNO MANC</v>
      </c>
      <c r="C565" s="82"/>
      <c r="D565" s="82"/>
    </row>
    <row r="566">
      <c r="A566" s="82" t="str">
        <f>IFERROR(__xludf.DUMMYFUNCTION("""COMPUTED_VALUE"""),"Otros")</f>
        <v>Otros</v>
      </c>
      <c r="B566" s="82" t="str">
        <f>IFERROR(__xludf.DUMMYFUNCTION("""COMPUTED_VALUE"""),"plancha codo mano+ crunch")</f>
        <v>plancha codo mano+ crunch</v>
      </c>
      <c r="C566" s="82"/>
      <c r="D566" s="82"/>
    </row>
    <row r="567">
      <c r="A567" s="82" t="str">
        <f>IFERROR(__xludf.DUMMYFUNCTION("""COMPUTED_VALUE"""),"Otros")</f>
        <v>Otros</v>
      </c>
      <c r="B567" s="82" t="str">
        <f>IFERROR(__xludf.DUMMYFUNCTION("""COMPUTED_VALUE"""),"flexiones explosivas")</f>
        <v>flexiones explosivas</v>
      </c>
      <c r="C567" s="82"/>
      <c r="D567" s="82"/>
    </row>
    <row r="568">
      <c r="A568" s="82" t="str">
        <f>IFERROR(__xludf.DUMMYFUNCTION("""COMPUTED_VALUE"""),"Hombros")</f>
        <v>Hombros</v>
      </c>
      <c r="B568" s="82" t="str">
        <f>IFERROR(__xludf.DUMMYFUNCTION("""COMPUTED_VALUE"""),"PRESS MILITAR BARRA")</f>
        <v>PRESS MILITAR BARRA</v>
      </c>
      <c r="C568" s="82"/>
      <c r="D568" s="82"/>
    </row>
    <row r="569">
      <c r="A569" s="82" t="str">
        <f>IFERROR(__xludf.DUMMYFUNCTION("""COMPUTED_VALUE"""),"Pecho")</f>
        <v>Pecho</v>
      </c>
      <c r="B569" s="82" t="str">
        <f>IFERROR(__xludf.DUMMYFUNCTION("""COMPUTED_VALUE"""),"PRESS INCLINADO barra ")</f>
        <v>PRESS INCLINADO barra </v>
      </c>
      <c r="C569" s="82"/>
      <c r="D569" s="82"/>
    </row>
    <row r="570">
      <c r="A570" s="82" t="str">
        <f>IFERROR(__xludf.DUMMYFUNCTION("""COMPUTED_VALUE"""),"Pantorrillas")</f>
        <v>Pantorrillas</v>
      </c>
      <c r="B570" s="82" t="str">
        <f>IFERROR(__xludf.DUMMYFUNCTION("""COMPUTED_VALUE"""),"POGOS +SENT CON SALTO ")</f>
        <v>POGOS +SENT CON SALTO </v>
      </c>
      <c r="C570" s="82"/>
      <c r="D570" s="82"/>
    </row>
    <row r="571">
      <c r="A571" s="82" t="str">
        <f>IFERROR(__xludf.DUMMYFUNCTION("""COMPUTED_VALUE"""),"Isquios")</f>
        <v>Isquios</v>
      </c>
      <c r="B571" s="82" t="str">
        <f>IFERROR(__xludf.DUMMYFUNCTION("""COMPUTED_VALUE"""),"SALTOS HORIZONTALES  ")</f>
        <v>SALTOS HORIZONTALES  </v>
      </c>
      <c r="C571" s="82"/>
      <c r="D571" s="82"/>
    </row>
    <row r="572">
      <c r="A572" s="82" t="str">
        <f>IFERROR(__xludf.DUMMYFUNCTION("""COMPUTED_VALUE"""),"Cuádriceps")</f>
        <v>Cuádriceps</v>
      </c>
      <c r="B572" s="82" t="str">
        <f>IFERROR(__xludf.DUMMYFUNCTION("""COMPUTED_VALUE"""),"  SALTOS LATERALES ")</f>
        <v>  SALTOS LATERALES </v>
      </c>
      <c r="C572" s="82"/>
      <c r="D572" s="82"/>
    </row>
    <row r="573">
      <c r="A573" s="82" t="str">
        <f>IFERROR(__xludf.DUMMYFUNCTION("""COMPUTED_VALUE"""),"otros")</f>
        <v>otros</v>
      </c>
      <c r="B573" s="274" t="str">
        <f>IFERROR(__xludf.DUMMYFUNCTION("""COMPUTED_VALUE"""),"SPRINT 20 MTS")</f>
        <v>SPRINT 20 MTS</v>
      </c>
      <c r="C573" s="82"/>
      <c r="D573" s="82"/>
    </row>
    <row r="574">
      <c r="A574" s="82" t="str">
        <f>IFERROR(__xludf.DUMMYFUNCTION("""COMPUTED_VALUE"""),"otros")</f>
        <v>otros</v>
      </c>
      <c r="B574" s="82" t="str">
        <f>IFERROR(__xludf.DUMMYFUNCTION("""COMPUTED_VALUE"""),"SALTO SOGA")</f>
        <v>SALTO SOGA</v>
      </c>
      <c r="C574" s="82"/>
      <c r="D574" s="82"/>
    </row>
    <row r="575">
      <c r="A575" s="82" t="str">
        <f>IFERROR(__xludf.DUMMYFUNCTION("""COMPUTED_VALUE"""),"Otros")</f>
        <v>Otros</v>
      </c>
      <c r="B575" s="82" t="str">
        <f>IFERROR(__xludf.DUMMYFUNCTION("""COMPUTED_VALUE"""),"CRUNCH COMPLETO +HOLLOW ")</f>
        <v>CRUNCH COMPLETO +HOLLOW </v>
      </c>
      <c r="C575" s="82"/>
      <c r="D575" s="82"/>
    </row>
    <row r="576">
      <c r="A576" s="82" t="str">
        <f>IFERROR(__xludf.DUMMYFUNCTION("""COMPUTED_VALUE"""),"Otros")</f>
        <v>Otros</v>
      </c>
      <c r="B576" s="82" t="str">
        <f>IFERROR(__xludf.DUMMYFUNCTION("""COMPUTED_VALUE"""),"PLANCHA LAT CON PESO")</f>
        <v>PLANCHA LAT CON PESO</v>
      </c>
      <c r="C576" s="82"/>
      <c r="D576" s="82"/>
    </row>
    <row r="577">
      <c r="A577" s="82" t="str">
        <f>IFERROR(__xludf.DUMMYFUNCTION("""COMPUTED_VALUE"""),"Espalda")</f>
        <v>Espalda</v>
      </c>
      <c r="B577" s="82" t="str">
        <f>IFERROR(__xludf.DUMMYFUNCTION("""COMPUTED_VALUE"""),"PESO MUERTO 1 PIERNA ")</f>
        <v>PESO MUERTO 1 PIERNA </v>
      </c>
      <c r="C577" s="82"/>
      <c r="D577" s="82"/>
    </row>
    <row r="578">
      <c r="A578" s="82" t="str">
        <f>IFERROR(__xludf.DUMMYFUNCTION("""COMPUTED_VALUE"""),"Cuádriceps")</f>
        <v>Cuádriceps</v>
      </c>
      <c r="B578" s="82" t="str">
        <f>IFERROR(__xludf.DUMMYFUNCTION("""COMPUTED_VALUE"""),"BULGARAS+bulgara con salto")</f>
        <v>BULGARAS+bulgara con salto</v>
      </c>
      <c r="C578" s="82"/>
      <c r="D578" s="82"/>
    </row>
    <row r="579">
      <c r="A579" s="82" t="str">
        <f>IFERROR(__xludf.DUMMYFUNCTION("""COMPUTED_VALUE"""),"Espalda")</f>
        <v>Espalda</v>
      </c>
      <c r="B579" s="82" t="str">
        <f>IFERROR(__xludf.DUMMYFUNCTION("""COMPUTED_VALUE"""),"POLEA DORSAL +remo 1BRAZO")</f>
        <v>POLEA DORSAL +remo 1BRAZO</v>
      </c>
      <c r="C579" s="82"/>
      <c r="D579" s="82"/>
    </row>
    <row r="580">
      <c r="A580" s="82" t="str">
        <f>IFERROR(__xludf.DUMMYFUNCTION("""COMPUTED_VALUE"""),"otros")</f>
        <v>otros</v>
      </c>
      <c r="B580" s="82" t="str">
        <f>IFERROR(__xludf.DUMMYFUNCTION("""COMPUTED_VALUE"""),"SANCADAS +ESTOCADA C/SALTO")</f>
        <v>SANCADAS +ESTOCADA C/SALTO</v>
      </c>
      <c r="C580" s="82"/>
      <c r="D580" s="82"/>
    </row>
    <row r="581">
      <c r="A581" s="82" t="str">
        <f>IFERROR(__xludf.DUMMYFUNCTION("""COMPUTED_VALUE"""),"Glúteos")</f>
        <v>Glúteos</v>
      </c>
      <c r="B581" s="82" t="str">
        <f>IFERROR(__xludf.DUMMYFUNCTION("""COMPUTED_VALUE"""),"PESO MUERTO +JALON ")</f>
        <v>PESO MUERTO +JALON </v>
      </c>
      <c r="C581" s="82"/>
      <c r="D581" s="82"/>
    </row>
    <row r="582">
      <c r="A582" s="82" t="str">
        <f>IFERROR(__xludf.DUMMYFUNCTION("""COMPUTED_VALUE"""),"otros")</f>
        <v>otros</v>
      </c>
      <c r="B582" s="82" t="str">
        <f>IFERROR(__xludf.DUMMYFUNCTION("""COMPUTED_VALUE"""),"SENTADILLA +PRESS")</f>
        <v>SENTADILLA +PRESS</v>
      </c>
      <c r="C582" s="82"/>
      <c r="D582" s="82"/>
    </row>
    <row r="583">
      <c r="A583" s="82" t="str">
        <f>IFERROR(__xludf.DUMMYFUNCTION("""COMPUTED_VALUE"""),"Pecho")</f>
        <v>Pecho</v>
      </c>
      <c r="B583" s="82" t="str">
        <f>IFERROR(__xludf.DUMMYFUNCTION("""COMPUTED_VALUE"""),"PRESS PLANO MANC ")</f>
        <v>PRESS PLANO MANC </v>
      </c>
      <c r="C583" s="82"/>
      <c r="D583" s="82"/>
    </row>
    <row r="584">
      <c r="A584" s="82" t="str">
        <f>IFERROR(__xludf.DUMMYFUNCTION("""COMPUTED_VALUE"""),"Espalda")</f>
        <v>Espalda</v>
      </c>
      <c r="B584" s="82" t="str">
        <f>IFERROR(__xludf.DUMMYFUNCTION("""COMPUTED_VALUE"""),"REMO UN BRAZO ")</f>
        <v>REMO UN BRAZO </v>
      </c>
      <c r="C584" s="82"/>
      <c r="D584" s="82"/>
    </row>
    <row r="585">
      <c r="A585" s="82" t="str">
        <f>IFERROR(__xludf.DUMMYFUNCTION("""COMPUTED_VALUE"""),"Cuádriceps")</f>
        <v>Cuádriceps</v>
      </c>
      <c r="B585" s="82" t="str">
        <f>IFERROR(__xludf.DUMMYFUNCTION("""COMPUTED_VALUE"""),"skipping 8mts")</f>
        <v>skipping 8mts</v>
      </c>
      <c r="C585" s="82"/>
      <c r="D585" s="82"/>
    </row>
    <row r="586">
      <c r="A586" s="82" t="str">
        <f>IFERROR(__xludf.DUMMYFUNCTION("""COMPUTED_VALUE"""),"Isquios")</f>
        <v>Isquios</v>
      </c>
      <c r="B586" s="82" t="str">
        <f>IFERROR(__xludf.DUMMYFUNCTION("""COMPUTED_VALUE"""),"burpees")</f>
        <v>burpees</v>
      </c>
      <c r="C586" s="82"/>
      <c r="D586" s="82"/>
    </row>
    <row r="587">
      <c r="A587" s="82" t="str">
        <f>IFERROR(__xludf.DUMMYFUNCTION("""COMPUTED_VALUE"""),"Pantorrillas")</f>
        <v>Pantorrillas</v>
      </c>
      <c r="B587" s="82" t="str">
        <f>IFERROR(__xludf.DUMMYFUNCTION("""COMPUTED_VALUE"""),"Saltos laterales ")</f>
        <v>Saltos laterales </v>
      </c>
      <c r="C587" s="82"/>
      <c r="D587" s="82"/>
    </row>
    <row r="588">
      <c r="A588" s="82" t="str">
        <f>IFERROR(__xludf.DUMMYFUNCTION("""COMPUTED_VALUE"""),"Cuádriceps")</f>
        <v>Cuádriceps</v>
      </c>
      <c r="B588" s="82" t="str">
        <f>IFERROR(__xludf.DUMMYFUNCTION("""COMPUTED_VALUE"""),"ESTOCADAS con desplazamiento")</f>
        <v>ESTOCADAS con desplazamiento</v>
      </c>
      <c r="C588" s="82"/>
      <c r="D588" s="82"/>
    </row>
    <row r="589">
      <c r="A589" s="82" t="str">
        <f>IFERROR(__xludf.DUMMYFUNCTION("""COMPUTED_VALUE"""),"Cuádriceps")</f>
        <v>Cuádriceps</v>
      </c>
      <c r="B589" s="82" t="str">
        <f>IFERROR(__xludf.DUMMYFUNCTION("""COMPUTED_VALUE"""),"ADUCTORES MAQUINA")</f>
        <v>ADUCTORES MAQUINA</v>
      </c>
      <c r="C589" s="82"/>
      <c r="D589" s="82"/>
    </row>
    <row r="590">
      <c r="A590" s="82" t="str">
        <f>IFERROR(__xludf.DUMMYFUNCTION("""COMPUTED_VALUE"""),"Cuádriceps")</f>
        <v>Cuádriceps</v>
      </c>
      <c r="B590" s="82" t="str">
        <f>IFERROR(__xludf.DUMMYFUNCTION("""COMPUTED_VALUE"""),"PRENSA 45 (INF)")</f>
        <v>PRENSA 45 (INF)</v>
      </c>
      <c r="C590" s="82"/>
      <c r="D590" s="82"/>
    </row>
    <row r="591">
      <c r="A591" s="82" t="str">
        <f>IFERROR(__xludf.DUMMYFUNCTION("""COMPUTED_VALUE"""),"Otros")</f>
        <v>Otros</v>
      </c>
      <c r="B591" s="82" t="str">
        <f>IFERROR(__xludf.DUMMYFUNCTION("""COMPUTED_VALUE"""),"Elipticon ")</f>
        <v>Elipticon </v>
      </c>
      <c r="C591" s="82"/>
      <c r="D591" s="82"/>
    </row>
    <row r="592">
      <c r="A592" s="82" t="str">
        <f>IFERROR(__xludf.DUMMYFUNCTION("""COMPUTED_VALUE"""),"Glúteos")</f>
        <v>Glúteos</v>
      </c>
      <c r="B592" s="82" t="str">
        <f>IFERROR(__xludf.DUMMYFUNCTION("""COMPUTED_VALUE"""),"hip thurst")</f>
        <v>hip thurst</v>
      </c>
      <c r="C592" s="82"/>
      <c r="D592" s="82"/>
    </row>
    <row r="593">
      <c r="A593" s="82" t="str">
        <f>IFERROR(__xludf.DUMMYFUNCTION("""COMPUTED_VALUE"""),"Glúteos")</f>
        <v>Glúteos</v>
      </c>
      <c r="B593" s="82" t="str">
        <f>IFERROR(__xludf.DUMMYFUNCTION("""COMPUTED_VALUE"""),"Estocada en smith")</f>
        <v>Estocada en smith</v>
      </c>
      <c r="C593" s="82"/>
      <c r="D593" s="82"/>
    </row>
    <row r="594">
      <c r="A594" s="82" t="str">
        <f>IFERROR(__xludf.DUMMYFUNCTION("""COMPUTED_VALUE"""),"Tríceps")</f>
        <v>Tríceps</v>
      </c>
      <c r="B594" s="82" t="str">
        <f>IFERROR(__xludf.DUMMYFUNCTION("""COMPUTED_VALUE"""),"Tricep en polea con barra ")</f>
        <v>Tricep en polea con barra </v>
      </c>
      <c r="C594" s="82"/>
      <c r="D594" s="82"/>
    </row>
    <row r="595">
      <c r="A595" s="82" t="str">
        <f>IFERROR(__xludf.DUMMYFUNCTION("""COMPUTED_VALUE"""),"Glúteos")</f>
        <v>Glúteos</v>
      </c>
      <c r="B595" s="82" t="str">
        <f>IFERROR(__xludf.DUMMYFUNCTION("""COMPUTED_VALUE"""),"Patada de gluteo mayor  en polea")</f>
        <v>Patada de gluteo mayor  en polea</v>
      </c>
      <c r="C595" s="82"/>
      <c r="D595" s="82"/>
    </row>
    <row r="596">
      <c r="A596" s="82" t="str">
        <f>IFERROR(__xludf.DUMMYFUNCTION("""COMPUTED_VALUE"""),"Otros")</f>
        <v>Otros</v>
      </c>
      <c r="B596" s="82" t="str">
        <f>IFERROR(__xludf.DUMMYFUNCTION("""COMPUTED_VALUE"""),"Cinta con inclinacion 3")</f>
        <v>Cinta con inclinacion 3</v>
      </c>
      <c r="C596" s="82"/>
      <c r="D596" s="82"/>
    </row>
    <row r="597">
      <c r="A597" s="82" t="str">
        <f>IFERROR(__xludf.DUMMYFUNCTION("""COMPUTED_VALUE"""),"Tríceps")</f>
        <v>Tríceps</v>
      </c>
      <c r="B597" s="82"/>
      <c r="C597" s="82"/>
      <c r="D597" s="82"/>
    </row>
    <row r="598">
      <c r="A598" s="82" t="str">
        <f>IFERROR(__xludf.DUMMYFUNCTION("""COMPUTED_VALUE"""),"Hombros")</f>
        <v>Hombros</v>
      </c>
      <c r="B598" s="82" t="str">
        <f>IFERROR(__xludf.DUMMYFUNCTION("""COMPUTED_VALUE"""),"Vuelos laterales ")</f>
        <v>Vuelos laterales </v>
      </c>
      <c r="C598" s="82"/>
      <c r="D598" s="82"/>
    </row>
    <row r="599">
      <c r="A599" s="82" t="str">
        <f>IFERROR(__xludf.DUMMYFUNCTION("""COMPUTED_VALUE"""),"Espalda")</f>
        <v>Espalda</v>
      </c>
      <c r="B599" s="82" t="str">
        <f>IFERROR(__xludf.DUMMYFUNCTION("""COMPUTED_VALUE"""),"Remo en maquina")</f>
        <v>Remo en maquina</v>
      </c>
      <c r="C599" s="82"/>
      <c r="D599" s="82"/>
    </row>
    <row r="600">
      <c r="A600" s="82" t="str">
        <f>IFERROR(__xludf.DUMMYFUNCTION("""COMPUTED_VALUE"""),"Otros")</f>
        <v>Otros</v>
      </c>
      <c r="B600" s="82" t="str">
        <f>IFERROR(__xludf.DUMMYFUNCTION("""COMPUTED_VALUE"""),"Intermitente en cinta (1minX1min)")</f>
        <v>Intermitente en cinta (1minX1min)</v>
      </c>
      <c r="C600" s="82"/>
      <c r="D600" s="82"/>
    </row>
    <row r="601">
      <c r="A601" s="82" t="str">
        <f>IFERROR(__xludf.DUMMYFUNCTION("""COMPUTED_VALUE"""),"Cuádriceps")</f>
        <v>Cuádriceps</v>
      </c>
      <c r="B601" s="82" t="str">
        <f>IFERROR(__xludf.DUMMYFUNCTION("""COMPUTED_VALUE"""),"Estocadas atrás con step")</f>
        <v>Estocadas atrás con step</v>
      </c>
      <c r="C601" s="82"/>
      <c r="D601" s="82"/>
    </row>
    <row r="602">
      <c r="A602" s="82" t="str">
        <f>IFERROR(__xludf.DUMMYFUNCTION("""COMPUTED_VALUE"""),"Tríceps")</f>
        <v>Tríceps</v>
      </c>
      <c r="B602" s="82" t="str">
        <f>IFERROR(__xludf.DUMMYFUNCTION("""COMPUTED_VALUE"""),"Tricep trasnuca con disco")</f>
        <v>Tricep trasnuca con disco</v>
      </c>
      <c r="C602" s="82"/>
      <c r="D602" s="82"/>
    </row>
    <row r="603">
      <c r="A603" s="82" t="str">
        <f>IFERROR(__xludf.DUMMYFUNCTION("""COMPUTED_VALUE"""),"Cuádriceps")</f>
        <v>Cuádriceps</v>
      </c>
      <c r="B603" s="82" t="str">
        <f>IFERROR(__xludf.DUMMYFUNCTION("""COMPUTED_VALUE"""),"subida al cajon")</f>
        <v>subida al cajon</v>
      </c>
      <c r="C603" s="82"/>
      <c r="D603" s="82"/>
    </row>
    <row r="604">
      <c r="A604" s="82" t="str">
        <f>IFERROR(__xludf.DUMMYFUNCTION("""COMPUTED_VALUE"""),"Pecho")</f>
        <v>Pecho</v>
      </c>
      <c r="B604" s="82" t="str">
        <f>IFERROR(__xludf.DUMMYFUNCTION("""COMPUTED_VALUE"""),"Press inclinado mancuerna")</f>
        <v>Press inclinado mancuerna</v>
      </c>
      <c r="C604" s="82"/>
      <c r="D604" s="82"/>
    </row>
    <row r="605">
      <c r="A605" s="82" t="str">
        <f>IFERROR(__xludf.DUMMYFUNCTION("""COMPUTED_VALUE"""),"Cuádriceps")</f>
        <v>Cuádriceps</v>
      </c>
      <c r="B605" s="82" t="str">
        <f>IFERROR(__xludf.DUMMYFUNCTION("""COMPUTED_VALUE"""),"Prensa 45 Ap Inferior")</f>
        <v>Prensa 45 Ap Inferior</v>
      </c>
      <c r="C605" s="82"/>
      <c r="D605" s="82"/>
    </row>
    <row r="606">
      <c r="A606" s="82" t="str">
        <f>IFERROR(__xludf.DUMMYFUNCTION("""COMPUTED_VALUE"""),"Glúteos")</f>
        <v>Glúteos</v>
      </c>
      <c r="B606" s="82" t="str">
        <f>IFERROR(__xludf.DUMMYFUNCTION("""COMPUTED_VALUE"""),"Patada de gluteo con tobillera")</f>
        <v>Patada de gluteo con tobillera</v>
      </c>
      <c r="C606" s="82"/>
      <c r="D606" s="82"/>
    </row>
    <row r="607">
      <c r="A607" s="82" t="str">
        <f>IFERROR(__xludf.DUMMYFUNCTION("""COMPUTED_VALUE"""),"Isquios")</f>
        <v>Isquios</v>
      </c>
      <c r="B607" s="82" t="str">
        <f>IFERROR(__xludf.DUMMYFUNCTION("""COMPUTED_VALUE"""),"Peso muerto mancuernas")</f>
        <v>Peso muerto mancuernas</v>
      </c>
      <c r="C607" s="82"/>
      <c r="D607" s="82"/>
    </row>
    <row r="608">
      <c r="A608" s="82" t="str">
        <f>IFERROR(__xludf.DUMMYFUNCTION("""COMPUTED_VALUE"""),"Glúteos")</f>
        <v>Glúteos</v>
      </c>
      <c r="B608" s="82" t="str">
        <f>IFERROR(__xludf.DUMMYFUNCTION("""COMPUTED_VALUE"""),"Abduccion en maquina")</f>
        <v>Abduccion en maquina</v>
      </c>
      <c r="C608" s="82"/>
      <c r="D608" s="82"/>
    </row>
    <row r="609">
      <c r="A609" s="82" t="str">
        <f>IFERROR(__xludf.DUMMYFUNCTION("""COMPUTED_VALUE"""),"Glúteos")</f>
        <v>Glúteos</v>
      </c>
      <c r="B609" s="82" t="str">
        <f>IFERROR(__xludf.DUMMYFUNCTION("""COMPUTED_VALUE"""),"Patada de gluteo Mayor")</f>
        <v>Patada de gluteo Mayor</v>
      </c>
      <c r="C609" s="82"/>
      <c r="D609" s="82"/>
    </row>
    <row r="610">
      <c r="A610" s="82" t="str">
        <f>IFERROR(__xludf.DUMMYFUNCTION("""COMPUTED_VALUE"""),"Glúteos")</f>
        <v>Glúteos</v>
      </c>
      <c r="B610" s="82" t="str">
        <f>IFERROR(__xludf.DUMMYFUNCTION("""COMPUTED_VALUE"""),"Puente gluteo con banda")</f>
        <v>Puente gluteo con banda</v>
      </c>
      <c r="C610" s="82"/>
      <c r="D610" s="82"/>
    </row>
    <row r="611">
      <c r="A611" s="82" t="str">
        <f>IFERROR(__xludf.DUMMYFUNCTION("""COMPUTED_VALUE"""),"Día 1 FUERZA Y POTENCIA")</f>
        <v>Día 1 FUERZA Y POTENCIA</v>
      </c>
      <c r="B611" s="82"/>
      <c r="C611" s="82"/>
      <c r="D611" s="82"/>
    </row>
    <row r="612">
      <c r="A612" s="82" t="str">
        <f>IFERROR(__xludf.DUMMYFUNCTION("""COMPUTED_VALUE"""),"Otros")</f>
        <v>Otros</v>
      </c>
      <c r="B612" s="82" t="str">
        <f>IFERROR(__xludf.DUMMYFUNCTION("""COMPUTED_VALUE"""),"CADERA + HOMBROS")</f>
        <v>CADERA + HOMBROS</v>
      </c>
      <c r="C612" s="82"/>
      <c r="D612" s="82"/>
    </row>
    <row r="613">
      <c r="A613" s="82" t="str">
        <f>IFERROR(__xludf.DUMMYFUNCTION("""COMPUTED_VALUE"""),"Cuádriceps")</f>
        <v>Cuádriceps</v>
      </c>
      <c r="B613" s="82" t="str">
        <f>IFERROR(__xludf.DUMMYFUNCTION("""COMPUTED_VALUE"""),"SENT SALTO 4+ SALTO CAJON 5")</f>
        <v>SENT SALTO 4+ SALTO CAJON 5</v>
      </c>
      <c r="C613" s="82"/>
      <c r="D613" s="82"/>
    </row>
    <row r="614">
      <c r="A614" s="82" t="str">
        <f>IFERROR(__xludf.DUMMYFUNCTION("""COMPUTED_VALUE"""),"Hombros")</f>
        <v>Hombros</v>
      </c>
      <c r="B614" s="82" t="str">
        <f>IFERROR(__xludf.DUMMYFUNCTION("""COMPUTED_VALUE"""),"PRESS MILITAR +PUSH PRESS (6)")</f>
        <v>PRESS MILITAR +PUSH PRESS (6)</v>
      </c>
      <c r="C614" s="82"/>
      <c r="D614" s="82"/>
    </row>
    <row r="615">
      <c r="A615" s="82" t="str">
        <f>IFERROR(__xludf.DUMMYFUNCTION("""COMPUTED_VALUE"""),"Pecho")</f>
        <v>Pecho</v>
      </c>
      <c r="B615" s="82" t="str">
        <f>IFERROR(__xludf.DUMMYFUNCTION("""COMPUTED_VALUE"""),"PRESS INCLINADO ALT")</f>
        <v>PRESS INCLINADO ALT</v>
      </c>
      <c r="C615" s="82"/>
      <c r="D615" s="82"/>
    </row>
    <row r="616">
      <c r="A616" s="82" t="str">
        <f>IFERROR(__xludf.DUMMYFUNCTION("""COMPUTED_VALUE"""),"Cuádriceps")</f>
        <v>Cuádriceps</v>
      </c>
      <c r="B616" s="82" t="str">
        <f>IFERROR(__xludf.DUMMYFUNCTION("""COMPUTED_VALUE"""),"PRENSA 45 + gemelos(10)")</f>
        <v>PRENSA 45 + gemelos(10)</v>
      </c>
      <c r="C616" s="82"/>
      <c r="D616" s="82"/>
    </row>
    <row r="617">
      <c r="A617" s="82" t="str">
        <f>IFERROR(__xludf.DUMMYFUNCTION("""COMPUTED_VALUE"""),"Día 2 FUERZA ")</f>
        <v>Día 2 FUERZA </v>
      </c>
      <c r="B617" s="82"/>
      <c r="C617" s="82"/>
      <c r="D617" s="82"/>
    </row>
    <row r="618">
      <c r="A618" s="82" t="str">
        <f>IFERROR(__xludf.DUMMYFUNCTION("""COMPUTED_VALUE"""),"Espalda")</f>
        <v>Espalda</v>
      </c>
      <c r="B618" s="82" t="str">
        <f>IFERROR(__xludf.DUMMYFUNCTION("""COMPUTED_VALUE"""),"REMO CON BARRA ")</f>
        <v>REMO CON BARRA </v>
      </c>
      <c r="C618" s="82"/>
      <c r="D618" s="82"/>
    </row>
    <row r="619">
      <c r="A619" s="82" t="str">
        <f>IFERROR(__xludf.DUMMYFUNCTION("""COMPUTED_VALUE"""),"Hombros")</f>
        <v>Hombros</v>
      </c>
      <c r="B619" s="82" t="str">
        <f>IFERROR(__xludf.DUMMYFUNCTION("""COMPUTED_VALUE"""),"LANDMINE PRESS UNILAT")</f>
        <v>LANDMINE PRESS UNILAT</v>
      </c>
      <c r="C619" s="82"/>
      <c r="D619" s="82"/>
    </row>
    <row r="620">
      <c r="A620" s="82" t="str">
        <f>IFERROR(__xludf.DUMMYFUNCTION("""COMPUTED_VALUE"""),"Isquios")</f>
        <v>Isquios</v>
      </c>
      <c r="B620" s="82" t="str">
        <f>IFERROR(__xludf.DUMMYFUNCTION("""COMPUTED_VALUE"""),"  CAMILLA ISQUIOS")</f>
        <v>  CAMILLA ISQUIOS</v>
      </c>
      <c r="C620" s="82"/>
      <c r="D620" s="82"/>
    </row>
    <row r="621">
      <c r="A621" s="82" t="str">
        <f>IFERROR(__xludf.DUMMYFUNCTION("""COMPUTED_VALUE"""),"Bíceps")</f>
        <v>Bíceps</v>
      </c>
      <c r="B621" s="82" t="str">
        <f>IFERROR(__xludf.DUMMYFUNCTION("""COMPUTED_VALUE"""),"CURL BICEP BARRA W")</f>
        <v>CURL BICEP BARRA W</v>
      </c>
      <c r="C621" s="82"/>
      <c r="D621" s="82"/>
    </row>
    <row r="622">
      <c r="A622" s="82" t="str">
        <f>IFERROR(__xludf.DUMMYFUNCTION("""COMPUTED_VALUE"""),"Día 3 FZA VELOCIDAD Y PLIOMETRIA")</f>
        <v>Día 3 FZA VELOCIDAD Y PLIOMETRIA</v>
      </c>
      <c r="B622" s="82"/>
      <c r="C622" s="82"/>
      <c r="D622" s="82"/>
    </row>
    <row r="623">
      <c r="A623" s="82" t="str">
        <f>IFERROR(__xludf.DUMMYFUNCTION("""COMPUTED_VALUE"""),"Otros")</f>
        <v>Otros</v>
      </c>
      <c r="B623" s="82" t="str">
        <f>IFERROR(__xludf.DUMMYFUNCTION("""COMPUTED_VALUE"""),"PLANCHA CON PASAJE ")</f>
        <v>PLANCHA CON PASAJE </v>
      </c>
      <c r="C623" s="82"/>
      <c r="D623" s="82"/>
    </row>
    <row r="624">
      <c r="A624" s="82" t="str">
        <f>IFERROR(__xludf.DUMMYFUNCTION("""COMPUTED_VALUE"""),"Cuádriceps")</f>
        <v>Cuádriceps</v>
      </c>
      <c r="B624" s="82" t="str">
        <f>IFERROR(__xludf.DUMMYFUNCTION("""COMPUTED_VALUE"""),"SKIPPING LATERAL 3 MTS ")</f>
        <v>SKIPPING LATERAL 3 MTS </v>
      </c>
      <c r="C624" s="82"/>
      <c r="D624" s="82"/>
    </row>
    <row r="625">
      <c r="A625" s="82" t="str">
        <f>IFERROR(__xludf.DUMMYFUNCTION("""COMPUTED_VALUE"""),"Cuádriceps")</f>
        <v>Cuádriceps</v>
      </c>
      <c r="B625" s="82" t="str">
        <f>IFERROR(__xludf.DUMMYFUNCTION("""COMPUTED_VALUE"""),"BROAD JUMP ")</f>
        <v>BROAD JUMP </v>
      </c>
      <c r="C625" s="82"/>
      <c r="D625" s="82"/>
    </row>
    <row r="626">
      <c r="A626" s="82" t="str">
        <f>IFERROR(__xludf.DUMMYFUNCTION("""COMPUTED_VALUE"""),"Pecho")</f>
        <v>Pecho</v>
      </c>
      <c r="B626" s="82" t="str">
        <f>IFERROR(__xludf.DUMMYFUNCTION("""COMPUTED_VALUE"""),"DEPTH JUMP ")</f>
        <v>DEPTH JUMP </v>
      </c>
      <c r="C626" s="82"/>
      <c r="D626" s="82"/>
    </row>
    <row r="627">
      <c r="A627" s="82" t="str">
        <f>IFERROR(__xludf.DUMMYFUNCTION("""COMPUTED_VALUE"""),"otros")</f>
        <v>otros</v>
      </c>
      <c r="B627" s="82" t="str">
        <f>IFERROR(__xludf.DUMMYFUNCTION("""COMPUTED_VALUE"""),"SPRINT 20MTS ")</f>
        <v>SPRINT 20MTS </v>
      </c>
      <c r="C627" s="82"/>
      <c r="D627" s="82"/>
    </row>
    <row r="628">
      <c r="A628" s="82" t="str">
        <f>IFERROR(__xludf.DUMMYFUNCTION("""COMPUTED_VALUE"""),"Hombros")</f>
        <v>Hombros</v>
      </c>
      <c r="B628" s="82" t="str">
        <f>IFERROR(__xludf.DUMMYFUNCTION("""COMPUTED_VALUE"""),"VUELOS LAT +FRONTALES ")</f>
        <v>VUELOS LAT +FRONTALES </v>
      </c>
      <c r="C628" s="82"/>
      <c r="D628" s="82"/>
    </row>
    <row r="629">
      <c r="A629" s="82" t="str">
        <f>IFERROR(__xludf.DUMMYFUNCTION("""COMPUTED_VALUE"""),"Glúteos")</f>
        <v>Glúteos</v>
      </c>
      <c r="B629" s="82" t="str">
        <f>IFERROR(__xludf.DUMMYFUNCTION("""COMPUTED_VALUE"""),"SALTO ALTERNO EN CAJON")</f>
        <v>SALTO ALTERNO EN CAJON</v>
      </c>
      <c r="C629" s="82"/>
      <c r="D629" s="82"/>
    </row>
    <row r="630">
      <c r="A630" s="82" t="str">
        <f>IFERROR(__xludf.DUMMYFUNCTION("""COMPUTED_VALUE"""),"otros")</f>
        <v>otros</v>
      </c>
      <c r="B630" s="82" t="str">
        <f>IFERROR(__xludf.DUMMYFUNCTION("""COMPUTED_VALUE"""),"ACELERACION CON BANDA ")</f>
        <v>ACELERACION CON BANDA </v>
      </c>
      <c r="C630" s="82"/>
      <c r="D630" s="82"/>
    </row>
    <row r="631">
      <c r="A631" s="82" t="str">
        <f>IFERROR(__xludf.DUMMYFUNCTION("""COMPUTED_VALUE"""),"Cuádriceps")</f>
        <v>Cuádriceps</v>
      </c>
      <c r="B631" s="82" t="str">
        <f>IFERROR(__xludf.DUMMYFUNCTION("""COMPUTED_VALUE"""),"ESTOCADA CON DEPLAZAMIENTO")</f>
        <v>ESTOCADA CON DEPLAZAMIENTO</v>
      </c>
      <c r="C631" s="82"/>
      <c r="D631" s="82"/>
    </row>
    <row r="632">
      <c r="A632" s="82" t="str">
        <f>IFERROR(__xludf.DUMMYFUNCTION("""COMPUTED_VALUE"""),"Pantorrillas")</f>
        <v>Pantorrillas</v>
      </c>
      <c r="B632" s="82" t="str">
        <f>IFERROR(__xludf.DUMMYFUNCTION("""COMPUTED_VALUE"""),"Saltos alternos en  cajon")</f>
        <v>Saltos alternos en  cajon</v>
      </c>
      <c r="C632" s="82"/>
      <c r="D632" s="82"/>
    </row>
    <row r="633">
      <c r="A633" s="82" t="str">
        <f>IFERROR(__xludf.DUMMYFUNCTION("""COMPUTED_VALUE"""),"Pecho")</f>
        <v>Pecho</v>
      </c>
      <c r="B633" s="82" t="str">
        <f>IFERROR(__xludf.DUMMYFUNCTION("""COMPUTED_VALUE"""),"FLEXIONES PLIOMETRICAS")</f>
        <v>FLEXIONES PLIOMETRICAS</v>
      </c>
      <c r="C633" s="82"/>
      <c r="D633" s="82"/>
    </row>
    <row r="634">
      <c r="A634" s="82" t="str">
        <f>IFERROR(__xludf.DUMMYFUNCTION("""COMPUTED_VALUE"""),"Tríceps")</f>
        <v>Tríceps</v>
      </c>
      <c r="B634" s="82" t="str">
        <f>IFERROR(__xludf.DUMMYFUNCTION("""COMPUTED_VALUE"""),"PRESS FRANCES ")</f>
        <v>PRESS FRANCES </v>
      </c>
      <c r="C634" s="82"/>
      <c r="D634" s="82"/>
    </row>
    <row r="635">
      <c r="A635" s="82" t="str">
        <f>IFERROR(__xludf.DUMMYFUNCTION("""COMPUTED_VALUE"""),"Hombros")</f>
        <v>Hombros</v>
      </c>
      <c r="B635" s="82" t="str">
        <f>IFERROR(__xludf.DUMMYFUNCTION("""COMPUTED_VALUE"""),"PUSH PRESS")</f>
        <v>PUSH PRESS</v>
      </c>
      <c r="C635" s="82"/>
      <c r="D635" s="82"/>
    </row>
    <row r="636">
      <c r="A636" s="82" t="str">
        <f>IFERROR(__xludf.DUMMYFUNCTION("""COMPUTED_VALUE"""),"Pecho")</f>
        <v>Pecho</v>
      </c>
      <c r="B636" s="82" t="str">
        <f>IFERROR(__xludf.DUMMYFUNCTION("""COMPUTED_VALUE"""),"MARIPOSA MAQUINA 1 BRAZO")</f>
        <v>MARIPOSA MAQUINA 1 BRAZO</v>
      </c>
      <c r="C636" s="82"/>
      <c r="D636" s="82"/>
    </row>
    <row r="637">
      <c r="A637" s="82" t="str">
        <f>IFERROR(__xludf.DUMMYFUNCTION("""COMPUTED_VALUE"""),"Pantorrillas")</f>
        <v>Pantorrillas</v>
      </c>
      <c r="B637" s="82" t="str">
        <f>IFERROR(__xludf.DUMMYFUNCTION("""COMPUTED_VALUE"""),"POGOS ")</f>
        <v>POGOS </v>
      </c>
      <c r="C637" s="82"/>
      <c r="D637" s="82"/>
    </row>
    <row r="638">
      <c r="A638" s="82" t="str">
        <f>IFERROR(__xludf.DUMMYFUNCTION("""COMPUTED_VALUE"""),"Glúteos")</f>
        <v>Glúteos</v>
      </c>
      <c r="B638" s="82" t="str">
        <f>IFERROR(__xludf.DUMMYFUNCTION("""COMPUTED_VALUE"""),"SALTO HORIZONTAL ")</f>
        <v>SALTO HORIZONTAL </v>
      </c>
      <c r="C638" s="82"/>
      <c r="D638" s="82"/>
    </row>
    <row r="639">
      <c r="A639" s="82" t="str">
        <f>IFERROR(__xludf.DUMMYFUNCTION("""COMPUTED_VALUE"""),"Pantorrillas")</f>
        <v>Pantorrillas</v>
      </c>
      <c r="B639" s="82" t="str">
        <f>IFERROR(__xludf.DUMMYFUNCTION("""COMPUTED_VALUE"""),"SALTOS A 1 PIERNA ")</f>
        <v>SALTOS A 1 PIERNA </v>
      </c>
      <c r="C639" s="82"/>
      <c r="D639" s="82"/>
    </row>
    <row r="640">
      <c r="A640" s="82" t="str">
        <f>IFERROR(__xludf.DUMMYFUNCTION("""COMPUTED_VALUE"""),"otros")</f>
        <v>otros</v>
      </c>
      <c r="B640" s="82" t="str">
        <f>IFERROR(__xludf.DUMMYFUNCTION("""COMPUTED_VALUE"""),"SPRINT 15MTS")</f>
        <v>SPRINT 15MTS</v>
      </c>
      <c r="C640" s="82"/>
      <c r="D640" s="82"/>
    </row>
    <row r="641">
      <c r="A641" s="82" t="str">
        <f>IFERROR(__xludf.DUMMYFUNCTION("""COMPUTED_VALUE"""),"Cuádriceps")</f>
        <v>Cuádriceps</v>
      </c>
      <c r="B641" s="82" t="str">
        <f>IFERROR(__xludf.DUMMYFUNCTION("""COMPUTED_VALUE"""),"BULGARAS")</f>
        <v>BULGARAS</v>
      </c>
      <c r="C641" s="82"/>
      <c r="D641" s="82"/>
    </row>
    <row r="642">
      <c r="A642" s="82" t="str">
        <f>IFERROR(__xludf.DUMMYFUNCTION("""COMPUTED_VALUE"""),"Glúteos")</f>
        <v>Glúteos</v>
      </c>
      <c r="B642" s="82" t="str">
        <f>IFERROR(__xludf.DUMMYFUNCTION("""COMPUTED_VALUE"""),"ESTOCADA +ROTACION ")</f>
        <v>ESTOCADA +ROTACION </v>
      </c>
      <c r="C642" s="82"/>
      <c r="D642" s="82"/>
    </row>
    <row r="643">
      <c r="A643" s="82" t="str">
        <f>IFERROR(__xludf.DUMMYFUNCTION("""COMPUTED_VALUE"""),"otros")</f>
        <v>otros</v>
      </c>
      <c r="B643" s="82" t="str">
        <f>IFERROR(__xludf.DUMMYFUNCTION("""COMPUTED_VALUE"""),"ADUCTORES EN MAQUINA ")</f>
        <v>ADUCTORES EN MAQUINA </v>
      </c>
      <c r="C643" s="82"/>
      <c r="D643" s="82"/>
    </row>
    <row r="644">
      <c r="A644" s="82" t="str">
        <f>IFERROR(__xludf.DUMMYFUNCTION("""COMPUTED_VALUE"""),"Isquios")</f>
        <v>Isquios</v>
      </c>
      <c r="B644" s="82" t="str">
        <f>IFERROR(__xludf.DUMMYFUNCTION("""COMPUTED_VALUE"""),"SALTOS LATERALES ")</f>
        <v>SALTOS LATERALES </v>
      </c>
      <c r="C644" s="82"/>
      <c r="D644" s="82"/>
    </row>
    <row r="645">
      <c r="A645" s="82" t="str">
        <f>IFERROR(__xludf.DUMMYFUNCTION("""COMPUTED_VALUE"""),"Pantorrillas")</f>
        <v>Pantorrillas</v>
      </c>
      <c r="B645" s="82" t="str">
        <f>IFERROR(__xludf.DUMMYFUNCTION("""COMPUTED_VALUE"""),"SALTOS CON CAIDA DESDE CAJON")</f>
        <v>SALTOS CON CAIDA DESDE CAJON</v>
      </c>
      <c r="C645" s="82"/>
      <c r="D645" s="82"/>
    </row>
    <row r="646">
      <c r="A646" s="82" t="str">
        <f>IFERROR(__xludf.DUMMYFUNCTION("""COMPUTED_VALUE"""),"Pecho")</f>
        <v>Pecho</v>
      </c>
      <c r="B646" s="82" t="str">
        <f>IFERROR(__xludf.DUMMYFUNCTION("""COMPUTED_VALUE"""),"PRESS BA")</f>
        <v>PRESS BA</v>
      </c>
      <c r="C646" s="82"/>
      <c r="D646" s="82"/>
    </row>
    <row r="647">
      <c r="A647" s="82" t="str">
        <f>IFERROR(__xludf.DUMMYFUNCTION("""COMPUTED_VALUE"""),"Pecho")</f>
        <v>Pecho</v>
      </c>
      <c r="B647" s="82" t="str">
        <f>IFERROR(__xludf.DUMMYFUNCTION("""COMPUTED_VALUE"""),"INCLIN SMITH")</f>
        <v>INCLIN SMITH</v>
      </c>
      <c r="C647" s="82"/>
      <c r="D647" s="82"/>
    </row>
    <row r="648">
      <c r="A648" s="82" t="str">
        <f>IFERROR(__xludf.DUMMYFUNCTION("""COMPUTED_VALUE"""),"Pecho")</f>
        <v>Pecho</v>
      </c>
      <c r="B648" s="82" t="str">
        <f>IFERROR(__xludf.DUMMYFUNCTION("""COMPUTED_VALUE"""),"CRUCE")</f>
        <v>CRUCE</v>
      </c>
      <c r="C648" s="82"/>
      <c r="D648" s="82"/>
    </row>
    <row r="649">
      <c r="A649" s="82" t="str">
        <f>IFERROR(__xludf.DUMMYFUNCTION("""COMPUTED_VALUE"""),"otros")</f>
        <v>otros</v>
      </c>
      <c r="B649" s="82"/>
      <c r="C649" s="82"/>
      <c r="D649" s="82"/>
    </row>
    <row r="650">
      <c r="A650" s="82" t="str">
        <f>IFERROR(__xludf.DUMMYFUNCTION("""COMPUTED_VALUE"""),"Cuádriceps")</f>
        <v>Cuádriceps</v>
      </c>
      <c r="B650" s="82" t="str">
        <f>IFERROR(__xludf.DUMMYFUNCTION("""COMPUTED_VALUE"""),"SENT SMITH")</f>
        <v>SENT SMITH</v>
      </c>
      <c r="C650" s="82"/>
      <c r="D650" s="82"/>
    </row>
    <row r="651">
      <c r="A651" s="82" t="str">
        <f>IFERROR(__xludf.DUMMYFUNCTION("""COMPUTED_VALUE"""),"Cuádriceps")</f>
        <v>Cuádriceps</v>
      </c>
      <c r="B651" s="82" t="str">
        <f>IFERROR(__xludf.DUMMYFUNCTION("""COMPUTED_VALUE"""),"PRENSA")</f>
        <v>PRENSA</v>
      </c>
      <c r="C651" s="82"/>
      <c r="D651" s="82"/>
    </row>
    <row r="652">
      <c r="A652" s="82" t="str">
        <f>IFERROR(__xludf.DUMMYFUNCTION("""COMPUTED_VALUE"""),"Cuádriceps")</f>
        <v>Cuádriceps</v>
      </c>
      <c r="B652" s="82" t="str">
        <f>IFERROR(__xludf.DUMMYFUNCTION("""COMPUTED_VALUE"""),"SILLA CUAD")</f>
        <v>SILLA CUAD</v>
      </c>
      <c r="C652" s="82"/>
      <c r="D652" s="82"/>
    </row>
    <row r="653">
      <c r="A653" s="82" t="str">
        <f>IFERROR(__xludf.DUMMYFUNCTION("""COMPUTED_VALUE"""),"otros")</f>
        <v>otros</v>
      </c>
      <c r="B653" s="82" t="str">
        <f>IFERROR(__xludf.DUMMYFUNCTION("""COMPUTED_VALUE"""),"Camilla isquios")</f>
        <v>Camilla isquios</v>
      </c>
      <c r="C653" s="82"/>
      <c r="D653" s="82"/>
    </row>
    <row r="654">
      <c r="A654" s="82" t="str">
        <f>IFERROR(__xludf.DUMMYFUNCTION("""COMPUTED_VALUE"""),"otros")</f>
        <v>otros</v>
      </c>
      <c r="B654" s="82" t="str">
        <f>IFERROR(__xludf.DUMMYFUNCTION("""COMPUTED_VALUE"""),"Tricep en polea con barra ")</f>
        <v>Tricep en polea con barra </v>
      </c>
      <c r="C654" s="82"/>
      <c r="D654" s="82"/>
    </row>
    <row r="655">
      <c r="A655" s="82" t="str">
        <f>IFERROR(__xludf.DUMMYFUNCTION("""COMPUTED_VALUE"""),"otros")</f>
        <v>otros</v>
      </c>
      <c r="B655" s="82" t="str">
        <f>IFERROR(__xludf.DUMMYFUNCTION("""COMPUTED_VALUE"""),"Patada de gluteo mayor  en polea")</f>
        <v>Patada de gluteo mayor  en polea</v>
      </c>
      <c r="C655" s="82"/>
      <c r="D655" s="82"/>
    </row>
    <row r="656">
      <c r="A656" s="82" t="str">
        <f>IFERROR(__xludf.DUMMYFUNCTION("""COMPUTED_VALUE"""),"Espalda")</f>
        <v>Espalda</v>
      </c>
      <c r="B656" s="82" t="str">
        <f>IFERROR(__xludf.DUMMYFUNCTION("""COMPUTED_VALUE"""),"Bicep alternado")</f>
        <v>Bicep alternado</v>
      </c>
      <c r="C656" s="82"/>
      <c r="D656" s="82"/>
    </row>
    <row r="657">
      <c r="A657" s="82" t="str">
        <f>IFERROR(__xludf.DUMMYFUNCTION("""COMPUTED_VALUE"""),"Espalda")</f>
        <v>Espalda</v>
      </c>
      <c r="B657" s="82" t="str">
        <f>IFERROR(__xludf.DUMMYFUNCTION("""COMPUTED_VALUE"""),"JALON 1 B")</f>
        <v>JALON 1 B</v>
      </c>
      <c r="C657" s="82"/>
      <c r="D657" s="82"/>
    </row>
    <row r="658">
      <c r="A658" s="82" t="str">
        <f>IFERROR(__xludf.DUMMYFUNCTION("""COMPUTED_VALUE"""),"Pecho")</f>
        <v>Pecho</v>
      </c>
      <c r="B658" s="82" t="str">
        <f>IFERROR(__xludf.DUMMYFUNCTION("""COMPUTED_VALUE"""),"PRESS BANCO PLANO ")</f>
        <v>PRESS BANCO PLANO </v>
      </c>
      <c r="C658" s="82"/>
      <c r="D658" s="82"/>
    </row>
    <row r="659">
      <c r="A659" s="82" t="str">
        <f>IFERROR(__xludf.DUMMYFUNCTION("""COMPUTED_VALUE"""),"Pecho")</f>
        <v>Pecho</v>
      </c>
      <c r="B659" s="82" t="str">
        <f>IFERROR(__xludf.DUMMYFUNCTION("""COMPUTED_VALUE"""),"PRESS INCLINADO MANC")</f>
        <v>PRESS INCLINADO MANC</v>
      </c>
      <c r="C659" s="82"/>
      <c r="D659" s="82"/>
    </row>
    <row r="660">
      <c r="A660" s="82" t="str">
        <f>IFERROR(__xludf.DUMMYFUNCTION("""COMPUTED_VALUE"""),"Pecho")</f>
        <v>Pecho</v>
      </c>
      <c r="B660" s="82" t="str">
        <f>IFERROR(__xludf.DUMMYFUNCTION("""COMPUTED_VALUE"""),"MARIPOSA EN MAQUINA")</f>
        <v>MARIPOSA EN MAQUINA</v>
      </c>
      <c r="C660" s="82"/>
      <c r="D660" s="82"/>
    </row>
    <row r="661">
      <c r="A661" s="82" t="str">
        <f>IFERROR(__xludf.DUMMYFUNCTION("""COMPUTED_VALUE"""),"otros")</f>
        <v>otros</v>
      </c>
      <c r="B661" s="82" t="str">
        <f>IFERROR(__xludf.DUMMYFUNCTION("""COMPUTED_VALUE"""),"BICEP+PRESS")</f>
        <v>BICEP+PRESS</v>
      </c>
      <c r="C661" s="82"/>
      <c r="D661" s="82"/>
    </row>
    <row r="662">
      <c r="A662" s="82" t="str">
        <f>IFERROR(__xludf.DUMMYFUNCTION("""COMPUTED_VALUE"""),"Otros")</f>
        <v>Otros</v>
      </c>
      <c r="B662" s="82" t="str">
        <f>IFERROR(__xludf.DUMMYFUNCTION("""COMPUTED_VALUE"""),"TRICEP EN POLEA ")</f>
        <v>TRICEP EN POLEA </v>
      </c>
      <c r="C662" s="82"/>
      <c r="D662" s="82"/>
    </row>
    <row r="663">
      <c r="A663" s="82" t="str">
        <f>IFERROR(__xludf.DUMMYFUNCTION("""COMPUTED_VALUE"""),"Glúteos")</f>
        <v>Glúteos</v>
      </c>
      <c r="B663" s="82" t="str">
        <f>IFERROR(__xludf.DUMMYFUNCTION("""COMPUTED_VALUE"""),"SUBIDAS AL CAJON ")</f>
        <v>SUBIDAS AL CAJON </v>
      </c>
      <c r="C663" s="82"/>
      <c r="D663" s="82"/>
    </row>
    <row r="664">
      <c r="A664" s="82" t="str">
        <f>IFERROR(__xludf.DUMMYFUNCTION("""COMPUTED_VALUE"""),"Hombros")</f>
        <v>Hombros</v>
      </c>
      <c r="B664" s="82" t="str">
        <f>IFERROR(__xludf.DUMMYFUNCTION("""COMPUTED_VALUE"""),"VUELOS LATERALES Y FRONTALES")</f>
        <v>VUELOS LATERALES Y FRONTALES</v>
      </c>
      <c r="C664" s="82"/>
      <c r="D664" s="82"/>
    </row>
    <row r="665">
      <c r="A665" s="82" t="str">
        <f>IFERROR(__xludf.DUMMYFUNCTION("""COMPUTED_VALUE"""),"Bíceps")</f>
        <v>Bíceps</v>
      </c>
      <c r="B665" s="82" t="str">
        <f>IFERROR(__xludf.DUMMYFUNCTION("""COMPUTED_VALUE"""),"BICEP ALTERNO CON MANC")</f>
        <v>BICEP ALTERNO CON MANC</v>
      </c>
      <c r="C665" s="82"/>
      <c r="D665" s="82"/>
    </row>
    <row r="666">
      <c r="A666" s="82" t="str">
        <f>IFERROR(__xludf.DUMMYFUNCTION("""COMPUTED_VALUE"""),"Pecho")</f>
        <v>Pecho</v>
      </c>
      <c r="B666" s="82" t="str">
        <f>IFERROR(__xludf.DUMMYFUNCTION("""COMPUTED_VALUE"""),"PRESS inclinado ")</f>
        <v>PRESS inclinado </v>
      </c>
      <c r="C666" s="82"/>
      <c r="D666" s="82"/>
    </row>
    <row r="667">
      <c r="A667" s="82" t="str">
        <f>IFERROR(__xludf.DUMMYFUNCTION("""COMPUTED_VALUE"""),"Pecho")</f>
        <v>Pecho</v>
      </c>
      <c r="B667" s="82" t="str">
        <f>IFERROR(__xludf.DUMMYFUNCTION("""COMPUTED_VALUE"""),"estocada isometrica +press")</f>
        <v>estocada isometrica +press</v>
      </c>
      <c r="C667" s="82"/>
      <c r="D667" s="82"/>
    </row>
    <row r="668">
      <c r="A668" s="82" t="str">
        <f>IFERROR(__xludf.DUMMYFUNCTION("""COMPUTED_VALUE"""),"Cuádriceps")</f>
        <v>Cuádriceps</v>
      </c>
      <c r="B668" s="82" t="str">
        <f>IFERROR(__xludf.DUMMYFUNCTION("""COMPUTED_VALUE"""),"SENTADILLA SUMO ")</f>
        <v>SENTADILLA SUMO </v>
      </c>
      <c r="C668" s="82"/>
      <c r="D668" s="82"/>
    </row>
    <row r="669">
      <c r="A669" s="82" t="str">
        <f>IFERROR(__xludf.DUMMYFUNCTION("""COMPUTED_VALUE"""),"Hombros")</f>
        <v>Hombros</v>
      </c>
      <c r="B669" s="82" t="str">
        <f>IFERROR(__xludf.DUMMYFUNCTION("""COMPUTED_VALUE"""),"VUELOS LATERALES ")</f>
        <v>VUELOS LATERALES </v>
      </c>
      <c r="C669" s="82"/>
      <c r="D669" s="82"/>
    </row>
    <row r="670">
      <c r="A670" s="82" t="str">
        <f>IFERROR(__xludf.DUMMYFUNCTION("""COMPUTED_VALUE"""),"Otros")</f>
        <v>Otros</v>
      </c>
      <c r="B670" s="82" t="str">
        <f>IFERROR(__xludf.DUMMYFUNCTION("""COMPUTED_VALUE"""),"SENTADILLA +PRESS")</f>
        <v>SENTADILLA +PRESS</v>
      </c>
      <c r="C670" s="82"/>
      <c r="D670" s="82"/>
    </row>
    <row r="671">
      <c r="A671" s="82" t="str">
        <f>IFERROR(__xludf.DUMMYFUNCTION("""COMPUTED_VALUE"""),"Pecho")</f>
        <v>Pecho</v>
      </c>
      <c r="B671" s="82" t="str">
        <f>IFERROR(__xludf.DUMMYFUNCTION("""COMPUTED_VALUE"""),"TWIST RUSO CON DISCO")</f>
        <v>TWIST RUSO CON DISCO</v>
      </c>
      <c r="C671" s="82"/>
      <c r="D671" s="82"/>
    </row>
    <row r="672">
      <c r="A672" s="82" t="str">
        <f>IFERROR(__xludf.DUMMYFUNCTION("""COMPUTED_VALUE"""),"Otros")</f>
        <v>Otros</v>
      </c>
      <c r="B672" s="82" t="str">
        <f>IFERROR(__xludf.DUMMYFUNCTION("""COMPUTED_VALUE"""),"90/90 + PSOAS+bicho muerto")</f>
        <v>90/90 + PSOAS+bicho muerto</v>
      </c>
      <c r="C672" s="82"/>
      <c r="D672" s="82"/>
    </row>
    <row r="673">
      <c r="A673" s="82" t="str">
        <f>IFERROR(__xludf.DUMMYFUNCTION("""COMPUTED_VALUE"""),"Otros")</f>
        <v>Otros</v>
      </c>
      <c r="B673" s="82" t="str">
        <f>IFERROR(__xludf.DUMMYFUNCTION("""COMPUTED_VALUE"""),"ESTOCADA FIJA")</f>
        <v>ESTOCADA FIJA</v>
      </c>
      <c r="C673" s="82"/>
      <c r="D673" s="82"/>
    </row>
    <row r="674">
      <c r="A674" s="82" t="str">
        <f>IFERROR(__xludf.DUMMYFUNCTION("""COMPUTED_VALUE"""),"Pantorrillas")</f>
        <v>Pantorrillas</v>
      </c>
      <c r="B674" s="82" t="str">
        <f>IFERROR(__xludf.DUMMYFUNCTION("""COMPUTED_VALUE"""),"SALTOS A 1 PIERNA (lateral)")</f>
        <v>SALTOS A 1 PIERNA (lateral)</v>
      </c>
      <c r="C674" s="82"/>
      <c r="D674" s="82"/>
    </row>
    <row r="675">
      <c r="A675" s="82" t="str">
        <f>IFERROR(__xludf.DUMMYFUNCTION("""COMPUTED_VALUE"""),"otros")</f>
        <v>otros</v>
      </c>
      <c r="B675" s="82" t="str">
        <f>IFERROR(__xludf.DUMMYFUNCTION("""COMPUTED_VALUE"""),"SPRINT 15MTS/asault bike 20seg")</f>
        <v>SPRINT 15MTS/asault bike 20seg</v>
      </c>
      <c r="C675" s="82"/>
      <c r="D675" s="82"/>
    </row>
    <row r="676">
      <c r="A676" s="82" t="str">
        <f>IFERROR(__xludf.DUMMYFUNCTION("""COMPUTED_VALUE"""),"Otros")</f>
        <v>Otros</v>
      </c>
      <c r="B676" s="82" t="str">
        <f>IFERROR(__xludf.DUMMYFUNCTION("""COMPUTED_VALUE"""),"Peso muerto +jalon con kb")</f>
        <v>Peso muerto +jalon con kb</v>
      </c>
      <c r="C676" s="82"/>
      <c r="D676" s="82"/>
    </row>
    <row r="677">
      <c r="A677" s="82" t="str">
        <f>IFERROR(__xludf.DUMMYFUNCTION("""COMPUTED_VALUE"""),"Espalda")</f>
        <v>Espalda</v>
      </c>
      <c r="B677" s="82" t="str">
        <f>IFERROR(__xludf.DUMMYFUNCTION("""COMPUTED_VALUE"""),"POLEA DORSAL +remo un brazo")</f>
        <v>POLEA DORSAL +remo un brazo</v>
      </c>
      <c r="C677" s="82"/>
      <c r="D677" s="82"/>
    </row>
    <row r="678">
      <c r="A678" s="82" t="str">
        <f>IFERROR(__xludf.DUMMYFUNCTION("""COMPUTED_VALUE"""),"otros")</f>
        <v>otros</v>
      </c>
      <c r="B678" s="82" t="str">
        <f>IFERROR(__xludf.DUMMYFUNCTION("""COMPUTED_VALUE"""),"POGOS ")</f>
        <v>POGOS </v>
      </c>
      <c r="C678" s="82"/>
      <c r="D678" s="82"/>
    </row>
    <row r="679">
      <c r="A679" s="82" t="str">
        <f>IFERROR(__xludf.DUMMYFUNCTION("""COMPUTED_VALUE"""),"Otros")</f>
        <v>Otros</v>
      </c>
      <c r="B679" s="82" t="str">
        <f>IFERROR(__xludf.DUMMYFUNCTION("""COMPUTED_VALUE"""),"PRESS DE HOMBRO EN SPLIT ")</f>
        <v>PRESS DE HOMBRO EN SPLIT </v>
      </c>
      <c r="C679" s="82"/>
      <c r="D679" s="82"/>
    </row>
    <row r="680">
      <c r="A680" s="82" t="str">
        <f>IFERROR(__xludf.DUMMYFUNCTION("""COMPUTED_VALUE"""),"Cuádriceps")</f>
        <v>Cuádriceps</v>
      </c>
      <c r="B680" s="82" t="str">
        <f>IFERROR(__xludf.DUMMYFUNCTION("""COMPUTED_VALUE"""),"SENTA/ESTOCADAS CON SALTO ")</f>
        <v>SENTA/ESTOCADAS CON SALTO </v>
      </c>
      <c r="C680" s="82"/>
      <c r="D680" s="82"/>
    </row>
    <row r="681">
      <c r="A681" s="82" t="str">
        <f>IFERROR(__xludf.DUMMYFUNCTION("""COMPUTED_VALUE"""),"otros")</f>
        <v>otros</v>
      </c>
      <c r="B681" s="82" t="str">
        <f>IFERROR(__xludf.DUMMYFUNCTION("""COMPUTED_VALUE"""),"PUENTE GLUTEO 1 PIERNA ")</f>
        <v>PUENTE GLUTEO 1 PIERNA </v>
      </c>
      <c r="C681" s="82"/>
      <c r="D681" s="82"/>
    </row>
    <row r="682">
      <c r="A682" s="82" t="str">
        <f>IFERROR(__xludf.DUMMYFUNCTION("""COMPUTED_VALUE"""),"Otros")</f>
        <v>Otros</v>
      </c>
      <c r="B682" s="82" t="str">
        <f>IFERROR(__xludf.DUMMYFUNCTION("""COMPUTED_VALUE"""),"Estocada con salto ")</f>
        <v>Estocada con salto </v>
      </c>
      <c r="C682" s="82"/>
      <c r="D682" s="82"/>
    </row>
    <row r="683">
      <c r="A683" s="82" t="str">
        <f>IFERROR(__xludf.DUMMYFUNCTION("""COMPUTED_VALUE"""),"Isquios")</f>
        <v>Isquios</v>
      </c>
      <c r="B683" s="82" t="str">
        <f>IFERROR(__xludf.DUMMYFUNCTION("""COMPUTED_VALUE"""),"PESO MUERTO")</f>
        <v>PESO MUERTO</v>
      </c>
      <c r="C683" s="82"/>
      <c r="D683" s="82"/>
    </row>
    <row r="684">
      <c r="A684" s="82" t="str">
        <f>IFERROR(__xludf.DUMMYFUNCTION("""COMPUTED_VALUE"""),"Isquios")</f>
        <v>Isquios</v>
      </c>
      <c r="B684" s="82" t="str">
        <f>IFERROR(__xludf.DUMMYFUNCTION("""COMPUTED_VALUE"""),"PESO MUERTO 1 PIERNA ")</f>
        <v>PESO MUERTO 1 PIERNA </v>
      </c>
      <c r="C684" s="82"/>
      <c r="D684" s="82"/>
    </row>
    <row r="685">
      <c r="A685" s="82" t="str">
        <f>IFERROR(__xludf.DUMMYFUNCTION("""COMPUTED_VALUE"""),"otros")</f>
        <v>otros</v>
      </c>
      <c r="B685" s="82" t="str">
        <f>IFERROR(__xludf.DUMMYFUNCTION("""COMPUTED_VALUE"""),"SKATER JUMP ")</f>
        <v>SKATER JUMP </v>
      </c>
      <c r="C685" s="82"/>
      <c r="D685" s="82"/>
    </row>
    <row r="686">
      <c r="A686" s="82" t="str">
        <f>IFERROR(__xludf.DUMMYFUNCTION("""COMPUTED_VALUE"""),"otros")</f>
        <v>otros</v>
      </c>
      <c r="B686" s="82" t="str">
        <f>IFERROR(__xludf.DUMMYFUNCTION("""COMPUTED_VALUE"""),"ESTOCADA +ROTACION DISCO ")</f>
        <v>ESTOCADA +ROTACION DISCO </v>
      </c>
      <c r="C686" s="82"/>
      <c r="D686" s="82"/>
    </row>
    <row r="687">
      <c r="A687" s="82" t="str">
        <f>IFERROR(__xludf.DUMMYFUNCTION("""COMPUTED_VALUE"""),"otros")</f>
        <v>otros</v>
      </c>
      <c r="B687" s="82" t="str">
        <f>IFERROR(__xludf.DUMMYFUNCTION("""COMPUTED_VALUE"""),"ARRODILLADO +SALTO EN LARGO ")</f>
        <v>ARRODILLADO +SALTO EN LARGO </v>
      </c>
      <c r="C687" s="82"/>
      <c r="D687" s="82"/>
    </row>
    <row r="688">
      <c r="A688" s="82" t="str">
        <f>IFERROR(__xludf.DUMMYFUNCTION("""COMPUTED_VALUE"""),"Cuádriceps")</f>
        <v>Cuádriceps</v>
      </c>
      <c r="B688" s="82" t="str">
        <f>IFERROR(__xludf.DUMMYFUNCTION("""COMPUTED_VALUE"""),"SENTADILLA ISOMETRICA ")</f>
        <v>SENTADILLA ISOMETRICA </v>
      </c>
      <c r="C688" s="82"/>
      <c r="D688" s="82"/>
    </row>
    <row r="689">
      <c r="A689" s="82" t="str">
        <f>IFERROR(__xludf.DUMMYFUNCTION("""COMPUTED_VALUE"""),"otros")</f>
        <v>otros</v>
      </c>
      <c r="B689" s="82" t="str">
        <f>IFERROR(__xludf.DUMMYFUNCTION("""COMPUTED_VALUE"""),"PLANCHA CODO MANO ")</f>
        <v>PLANCHA CODO MANO </v>
      </c>
      <c r="C689" s="82"/>
      <c r="D689" s="82"/>
    </row>
    <row r="690">
      <c r="A690" s="82" t="str">
        <f>IFERROR(__xludf.DUMMYFUNCTION("""COMPUTED_VALUE"""),"otros")</f>
        <v>otros</v>
      </c>
      <c r="B690" s="82" t="str">
        <f>IFERROR(__xludf.DUMMYFUNCTION("""COMPUTED_VALUE"""),"ESTOCADA CON SALTO ")</f>
        <v>ESTOCADA CON SALTO </v>
      </c>
      <c r="C690" s="82"/>
      <c r="D690" s="82"/>
    </row>
    <row r="691">
      <c r="A691" s="82" t="str">
        <f>IFERROR(__xludf.DUMMYFUNCTION("""COMPUTED_VALUE"""),"Isquios")</f>
        <v>Isquios</v>
      </c>
      <c r="B691" s="82" t="str">
        <f>IFERROR(__xludf.DUMMYFUNCTION("""COMPUTED_VALUE"""),"PESO MUERTO +JALON ")</f>
        <v>PESO MUERTO +JALON </v>
      </c>
      <c r="C691" s="82"/>
      <c r="D691" s="82"/>
    </row>
    <row r="692">
      <c r="A692" s="82" t="str">
        <f>IFERROR(__xludf.DUMMYFUNCTION("""COMPUTED_VALUE"""),"Pantorrillas")</f>
        <v>Pantorrillas</v>
      </c>
      <c r="B692" s="82" t="str">
        <f>IFERROR(__xludf.DUMMYFUNCTION("""COMPUTED_VALUE"""),"SALTOS CONTINUO")</f>
        <v>SALTOS CONTINUO</v>
      </c>
      <c r="C692" s="82"/>
      <c r="D692" s="82"/>
    </row>
    <row r="693">
      <c r="A693" s="82" t="str">
        <f>IFERROR(__xludf.DUMMYFUNCTION("""COMPUTED_VALUE"""),"Pecho")</f>
        <v>Pecho</v>
      </c>
      <c r="B693" s="82" t="str">
        <f>IFERROR(__xludf.DUMMYFUNCTION("""COMPUTED_VALUE"""),"FLEXIONES explosivas ")</f>
        <v>FLEXIONES explosivas </v>
      </c>
      <c r="C693" s="82"/>
      <c r="D693" s="82"/>
    </row>
    <row r="694">
      <c r="A694" s="82" t="str">
        <f>IFERROR(__xludf.DUMMYFUNCTION("""COMPUTED_VALUE"""),"Hombros")</f>
        <v>Hombros</v>
      </c>
      <c r="B694" s="82" t="str">
        <f>IFERROR(__xludf.DUMMYFUNCTION("""COMPUTED_VALUE"""),"PRESS LANDMINE 1 BRAZO ")</f>
        <v>PRESS LANDMINE 1 BRAZO </v>
      </c>
      <c r="C694" s="82"/>
      <c r="D694" s="82"/>
    </row>
    <row r="695">
      <c r="A695" s="82" t="str">
        <f>IFERROR(__xludf.DUMMYFUNCTION("""COMPUTED_VALUE"""),"Pantorrillas")</f>
        <v>Pantorrillas</v>
      </c>
      <c r="B695" s="82" t="str">
        <f>IFERROR(__xludf.DUMMYFUNCTION("""COMPUTED_VALUE"""),"SOGA ")</f>
        <v>SOGA </v>
      </c>
      <c r="C695" s="82"/>
      <c r="D695" s="82"/>
    </row>
    <row r="696">
      <c r="A696" s="82" t="str">
        <f>IFERROR(__xludf.DUMMYFUNCTION("""COMPUTED_VALUE"""),"Día 1 EMPUJE + DOM RODILLA ")</f>
        <v>Día 1 EMPUJE + DOM RODILLA </v>
      </c>
      <c r="B696" s="82"/>
      <c r="C696" s="82"/>
      <c r="D696" s="82"/>
    </row>
    <row r="697">
      <c r="A697" s="82" t="str">
        <f>IFERROR(__xludf.DUMMYFUNCTION("""COMPUTED_VALUE"""),"Otros")</f>
        <v>Otros</v>
      </c>
      <c r="B697" s="82" t="str">
        <f>IFERROR(__xludf.DUMMYFUNCTION("""COMPUTED_VALUE"""),"plancha codo mano + twist ruso")</f>
        <v>plancha codo mano + twist ruso</v>
      </c>
      <c r="C697" s="82"/>
      <c r="D697" s="82"/>
    </row>
    <row r="698">
      <c r="A698" s="82" t="str">
        <f>IFERROR(__xludf.DUMMYFUNCTION("""COMPUTED_VALUE"""),"otros")</f>
        <v>otros</v>
      </c>
      <c r="B698" s="82" t="str">
        <f>IFERROR(__xludf.DUMMYFUNCTION("""COMPUTED_VALUE"""),"Puente gluteo 1 pierna")</f>
        <v>Puente gluteo 1 pierna</v>
      </c>
      <c r="C698" s="82"/>
      <c r="D698" s="82"/>
    </row>
    <row r="699">
      <c r="A699" s="82" t="str">
        <f>IFERROR(__xludf.DUMMYFUNCTION("""COMPUTED_VALUE"""),"Otros")</f>
        <v>Otros</v>
      </c>
      <c r="B699" s="82" t="str">
        <f>IFERROR(__xludf.DUMMYFUNCTION("""COMPUTED_VALUE"""),"Flexiones + subo cajon ")</f>
        <v>Flexiones + subo cajon </v>
      </c>
      <c r="C699" s="82"/>
      <c r="D699" s="82"/>
    </row>
    <row r="700">
      <c r="A700" s="82" t="str">
        <f>IFERROR(__xludf.DUMMYFUNCTION("""COMPUTED_VALUE"""),"Hombros")</f>
        <v>Hombros</v>
      </c>
      <c r="B700" s="82" t="str">
        <f>IFERROR(__xludf.DUMMYFUNCTION("""COMPUTED_VALUE"""),"PRESS INCLINADO MANC ")</f>
        <v>PRESS INCLINADO MANC </v>
      </c>
      <c r="C700" s="82"/>
      <c r="D700" s="82"/>
    </row>
    <row r="701">
      <c r="A701" s="82" t="str">
        <f>IFERROR(__xludf.DUMMYFUNCTION("""COMPUTED_VALUE"""),"Cuádriceps")</f>
        <v>Cuádriceps</v>
      </c>
      <c r="B701" s="82" t="str">
        <f>IFERROR(__xludf.DUMMYFUNCTION("""COMPUTED_VALUE"""),"ESTOCADA ATRÁS  EN SMITH  ")</f>
        <v>ESTOCADA ATRÁS  EN SMITH  </v>
      </c>
      <c r="C701" s="82"/>
      <c r="D701" s="82"/>
    </row>
    <row r="702">
      <c r="A702" s="82" t="str">
        <f>IFERROR(__xludf.DUMMYFUNCTION("""COMPUTED_VALUE"""),"Hombros")</f>
        <v>Hombros</v>
      </c>
      <c r="B702" s="82" t="str">
        <f>IFERROR(__xludf.DUMMYFUNCTION("""COMPUTED_VALUE"""),"PRESS MILITAR EN SPLIT ")</f>
        <v>PRESS MILITAR EN SPLIT </v>
      </c>
      <c r="C702" s="82"/>
      <c r="D702" s="82"/>
    </row>
    <row r="703">
      <c r="A703" s="82" t="str">
        <f>IFERROR(__xludf.DUMMYFUNCTION("""COMPUTED_VALUE"""),"otros")</f>
        <v>otros</v>
      </c>
      <c r="B703" s="82" t="str">
        <f>IFERROR(__xludf.DUMMYFUNCTION("""COMPUTED_VALUE"""),"COORDINACION EN STEP ")</f>
        <v>COORDINACION EN STEP </v>
      </c>
      <c r="C703" s="82"/>
      <c r="D703" s="82"/>
    </row>
    <row r="704">
      <c r="A704" s="82" t="str">
        <f>IFERROR(__xludf.DUMMYFUNCTION("""COMPUTED_VALUE"""),"otros")</f>
        <v>otros</v>
      </c>
      <c r="B704" s="82" t="str">
        <f>IFERROR(__xludf.DUMMYFUNCTION("""COMPUTED_VALUE"""),"POGO 4+ saltos laterales")</f>
        <v>POGO 4+ saltos laterales</v>
      </c>
      <c r="C704" s="82"/>
      <c r="D704" s="82"/>
    </row>
    <row r="705">
      <c r="A705" s="82" t="str">
        <f>IFERROR(__xludf.DUMMYFUNCTION("""COMPUTED_VALUE"""),"Otros")</f>
        <v>Otros</v>
      </c>
      <c r="B705" s="82" t="str">
        <f>IFERROR(__xludf.DUMMYFUNCTION("""COMPUTED_VALUE"""),"MOV cadera rodilla y tobillo ")</f>
        <v>MOV cadera rodilla y tobillo </v>
      </c>
      <c r="C705" s="82"/>
      <c r="D705" s="82"/>
    </row>
    <row r="706">
      <c r="A706" s="82" t="str">
        <f>IFERROR(__xludf.DUMMYFUNCTION("""COMPUTED_VALUE"""),"Otros")</f>
        <v>Otros</v>
      </c>
      <c r="B706" s="82" t="str">
        <f>IFERROR(__xludf.DUMMYFUNCTION("""COMPUTED_VALUE"""),"PLANCHA lateral ")</f>
        <v>PLANCHA lateral </v>
      </c>
      <c r="C706" s="82"/>
      <c r="D706" s="82"/>
    </row>
    <row r="707">
      <c r="A707" s="82" t="str">
        <f>IFERROR(__xludf.DUMMYFUNCTION("""COMPUTED_VALUE"""),"otros")</f>
        <v>otros</v>
      </c>
      <c r="B707" s="82" t="str">
        <f>IFERROR(__xludf.DUMMYFUNCTION("""COMPUTED_VALUE"""),"estocada  atrás overhead ")</f>
        <v>estocada  atrás overhead </v>
      </c>
      <c r="C707" s="82"/>
      <c r="D707" s="82"/>
    </row>
    <row r="708">
      <c r="A708" s="82" t="str">
        <f>IFERROR(__xludf.DUMMYFUNCTION("""COMPUTED_VALUE"""),"Glúteos")</f>
        <v>Glúteos</v>
      </c>
      <c r="B708" s="82" t="str">
        <f>IFERROR(__xludf.DUMMYFUNCTION("""COMPUTED_VALUE"""),"ESTOCADAS BULGARA  +pisadas")</f>
        <v>ESTOCADAS BULGARA  +pisadas</v>
      </c>
      <c r="C708" s="82"/>
      <c r="D708" s="82"/>
    </row>
    <row r="709">
      <c r="A709" s="82" t="str">
        <f>IFERROR(__xludf.DUMMYFUNCTION("""COMPUTED_VALUE"""),"Glúteos")</f>
        <v>Glúteos</v>
      </c>
      <c r="B709" s="82" t="str">
        <f>IFERROR(__xludf.DUMMYFUNCTION("""COMPUTED_VALUE"""),"HIP THRUST 1 PIERNA ")</f>
        <v>HIP THRUST 1 PIERNA </v>
      </c>
      <c r="C709" s="82"/>
      <c r="D709" s="82"/>
    </row>
    <row r="710">
      <c r="A710" s="82" t="str">
        <f>IFERROR(__xludf.DUMMYFUNCTION("""COMPUTED_VALUE"""),"Bíceps")</f>
        <v>Bíceps</v>
      </c>
      <c r="B710" s="82" t="str">
        <f>IFERROR(__xludf.DUMMYFUNCTION("""COMPUTED_VALUE"""),"BICEP  BARRA W +fondo ")</f>
        <v>BICEP  BARRA W +fondo </v>
      </c>
      <c r="C710" s="82"/>
      <c r="D710" s="82"/>
    </row>
    <row r="711">
      <c r="A711" s="82" t="str">
        <f>IFERROR(__xludf.DUMMYFUNCTION("""COMPUTED_VALUE"""),"Cuádriceps")</f>
        <v>Cuádriceps</v>
      </c>
      <c r="B711" s="82" t="str">
        <f>IFERROR(__xludf.DUMMYFUNCTION("""COMPUTED_VALUE"""),"SENTADILLA +PRESS ")</f>
        <v>SENTADILLA +PRESS </v>
      </c>
      <c r="C711" s="82"/>
      <c r="D711" s="82"/>
    </row>
    <row r="712">
      <c r="A712" s="82" t="str">
        <f>IFERROR(__xludf.DUMMYFUNCTION("""COMPUTED_VALUE"""),"otros")</f>
        <v>otros</v>
      </c>
      <c r="B712" s="82" t="str">
        <f>IFERROR(__xludf.DUMMYFUNCTION("""COMPUTED_VALUE"""),"SALTO AL CAJON ")</f>
        <v>SALTO AL CAJON </v>
      </c>
      <c r="C712" s="82"/>
      <c r="D712" s="82"/>
    </row>
    <row r="713">
      <c r="A713" s="82" t="str">
        <f>IFERROR(__xludf.DUMMYFUNCTION("""COMPUTED_VALUE"""),"Pantorrillas")</f>
        <v>Pantorrillas</v>
      </c>
      <c r="B713" s="274" t="str">
        <f>IFERROR(__xludf.DUMMYFUNCTION("""COMPUTED_VALUE"""),"CAIDA + 2 SALTOS REACTIVOS ")</f>
        <v>CAIDA + 2 SALTOS REACTIVOS </v>
      </c>
      <c r="C713" s="82"/>
      <c r="D713" s="82"/>
    </row>
    <row r="714">
      <c r="A714" s="82" t="str">
        <f>IFERROR(__xludf.DUMMYFUNCTION("""COMPUTED_VALUE"""),"otros")</f>
        <v>otros</v>
      </c>
      <c r="B714" s="82" t="str">
        <f>IFERROR(__xludf.DUMMYFUNCTION("""COMPUTED_VALUE"""),"ACELERACION+RETROSESO")</f>
        <v>ACELERACION+RETROSESO</v>
      </c>
      <c r="C714" s="82"/>
      <c r="D714" s="82"/>
    </row>
    <row r="715">
      <c r="A715" s="82" t="str">
        <f>IFERROR(__xludf.DUMMYFUNCTION("""COMPUTED_VALUE"""),"Otros")</f>
        <v>Otros</v>
      </c>
      <c r="B715" s="82" t="str">
        <f>IFERROR(__xludf.DUMMYFUNCTION("""COMPUTED_VALUE"""),"PLANCHA+ABS BISAGRA DISCO")</f>
        <v>PLANCHA+ABS BISAGRA DISCO</v>
      </c>
      <c r="C715" s="82"/>
      <c r="D715" s="82"/>
    </row>
    <row r="716">
      <c r="A716" s="82" t="str">
        <f>IFERROR(__xludf.DUMMYFUNCTION("""COMPUTED_VALUE"""),"Otros")</f>
        <v>Otros</v>
      </c>
      <c r="B716" s="82" t="str">
        <f>IFERROR(__xludf.DUMMYFUNCTION("""COMPUTED_VALUE"""),"ESTOCADA +ROTACION ")</f>
        <v>ESTOCADA +ROTACION </v>
      </c>
      <c r="C716" s="82"/>
      <c r="D716" s="82"/>
    </row>
    <row r="717">
      <c r="A717" s="82" t="str">
        <f>IFERROR(__xludf.DUMMYFUNCTION("""COMPUTED_VALUE"""),"Espalda")</f>
        <v>Espalda</v>
      </c>
      <c r="B717" s="82" t="str">
        <f>IFERROR(__xludf.DUMMYFUNCTION("""COMPUTED_VALUE"""),"REMO un brazo ")</f>
        <v>REMO un brazo </v>
      </c>
      <c r="C717" s="82"/>
      <c r="D717" s="82"/>
    </row>
    <row r="718">
      <c r="A718" s="82" t="str">
        <f>IFERROR(__xludf.DUMMYFUNCTION("""COMPUTED_VALUE"""),"Isquios")</f>
        <v>Isquios</v>
      </c>
      <c r="B718" s="82" t="str">
        <f>IFERROR(__xludf.DUMMYFUNCTION("""COMPUTED_VALUE"""),"CAMILLA ISQUIOS 1 pierna ")</f>
        <v>CAMILLA ISQUIOS 1 pierna </v>
      </c>
      <c r="C718" s="82"/>
      <c r="D718" s="82"/>
    </row>
    <row r="719">
      <c r="A719" s="82" t="str">
        <f>IFERROR(__xludf.DUMMYFUNCTION("""COMPUTED_VALUE"""),"Espalda")</f>
        <v>Espalda</v>
      </c>
      <c r="B719" s="82" t="str">
        <f>IFERROR(__xludf.DUMMYFUNCTION("""COMPUTED_VALUE"""),"REMO AMPLIO")</f>
        <v>REMO AMPLIO</v>
      </c>
      <c r="C719" s="82"/>
      <c r="D719" s="82"/>
    </row>
    <row r="720">
      <c r="A720" s="82" t="str">
        <f>IFERROR(__xludf.DUMMYFUNCTION("""COMPUTED_VALUE"""),"otros")</f>
        <v>otros</v>
      </c>
      <c r="B720" s="82" t="str">
        <f>IFERROR(__xludf.DUMMYFUNCTION("""COMPUTED_VALUE"""),"SALTO CON CARGA ")</f>
        <v>SALTO CON CARGA </v>
      </c>
      <c r="C720" s="82"/>
      <c r="D720" s="82"/>
    </row>
    <row r="721">
      <c r="A721" s="82" t="str">
        <f>IFERROR(__xludf.DUMMYFUNCTION("""COMPUTED_VALUE"""),"otros")</f>
        <v>otros</v>
      </c>
      <c r="B721" s="82" t="str">
        <f>IFERROR(__xludf.DUMMYFUNCTION("""COMPUTED_VALUE"""),"ESTOCADA +RODILLA ARRIBA ")</f>
        <v>ESTOCADA +RODILLA ARRIBA </v>
      </c>
      <c r="C721" s="82"/>
      <c r="D721" s="82"/>
    </row>
    <row r="722">
      <c r="A722" s="82" t="str">
        <f>IFERROR(__xludf.DUMMYFUNCTION("""COMPUTED_VALUE"""),"otros")</f>
        <v>otros</v>
      </c>
      <c r="B722" s="82" t="str">
        <f>IFERROR(__xludf.DUMMYFUNCTION("""COMPUTED_VALUE"""),"PUENTE GLUTEO EXPLO+EMPUJE")</f>
        <v>PUENTE GLUTEO EXPLO+EMPUJE</v>
      </c>
      <c r="C722" s="82"/>
      <c r="D722" s="82"/>
    </row>
    <row r="723">
      <c r="A723" s="82" t="str">
        <f>IFERROR(__xludf.DUMMYFUNCTION("""COMPUTED_VALUE"""),"Isquios")</f>
        <v>Isquios</v>
      </c>
      <c r="B723" s="82" t="str">
        <f>IFERROR(__xludf.DUMMYFUNCTION("""COMPUTED_VALUE"""),"SALTOS ")</f>
        <v>SALTOS </v>
      </c>
      <c r="C723" s="82"/>
      <c r="D723" s="82"/>
    </row>
    <row r="724">
      <c r="A724" s="82" t="str">
        <f>IFERROR(__xludf.DUMMYFUNCTION("""COMPUTED_VALUE"""),"Día 1  ")</f>
        <v>Día 1  </v>
      </c>
      <c r="B724" s="82"/>
      <c r="C724" s="82"/>
      <c r="D724" s="82"/>
    </row>
    <row r="725">
      <c r="A725" s="82" t="str">
        <f>IFERROR(__xludf.DUMMYFUNCTION("""COMPUTED_VALUE"""),"Espalda")</f>
        <v>Espalda</v>
      </c>
      <c r="B725" s="82" t="str">
        <f>IFERROR(__xludf.DUMMYFUNCTION("""COMPUTED_VALUE"""),"REMO MAQUINA ")</f>
        <v>REMO MAQUINA </v>
      </c>
      <c r="C725" s="82"/>
      <c r="D725" s="82"/>
    </row>
    <row r="726">
      <c r="A726" s="82" t="str">
        <f>IFERROR(__xludf.DUMMYFUNCTION("""COMPUTED_VALUE"""),"Espalda")</f>
        <v>Espalda</v>
      </c>
      <c r="B726" s="82" t="str">
        <f>IFERROR(__xludf.DUMMYFUNCTION("""COMPUTED_VALUE""")," REMO UN BRAZO ")</f>
        <v> REMO UN BRAZO </v>
      </c>
      <c r="C726" s="82"/>
      <c r="D726" s="82"/>
    </row>
    <row r="727">
      <c r="A727" s="82" t="str">
        <f>IFERROR(__xludf.DUMMYFUNCTION("""COMPUTED_VALUE"""),"Día 2 ")</f>
        <v>Día 2 </v>
      </c>
      <c r="B727" s="82"/>
      <c r="C727" s="82"/>
      <c r="D727" s="82"/>
    </row>
    <row r="728">
      <c r="A728" s="82" t="str">
        <f>IFERROR(__xludf.DUMMYFUNCTION("""COMPUTED_VALUE"""),"Otros")</f>
        <v>Otros</v>
      </c>
      <c r="B728" s="82" t="str">
        <f>IFERROR(__xludf.DUMMYFUNCTION("""COMPUTED_VALUE"""),"90/90 - PSOAS-rodillas ")</f>
        <v>90/90 - PSOAS-rodillas </v>
      </c>
      <c r="C728" s="82"/>
      <c r="D728" s="82"/>
    </row>
    <row r="729">
      <c r="A729" s="82" t="str">
        <f>IFERROR(__xludf.DUMMYFUNCTION("""COMPUTED_VALUE"""),"Otros")</f>
        <v>Otros</v>
      </c>
      <c r="B729" s="82" t="str">
        <f>IFERROR(__xludf.DUMMYFUNCTION("""COMPUTED_VALUE"""),"OBLICUOS CON DISCO ")</f>
        <v>OBLICUOS CON DISCO </v>
      </c>
      <c r="C729" s="82"/>
      <c r="D729" s="82"/>
    </row>
    <row r="730">
      <c r="A730" s="82" t="str">
        <f>IFERROR(__xludf.DUMMYFUNCTION("""COMPUTED_VALUE"""),"otros")</f>
        <v>otros</v>
      </c>
      <c r="B730" s="82" t="str">
        <f>IFERROR(__xludf.DUMMYFUNCTION("""COMPUTED_VALUE"""),"ABS EN V  +PUENTE GLUTEO ")</f>
        <v>ABS EN V  +PUENTE GLUTEO </v>
      </c>
      <c r="C730" s="82"/>
      <c r="D730" s="82"/>
    </row>
    <row r="731">
      <c r="A731" s="82" t="str">
        <f>IFERROR(__xludf.DUMMYFUNCTION("""COMPUTED_VALUE"""),"Cuádriceps")</f>
        <v>Cuádriceps</v>
      </c>
      <c r="B731" s="82" t="str">
        <f>IFERROR(__xludf.DUMMYFUNCTION("""COMPUTED_VALUE"""),"SENTADILLA SMITH ")</f>
        <v>SENTADILLA SMITH </v>
      </c>
      <c r="C731" s="82"/>
      <c r="D731" s="82"/>
    </row>
    <row r="732">
      <c r="A732" s="82" t="str">
        <f>IFERROR(__xludf.DUMMYFUNCTION("""COMPUTED_VALUE"""),"Cuádriceps")</f>
        <v>Cuádriceps</v>
      </c>
      <c r="B732" s="82" t="str">
        <f>IFERROR(__xludf.DUMMYFUNCTION("""COMPUTED_VALUE"""),"SUBO CAJON")</f>
        <v>SUBO CAJON</v>
      </c>
      <c r="C732" s="82"/>
      <c r="D732" s="82"/>
    </row>
    <row r="733">
      <c r="A733" s="82" t="str">
        <f>IFERROR(__xludf.DUMMYFUNCTION("""COMPUTED_VALUE"""),"Tríceps")</f>
        <v>Tríceps</v>
      </c>
      <c r="B733" s="82" t="str">
        <f>IFERROR(__xludf.DUMMYFUNCTION("""COMPUTED_VALUE"""),"PRESS FRANCES MANC ")</f>
        <v>PRESS FRANCES MANC </v>
      </c>
      <c r="C733" s="82"/>
      <c r="D733" s="82"/>
    </row>
    <row r="734">
      <c r="A734" s="82" t="str">
        <f>IFERROR(__xludf.DUMMYFUNCTION("""COMPUTED_VALUE"""),"Cuádriceps")</f>
        <v>Cuádriceps</v>
      </c>
      <c r="B734" s="82" t="str">
        <f>IFERROR(__xludf.DUMMYFUNCTION("""COMPUTED_VALUE""")," SILLA CUADRICEPS ")</f>
        <v> SILLA CUADRICEPS </v>
      </c>
      <c r="C734" s="82"/>
      <c r="D734" s="82"/>
    </row>
    <row r="735">
      <c r="A735" s="82" t="str">
        <f>IFERROR(__xludf.DUMMYFUNCTION("""COMPUTED_VALUE"""),"Bíceps")</f>
        <v>Bíceps</v>
      </c>
      <c r="B735" s="82" t="str">
        <f>IFERROR(__xludf.DUMMYFUNCTION("""COMPUTED_VALUE"""),"PRENSA 45  AP.INFERIOR ")</f>
        <v>PRENSA 45  AP.INFERIOR </v>
      </c>
      <c r="C735" s="82"/>
      <c r="D735" s="82"/>
    </row>
    <row r="736">
      <c r="A736" s="82" t="str">
        <f>IFERROR(__xludf.DUMMYFUNCTION("""COMPUTED_VALUE"""),"Hombros")</f>
        <v>Hombros</v>
      </c>
      <c r="B736" s="82" t="str">
        <f>IFERROR(__xludf.DUMMYFUNCTION("""COMPUTED_VALUE"""),"FACE PULL ")</f>
        <v>FACE PULL </v>
      </c>
      <c r="C736" s="82"/>
      <c r="D736" s="82"/>
    </row>
    <row r="737">
      <c r="A737" s="82" t="str">
        <f>IFERROR(__xludf.DUMMYFUNCTION("""COMPUTED_VALUE"""),"Día 3 ")</f>
        <v>Día 3 </v>
      </c>
      <c r="B737" s="82"/>
      <c r="C737" s="82"/>
      <c r="D737" s="82"/>
    </row>
    <row r="738">
      <c r="A738" s="82" t="str">
        <f>IFERROR(__xludf.DUMMYFUNCTION("""COMPUTED_VALUE"""),"Glúteos")</f>
        <v>Glúteos</v>
      </c>
      <c r="B738" s="82" t="str">
        <f>IFERROR(__xludf.DUMMYFUNCTION("""COMPUTED_VALUE"""),"HIP THRUST ")</f>
        <v>HIP THRUST </v>
      </c>
      <c r="C738" s="82"/>
      <c r="D738" s="82"/>
    </row>
    <row r="739">
      <c r="A739" s="82" t="str">
        <f>IFERROR(__xludf.DUMMYFUNCTION("""COMPUTED_VALUE"""),"Glúteos")</f>
        <v>Glúteos</v>
      </c>
      <c r="B739" s="82" t="str">
        <f>IFERROR(__xludf.DUMMYFUNCTION("""COMPUTED_VALUE"""),"BULGARAS EN SMITH ")</f>
        <v>BULGARAS EN SMITH </v>
      </c>
      <c r="C739" s="82"/>
      <c r="D739" s="82"/>
    </row>
    <row r="740">
      <c r="A740" s="82" t="str">
        <f>IFERROR(__xludf.DUMMYFUNCTION("""COMPUTED_VALUE"""),"Espalda")</f>
        <v>Espalda</v>
      </c>
      <c r="B740" s="82" t="str">
        <f>IFERROR(__xludf.DUMMYFUNCTION("""COMPUTED_VALUE"""),"REMO UN BRAZO MAQUINA ")</f>
        <v>REMO UN BRAZO MAQUINA </v>
      </c>
      <c r="C740" s="82"/>
      <c r="D740" s="82"/>
    </row>
    <row r="741">
      <c r="A741" s="82" t="str">
        <f>IFERROR(__xludf.DUMMYFUNCTION("""COMPUTED_VALUE"""),"Tríceps")</f>
        <v>Tríceps</v>
      </c>
      <c r="B741" s="82" t="str">
        <f>IFERROR(__xludf.DUMMYFUNCTION("""COMPUTED_VALUE"""),"BICEP +PRESS ")</f>
        <v>BICEP +PRESS </v>
      </c>
      <c r="C741" s="82"/>
      <c r="D741" s="82"/>
    </row>
    <row r="742">
      <c r="A742" s="82" t="str">
        <f>IFERROR(__xludf.DUMMYFUNCTION("""COMPUTED_VALUE"""),"Isquios")</f>
        <v>Isquios</v>
      </c>
      <c r="B742" s="82" t="str">
        <f>IFERROR(__xludf.DUMMYFUNCTION("""COMPUTED_VALUE"""),"PESO MUERTO 1P-ADUCTORES ")</f>
        <v>PESO MUERTO 1P-ADUCTORES </v>
      </c>
      <c r="C742" s="82"/>
      <c r="D742" s="82"/>
    </row>
    <row r="743">
      <c r="A743" s="82" t="str">
        <f>IFERROR(__xludf.DUMMYFUNCTION("""COMPUTED_VALUE"""),"Glúteos")</f>
        <v>Glúteos</v>
      </c>
      <c r="B743" s="82" t="str">
        <f>IFERROR(__xludf.DUMMYFUNCTION("""COMPUTED_VALUE"""),"PATADA GLUTEO COMPLETA")</f>
        <v>PATADA GLUTEO COMPLETA</v>
      </c>
      <c r="C743" s="82"/>
      <c r="D743" s="82"/>
    </row>
    <row r="744">
      <c r="A744" s="82" t="str">
        <f>IFERROR(__xludf.DUMMYFUNCTION("""COMPUTED_VALUE"""),"Dom. Caderas")</f>
        <v>Dom. Caderas</v>
      </c>
      <c r="B744" s="82" t="str">
        <f>IFERROR(__xludf.DUMMYFUNCTION("""COMPUTED_VALUE"""),"HIP THRUST ")</f>
        <v>HIP THRUST </v>
      </c>
      <c r="C744" s="82"/>
      <c r="D744" s="82"/>
    </row>
    <row r="745">
      <c r="A745" s="82" t="str">
        <f>IFERROR(__xludf.DUMMYFUNCTION("""COMPUTED_VALUE"""),"Dom. Caderas")</f>
        <v>Dom. Caderas</v>
      </c>
      <c r="B745" s="82" t="str">
        <f>IFERROR(__xludf.DUMMYFUNCTION("""COMPUTED_VALUE"""),"PESO MUERTO ")</f>
        <v>PESO MUERTO </v>
      </c>
      <c r="C745" s="82"/>
      <c r="D745" s="82"/>
    </row>
    <row r="746">
      <c r="A746" s="82" t="str">
        <f>IFERROR(__xludf.DUMMYFUNCTION("""COMPUTED_VALUE"""),"A. Cadera")</f>
        <v>A. Cadera</v>
      </c>
      <c r="B746" s="82" t="str">
        <f>IFERROR(__xludf.DUMMYFUNCTION("""COMPUTED_VALUE"""),"BULGARAS ")</f>
        <v>BULGARAS </v>
      </c>
      <c r="C746" s="82"/>
      <c r="D746" s="82"/>
    </row>
    <row r="747">
      <c r="A747" s="82" t="str">
        <f>IFERROR(__xludf.DUMMYFUNCTION("""COMPUTED_VALUE"""),"Empuje")</f>
        <v>Empuje</v>
      </c>
      <c r="B747" s="82" t="str">
        <f>IFERROR(__xludf.DUMMYFUNCTION("""COMPUTED_VALUE"""),"PRESS PLANO + PRESS FRANCES")</f>
        <v>PRESS PLANO + PRESS FRANCES</v>
      </c>
      <c r="C747" s="82"/>
      <c r="D747" s="82"/>
    </row>
    <row r="748">
      <c r="A748" s="82" t="str">
        <f>IFERROR(__xludf.DUMMYFUNCTION("""COMPUTED_VALUE"""),"A. Rodillas")</f>
        <v>A. Rodillas</v>
      </c>
      <c r="B748" s="82" t="str">
        <f>IFERROR(__xludf.DUMMYFUNCTION("""COMPUTED_VALUE"""),"SILLA CUADRICEPS ")</f>
        <v>SILLA CUADRICEPS </v>
      </c>
      <c r="C748" s="82"/>
      <c r="D748" s="82"/>
    </row>
    <row r="749">
      <c r="A749" s="82" t="str">
        <f>IFERROR(__xludf.DUMMYFUNCTION("""COMPUTED_VALUE"""),"Dom. Rodillas")</f>
        <v>Dom. Rodillas</v>
      </c>
      <c r="B749" s="82" t="str">
        <f>IFERROR(__xludf.DUMMYFUNCTION("""COMPUTED_VALUE"""),"SENTADILLA LIBRE ")</f>
        <v>SENTADILLA LIBRE </v>
      </c>
      <c r="C749" s="82"/>
      <c r="D749" s="82"/>
    </row>
    <row r="750">
      <c r="A750" s="82" t="str">
        <f>IFERROR(__xludf.DUMMYFUNCTION("""COMPUTED_VALUE"""),"A. Cadera")</f>
        <v>A. Cadera</v>
      </c>
      <c r="B750" s="82" t="str">
        <f>IFERROR(__xludf.DUMMYFUNCTION("""COMPUTED_VALUE"""),"HIP THRUST 1 PIERNA ")</f>
        <v>HIP THRUST 1 PIERNA </v>
      </c>
      <c r="C750" s="82"/>
      <c r="D750" s="82"/>
    </row>
    <row r="751">
      <c r="A751" s="82" t="str">
        <f>IFERROR(__xludf.DUMMYFUNCTION("""COMPUTED_VALUE"""),"Dom. Rodillas")</f>
        <v>Dom. Rodillas</v>
      </c>
      <c r="B751" s="82" t="str">
        <f>IFERROR(__xludf.DUMMYFUNCTION("""COMPUTED_VALUE"""),"ESTOCADA ATRÁS EN STEP ")</f>
        <v>ESTOCADA ATRÁS EN STEP </v>
      </c>
      <c r="C751" s="82"/>
      <c r="D751" s="82"/>
    </row>
    <row r="752">
      <c r="A752" s="82" t="str">
        <f>IFERROR(__xludf.DUMMYFUNCTION("""COMPUTED_VALUE"""),"Dom. Caderas")</f>
        <v>Dom. Caderas</v>
      </c>
      <c r="B752" s="82" t="str">
        <f>IFERROR(__xludf.DUMMYFUNCTION("""COMPUTED_VALUE"""),"PATADA GLUTEO /PRENSA 45")</f>
        <v>PATADA GLUTEO /PRENSA 45</v>
      </c>
      <c r="C752" s="82"/>
      <c r="D752" s="82"/>
    </row>
    <row r="753">
      <c r="A753" s="82" t="str">
        <f>IFERROR(__xludf.DUMMYFUNCTION("""COMPUTED_VALUE"""),"A. Tracción")</f>
        <v>A. Tracción</v>
      </c>
      <c r="B753" s="82" t="str">
        <f>IFERROR(__xludf.DUMMYFUNCTION("""COMPUTED_VALUE"""),"REMO UN BRAZO ")</f>
        <v>REMO UN BRAZO </v>
      </c>
      <c r="C753" s="82"/>
      <c r="D753" s="82"/>
    </row>
    <row r="754">
      <c r="A754" s="82" t="str">
        <f>IFERROR(__xludf.DUMMYFUNCTION("""COMPUTED_VALUE"""),"Empuje")</f>
        <v>Empuje</v>
      </c>
      <c r="B754" s="82" t="str">
        <f>IFERROR(__xludf.DUMMYFUNCTION("""COMPUTED_VALUE"""),"PRESS INCLINADO ATERNO")</f>
        <v>PRESS INCLINADO ATERNO</v>
      </c>
      <c r="C754" s="82"/>
      <c r="D754" s="82"/>
    </row>
    <row r="755">
      <c r="A755" s="82" t="str">
        <f>IFERROR(__xludf.DUMMYFUNCTION("""COMPUTED_VALUE"""),"A. Empuje")</f>
        <v>A. Empuje</v>
      </c>
      <c r="B755" s="82" t="str">
        <f>IFERROR(__xludf.DUMMYFUNCTION("""COMPUTED_VALUE"""),"VUELOS LATERALES + FRONTALES ")</f>
        <v>VUELOS LATERALES + FRONTALES </v>
      </c>
      <c r="C755" s="82"/>
      <c r="D755" s="82"/>
    </row>
    <row r="756">
      <c r="A756" s="82" t="str">
        <f>IFERROR(__xludf.DUMMYFUNCTION("""COMPUTED_VALUE"""),"Dom. Rodillas")</f>
        <v>Dom. Rodillas</v>
      </c>
      <c r="B756" s="82" t="str">
        <f>IFERROR(__xludf.DUMMYFUNCTION("""COMPUTED_VALUE"""),"sentadilla libre ")</f>
        <v>sentadilla libre </v>
      </c>
      <c r="C756" s="82"/>
      <c r="D756" s="82"/>
    </row>
    <row r="757">
      <c r="A757" s="82" t="str">
        <f>IFERROR(__xludf.DUMMYFUNCTION("""COMPUTED_VALUE"""),"Dom. Rodillas")</f>
        <v>Dom. Rodillas</v>
      </c>
      <c r="B757" s="82" t="str">
        <f>IFERROR(__xludf.DUMMYFUNCTION("""COMPUTED_VALUE"""),"estocadas atrás desde step ")</f>
        <v>estocadas atrás desde step </v>
      </c>
      <c r="C757" s="82"/>
      <c r="D757" s="82"/>
    </row>
    <row r="758">
      <c r="A758" s="82" t="str">
        <f>IFERROR(__xludf.DUMMYFUNCTION("""COMPUTED_VALUE"""),"Dom. Rodillas")</f>
        <v>Dom. Rodillas</v>
      </c>
      <c r="B758" s="82" t="str">
        <f>IFERROR(__xludf.DUMMYFUNCTION("""COMPUTED_VALUE"""),"Sentadilla con salto ")</f>
        <v>Sentadilla con salto </v>
      </c>
      <c r="C758" s="82"/>
      <c r="D758" s="82"/>
    </row>
    <row r="759">
      <c r="A759" s="82" t="str">
        <f>IFERROR(__xludf.DUMMYFUNCTION("""COMPUTED_VALUE"""),"A. Empuje")</f>
        <v>A. Empuje</v>
      </c>
      <c r="B759" s="82" t="str">
        <f>IFERROR(__xludf.DUMMYFUNCTION("""COMPUTED_VALUE"""),"press plano alterno + flexiones ")</f>
        <v>press plano alterno + flexiones </v>
      </c>
      <c r="C759" s="82"/>
      <c r="D759" s="82"/>
    </row>
    <row r="760">
      <c r="A760" s="82" t="str">
        <f>IFERROR(__xludf.DUMMYFUNCTION("""COMPUTED_VALUE"""),"A. Empuje")</f>
        <v>A. Empuje</v>
      </c>
      <c r="B760" s="82" t="str">
        <f>IFERROR(__xludf.DUMMYFUNCTION("""COMPUTED_VALUE"""),"Vuelos laterales +press frances ")</f>
        <v>Vuelos laterales +press frances </v>
      </c>
      <c r="C760" s="82"/>
      <c r="D760" s="82"/>
    </row>
    <row r="761">
      <c r="A761" s="82" t="str">
        <f>IFERROR(__xludf.DUMMYFUNCTION("""COMPUTED_VALUE"""),"Tracción")</f>
        <v>Tracción</v>
      </c>
      <c r="B761" s="82" t="str">
        <f>IFERROR(__xludf.DUMMYFUNCTION("""COMPUTED_VALUE"""),"remo ampio maquina ")</f>
        <v>remo ampio maquina </v>
      </c>
      <c r="C761" s="82"/>
      <c r="D761" s="82"/>
    </row>
    <row r="762">
      <c r="A762" s="82" t="str">
        <f>IFERROR(__xludf.DUMMYFUNCTION("""COMPUTED_VALUE"""),"Tracción")</f>
        <v>Tracción</v>
      </c>
      <c r="B762" s="82" t="str">
        <f>IFERROR(__xludf.DUMMYFUNCTION("""COMPUTED_VALUE"""),"polea dorsal prona ")</f>
        <v>polea dorsal prona </v>
      </c>
      <c r="C762" s="82"/>
      <c r="D762" s="82"/>
    </row>
    <row r="763">
      <c r="A763" s="82" t="str">
        <f>IFERROR(__xludf.DUMMYFUNCTION("""COMPUTED_VALUE"""),"A. Tracción")</f>
        <v>A. Tracción</v>
      </c>
      <c r="B763" s="82" t="str">
        <f>IFERROR(__xludf.DUMMYFUNCTION("""COMPUTED_VALUE"""),"Bicep con barra w ")</f>
        <v>Bicep con barra w </v>
      </c>
      <c r="C763" s="82"/>
      <c r="D763" s="82"/>
    </row>
    <row r="764">
      <c r="A764" s="82" t="str">
        <f>IFERROR(__xludf.DUMMYFUNCTION("""COMPUTED_VALUE"""),"A. Tracción")</f>
        <v>A. Tracción</v>
      </c>
      <c r="B764" s="82" t="str">
        <f>IFERROR(__xludf.DUMMYFUNCTION("""COMPUTED_VALUE"""),"Vuelos posteriores en mariposa ")</f>
        <v>Vuelos posteriores en mariposa </v>
      </c>
      <c r="C764" s="82"/>
      <c r="D764" s="82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2023-12-29T15:06:09Z</dcterms:created>
  <dc:creator>Movie</dc:creator>
</cp:coreProperties>
</file>